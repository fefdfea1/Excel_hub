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거래처목록" sheetId="2" state="visible" r:id="rId4"/>
    <sheet name="품목목록" sheetId="3" state="visible" r:id="rId5"/>
    <sheet name="정기주문설정" sheetId="4" state="visible" r:id="rId6"/>
    <sheet name="주문생성" sheetId="5" state="visible" r:id="rId7"/>
    <sheet name="주문내역" sheetId="6" state="visible" r:id="rId8"/>
    <sheet name="거래처별집계" sheetId="7" state="visible" r:id="rId9"/>
    <sheet name="월별집계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<sst xmlns="http://schemas.openxmlformats.org/spreadsheetml/2006/main" count="153" uniqueCount="109">
  <si>
    <t xml:space="preserve">정기 반복주문 일괄생성</t>
  </si>
  <si>
    <t xml:space="preserve">핵심</t>
  </si>
  <si>
    <t xml:space="preserve">매번 같은 양을 주문하는 거래처는 한 번만 등록해두면, 날짜만 고르면 그날 나갈 목록이 자동으로 나옵니다.</t>
  </si>
  <si>
    <t xml:space="preserve">입력 규칙</t>
  </si>
  <si>
    <t xml:space="preserve">파란색 글씨 칸만 입력하세요. 검은색은 자동 계산입니다.</t>
  </si>
  <si>
    <t xml:space="preserve">① 거래처목록</t>
  </si>
  <si>
    <t xml:space="preserve">거래처코드·거래처명·연락처를 등록합니다.</t>
  </si>
  <si>
    <t xml:space="preserve">② 품목목록</t>
  </si>
  <si>
    <t xml:space="preserve">품목명·규격·단위·단가를 등록합니다.</t>
  </si>
  <si>
    <t xml:space="preserve">③ 정기주문설정</t>
  </si>
  <si>
    <t xml:space="preserve">정기적으로 나가는 건을 한 줄씩 등록합니다. 여기가 핵심입니다.</t>
  </si>
  <si>
    <t xml:space="preserve">주기를 매주로 하면 요일을, 매월로 하면 날짜를 넣으세요. 격주는 시작일 기준으로 2주마다입니다.</t>
  </si>
  <si>
    <t xml:space="preserve">④ 주문생성</t>
  </si>
  <si>
    <t xml:space="preserve">기준일을 고르면 그날 발생할 정기주문이 자동으로 나열됩니다.</t>
  </si>
  <si>
    <t xml:space="preserve">그 목록을 복사해서 [주문내역]에 붙여넣으면 됩니다.</t>
  </si>
  <si>
    <t xml:space="preserve">⑤ 주문내역</t>
  </si>
  <si>
    <t xml:space="preserve">실제로 나간 주문을 기록합니다. 정기분과 임시분을 함께 관리합니다.</t>
  </si>
  <si>
    <t xml:space="preserve">⑥ 거래처별집계 / 월별집계</t>
  </si>
  <si>
    <t xml:space="preserve">전부 자동입니다.</t>
  </si>
  <si>
    <t xml:space="preserve">주기 판정 방식</t>
  </si>
  <si>
    <t xml:space="preserve">매주=요일 일치, 격주=시작일부터 2주 간격, 매월=날짜 일치, 매일=매일</t>
  </si>
  <si>
    <t xml:space="preserve">※ 엑셀만으로는 버튼 한 번에 자동 등록이 되지 않습니다. 대신 [주문생성]에서</t>
  </si>
  <si>
    <t xml:space="preserve">   그날 나갈 목록을 만들어주니, 복사해서 [주문내역]에 붙여넣는 방식입니다.</t>
  </si>
  <si>
    <t xml:space="preserve">거래처목록</t>
  </si>
  <si>
    <t xml:space="preserve">거래처코드</t>
  </si>
  <si>
    <t xml:space="preserve">거래처명</t>
  </si>
  <si>
    <t xml:space="preserve">담당자</t>
  </si>
  <si>
    <t xml:space="preserve">연락처</t>
  </si>
  <si>
    <t xml:space="preserve">비고</t>
  </si>
  <si>
    <t xml:space="preserve">C001</t>
  </si>
  <si>
    <t xml:space="preserve">○○식당</t>
  </si>
  <si>
    <t xml:space="preserve">김사장</t>
  </si>
  <si>
    <t xml:space="preserve">010-0000-0001</t>
  </si>
  <si>
    <t xml:space="preserve">C002</t>
  </si>
  <si>
    <t xml:space="preserve">△△치킨</t>
  </si>
  <si>
    <t xml:space="preserve">이사장</t>
  </si>
  <si>
    <t xml:space="preserve">010-0000-0002</t>
  </si>
  <si>
    <t xml:space="preserve">C003</t>
  </si>
  <si>
    <t xml:space="preserve">□□분식</t>
  </si>
  <si>
    <t xml:space="preserve">박사장</t>
  </si>
  <si>
    <t xml:space="preserve">010-0000-0003</t>
  </si>
  <si>
    <t xml:space="preserve">품목목록</t>
  </si>
  <si>
    <t xml:space="preserve">품목코드</t>
  </si>
  <si>
    <t xml:space="preserve">품목명</t>
  </si>
  <si>
    <t xml:space="preserve">규격</t>
  </si>
  <si>
    <t xml:space="preserve">단위</t>
  </si>
  <si>
    <t xml:space="preserve">기본단가</t>
  </si>
  <si>
    <t xml:space="preserve">P001</t>
  </si>
  <si>
    <t xml:space="preserve">폐식용유 수거</t>
  </si>
  <si>
    <t xml:space="preserve">18L</t>
  </si>
  <si>
    <t xml:space="preserve">통</t>
  </si>
  <si>
    <t xml:space="preserve">P002</t>
  </si>
  <si>
    <t xml:space="preserve">식용유 납품</t>
  </si>
  <si>
    <t xml:space="preserve">P003</t>
  </si>
  <si>
    <t xml:space="preserve">위생용품 세트</t>
  </si>
  <si>
    <t xml:space="preserve">표준</t>
  </si>
  <si>
    <t xml:space="preserve">SET</t>
  </si>
  <si>
    <t xml:space="preserve">정기주문설정  (정기적으로 나가는 건을 한 번만 등록)</t>
  </si>
  <si>
    <t xml:space="preserve">번호(자동)</t>
  </si>
  <si>
    <t xml:space="preserve">거래처명(자동)</t>
  </si>
  <si>
    <t xml:space="preserve">품목명(자동)</t>
  </si>
  <si>
    <t xml:space="preserve">단위(자동)</t>
  </si>
  <si>
    <t xml:space="preserve">기본수량</t>
  </si>
  <si>
    <t xml:space="preserve">단가</t>
  </si>
  <si>
    <t xml:space="preserve">주기</t>
  </si>
  <si>
    <t xml:space="preserve">요일(매주·격주)</t>
  </si>
  <si>
    <t xml:space="preserve">일자(매월)</t>
  </si>
  <si>
    <t xml:space="preserve">시작일</t>
  </si>
  <si>
    <t xml:space="preserve">사용여부</t>
  </si>
  <si>
    <t xml:space="preserve">요일</t>
  </si>
  <si>
    <t xml:space="preserve">번호</t>
  </si>
  <si>
    <t xml:space="preserve">매주</t>
  </si>
  <si>
    <t xml:space="preserve">화</t>
  </si>
  <si>
    <t xml:space="preserve">사용</t>
  </si>
  <si>
    <t xml:space="preserve">일</t>
  </si>
  <si>
    <t xml:space="preserve">월</t>
  </si>
  <si>
    <t xml:space="preserve">매월</t>
  </si>
  <si>
    <t xml:space="preserve">격주</t>
  </si>
  <si>
    <t xml:space="preserve">금</t>
  </si>
  <si>
    <t xml:space="preserve">수</t>
  </si>
  <si>
    <t xml:space="preserve">목</t>
  </si>
  <si>
    <t xml:space="preserve">토</t>
  </si>
  <si>
    <t xml:space="preserve">※ 격주는 [시작일]을 기준으로 2주마다 발생합니다. 시작일을 반드시 넣으세요.</t>
  </si>
  <si>
    <t xml:space="preserve">※ 잠시 쉬는 거래처는 지우지 말고 [사용여부]를 '중지'로 바꾸세요.</t>
  </si>
  <si>
    <t xml:space="preserve">주문생성  (기준일을 고르면 그날 나갈 목록이 나옵니다)</t>
  </si>
  <si>
    <t xml:space="preserve">기준일</t>
  </si>
  <si>
    <t xml:space="preserve">← 이 칸만 바꾸세요</t>
  </si>
  <si>
    <t xml:space="preserve">해당 건수</t>
  </si>
  <si>
    <t xml:space="preserve">주문일</t>
  </si>
  <si>
    <t xml:space="preserve">수량</t>
  </si>
  <si>
    <t xml:space="preserve">금액</t>
  </si>
  <si>
    <t xml:space="preserve">대상(자동)</t>
  </si>
  <si>
    <t xml:space="preserve">순번(자동)</t>
  </si>
  <si>
    <t xml:space="preserve">키(자동)</t>
  </si>
  <si>
    <t xml:space="preserve">합계</t>
  </si>
  <si>
    <r>
      <rPr>
        <sz val="9"/>
        <color rgb="FF808080"/>
        <rFont val="맑은 고딕"/>
        <family val="0"/>
        <charset val="1"/>
      </rPr>
      <t xml:space="preserve">※ A6:I85 </t>
    </r>
    <r>
      <rPr>
        <sz val="9"/>
        <color rgb="FF808080"/>
        <rFont val="Noto Sans CJK SC"/>
        <family val="2"/>
      </rPr>
      <t xml:space="preserve">범위를 복사해서 </t>
    </r>
    <r>
      <rPr>
        <sz val="9"/>
        <color rgb="FF808080"/>
        <rFont val="맑은 고딕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주문내역</t>
    </r>
    <r>
      <rPr>
        <sz val="9"/>
        <color rgb="FF808080"/>
        <rFont val="맑은 고딕"/>
        <family val="0"/>
        <charset val="1"/>
      </rPr>
      <t xml:space="preserve">]</t>
    </r>
    <r>
      <rPr>
        <sz val="9"/>
        <color rgb="FF808080"/>
        <rFont val="Noto Sans CJK SC"/>
        <family val="2"/>
      </rPr>
      <t xml:space="preserve">에 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값 붙여넣기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로 붙이세요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</si>
  <si>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※ 한 날짜에 80건을 넘으면 표시되지 않습니다.</t>
  </si>
  <si>
    <t xml:space="preserve">주문내역  (실제로 나간 주문 / 정기분은 주문생성에서 복사)</t>
  </si>
  <si>
    <t xml:space="preserve">구분</t>
  </si>
  <si>
    <r>
      <rPr>
        <sz val="9"/>
        <color rgb="FF808080"/>
        <rFont val="맑은 고딕"/>
        <family val="0"/>
        <charset val="1"/>
      </rPr>
      <t xml:space="preserve">※ [</t>
    </r>
    <r>
      <rPr>
        <sz val="9"/>
        <color rgb="FF808080"/>
        <rFont val="Noto Sans CJK SC"/>
        <family val="2"/>
      </rPr>
      <t xml:space="preserve">주문생성</t>
    </r>
    <r>
      <rPr>
        <sz val="9"/>
        <color rgb="FF808080"/>
        <rFont val="맑은 고딕"/>
        <family val="0"/>
        <charset val="1"/>
      </rPr>
      <t xml:space="preserve">]</t>
    </r>
    <r>
      <rPr>
        <sz val="9"/>
        <color rgb="FF808080"/>
        <rFont val="Noto Sans CJK SC"/>
        <family val="2"/>
      </rPr>
      <t xml:space="preserve">에서 복사할 때는 오른쪽 클릭 → 선택하여 붙여넣기 → 값 을 쓰세요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</si>
  <si>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※ 금액 칸도 값으로 붙습니다. 수량을 고치면 금액은 직접 수정하세요.</t>
  </si>
  <si>
    <t xml:space="preserve">거래처별집계</t>
  </si>
  <si>
    <t xml:space="preserve">대상 연도</t>
  </si>
  <si>
    <t xml:space="preserve">정기설정 건수</t>
  </si>
  <si>
    <t xml:space="preserve">주문 건수</t>
  </si>
  <si>
    <t xml:space="preserve">총 수량</t>
  </si>
  <si>
    <t xml:space="preserve">총 금액</t>
  </si>
  <si>
    <t xml:space="preserve">월별집계</t>
  </si>
  <si>
    <t xml:space="preserve">거래처 수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</si>
</sst>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0"/>
      <name val="맑은 고딕"/>
      <family val="0"/>
      <charset val="1"/>
    </font>
    <font>
      <sz val="9"/>
      <color rgb="FF80808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/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/>
      <c r="C11" s="4" t="s">
        <v>14</v>
      </c>
    </row>
    <row r="12" customFormat="false" ht="15" hidden="false" customHeight="true" outlineLevel="0" collapsed="false">
      <c r="B12" s="3" t="s">
        <v>15</v>
      </c>
      <c r="C12" s="4" t="s">
        <v>16</v>
      </c>
    </row>
    <row r="13" customFormat="false" ht="15" hidden="false" customHeight="true" outlineLevel="0" collapsed="false">
      <c r="B13" s="3" t="s">
        <v>17</v>
      </c>
      <c r="C13" s="4" t="s">
        <v>18</v>
      </c>
    </row>
    <row r="14" customFormat="false" ht="15" hidden="false" customHeight="true" outlineLevel="0" collapsed="false">
      <c r="B14" s="3" t="s">
        <v>19</v>
      </c>
      <c r="C14" s="4" t="s">
        <v>20</v>
      </c>
    </row>
    <row r="16" customFormat="false" ht="15" hidden="false" customHeight="true" outlineLevel="0" collapsed="false">
      <c r="B16" s="5" t="s">
        <v>21</v>
      </c>
    </row>
    <row r="17" customFormat="false" ht="15" hidden="false" customHeight="true" outlineLevel="0" collapsed="false">
      <c r="B17" s="5" t="s">
        <v>22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7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</row>
    <row r="2" customFormat="false" ht="15" hidden="false" customHeight="true" outlineLevel="0" collapsed="false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</row>
    <row r="3" customFormat="false" ht="15" hidden="false" customHeight="true" outlineLevel="0" collapsed="false">
      <c r="A3" s="7" t="s">
        <v>29</v>
      </c>
      <c r="B3" s="8" t="s">
        <v>30</v>
      </c>
      <c r="C3" s="8" t="s">
        <v>31</v>
      </c>
      <c r="D3" s="7" t="s">
        <v>32</v>
      </c>
      <c r="E3" s="7"/>
    </row>
    <row r="4" customFormat="false" ht="15" hidden="false" customHeight="true" outlineLevel="0" collapsed="false">
      <c r="A4" s="7" t="s">
        <v>33</v>
      </c>
      <c r="B4" s="8" t="s">
        <v>34</v>
      </c>
      <c r="C4" s="8" t="s">
        <v>35</v>
      </c>
      <c r="D4" s="7" t="s">
        <v>36</v>
      </c>
      <c r="E4" s="7"/>
    </row>
    <row r="5" customFormat="false" ht="15" hidden="false" customHeight="true" outlineLevel="0" collapsed="false">
      <c r="A5" s="7" t="s">
        <v>37</v>
      </c>
      <c r="B5" s="8" t="s">
        <v>38</v>
      </c>
      <c r="C5" s="8" t="s">
        <v>39</v>
      </c>
      <c r="D5" s="7" t="s">
        <v>40</v>
      </c>
      <c r="E5" s="7"/>
    </row>
    <row r="6" customFormat="false" ht="15" hidden="false" customHeight="true" outlineLevel="0" collapsed="false">
      <c r="A6" s="7"/>
      <c r="B6" s="7"/>
      <c r="C6" s="7"/>
      <c r="D6" s="7"/>
      <c r="E6" s="7"/>
    </row>
    <row r="7" customFormat="false" ht="15" hidden="false" customHeight="true" outlineLevel="0" collapsed="false">
      <c r="A7" s="7"/>
      <c r="B7" s="7"/>
      <c r="C7" s="7"/>
      <c r="D7" s="7"/>
      <c r="E7" s="7"/>
    </row>
    <row r="8" customFormat="false" ht="15" hidden="false" customHeight="true" outlineLevel="0" collapsed="false">
      <c r="A8" s="7"/>
      <c r="B8" s="7"/>
      <c r="C8" s="7"/>
      <c r="D8" s="7"/>
      <c r="E8" s="7"/>
    </row>
    <row r="9" customFormat="false" ht="15" hidden="false" customHeight="true" outlineLevel="0" collapsed="false">
      <c r="A9" s="7"/>
      <c r="B9" s="7"/>
      <c r="C9" s="7"/>
      <c r="D9" s="7"/>
      <c r="E9" s="7"/>
    </row>
    <row r="10" customFormat="false" ht="15" hidden="false" customHeight="true" outlineLevel="0" collapsed="false">
      <c r="A10" s="7"/>
      <c r="B10" s="7"/>
      <c r="C10" s="7"/>
      <c r="D10" s="7"/>
      <c r="E10" s="7"/>
    </row>
    <row r="11" customFormat="false" ht="15" hidden="false" customHeight="true" outlineLevel="0" collapsed="false">
      <c r="A11" s="7"/>
      <c r="B11" s="7"/>
      <c r="C11" s="7"/>
      <c r="D11" s="7"/>
      <c r="E11" s="7"/>
    </row>
    <row r="12" customFormat="false" ht="15" hidden="false" customHeight="true" outlineLevel="0" collapsed="false">
      <c r="A12" s="7"/>
      <c r="B12" s="7"/>
      <c r="C12" s="7"/>
      <c r="D12" s="7"/>
      <c r="E12" s="7"/>
    </row>
    <row r="13" customFormat="false" ht="15" hidden="false" customHeight="true" outlineLevel="0" collapsed="false">
      <c r="A13" s="7"/>
      <c r="B13" s="7"/>
      <c r="C13" s="7"/>
      <c r="D13" s="7"/>
      <c r="E13" s="7"/>
    </row>
    <row r="14" customFormat="false" ht="15" hidden="false" customHeight="true" outlineLevel="0" collapsed="false">
      <c r="A14" s="7"/>
      <c r="B14" s="7"/>
      <c r="C14" s="7"/>
      <c r="D14" s="7"/>
      <c r="E14" s="7"/>
    </row>
    <row r="15" customFormat="false" ht="15" hidden="false" customHeight="true" outlineLevel="0" collapsed="false">
      <c r="A15" s="7"/>
      <c r="B15" s="7"/>
      <c r="C15" s="7"/>
      <c r="D15" s="7"/>
      <c r="E15" s="7"/>
    </row>
    <row r="16" customFormat="false" ht="15" hidden="false" customHeight="true" outlineLevel="0" collapsed="false">
      <c r="A16" s="7"/>
      <c r="B16" s="7"/>
      <c r="C16" s="7"/>
      <c r="D16" s="7"/>
      <c r="E16" s="7"/>
    </row>
    <row r="17" customFormat="false" ht="15" hidden="false" customHeight="true" outlineLevel="0" collapsed="false">
      <c r="A17" s="7"/>
      <c r="B17" s="7"/>
      <c r="C17" s="7"/>
      <c r="D17" s="7"/>
      <c r="E17" s="7"/>
    </row>
    <row r="18" customFormat="false" ht="15" hidden="false" customHeight="true" outlineLevel="0" collapsed="false">
      <c r="A18" s="7"/>
      <c r="B18" s="7"/>
      <c r="C18" s="7"/>
      <c r="D18" s="7"/>
      <c r="E18" s="7"/>
    </row>
    <row r="19" customFormat="false" ht="15" hidden="false" customHeight="true" outlineLevel="0" collapsed="false">
      <c r="A19" s="7"/>
      <c r="B19" s="7"/>
      <c r="C19" s="7"/>
      <c r="D19" s="7"/>
      <c r="E19" s="7"/>
    </row>
    <row r="20" customFormat="false" ht="15" hidden="false" customHeight="true" outlineLevel="0" collapsed="false">
      <c r="A20" s="7"/>
      <c r="B20" s="7"/>
      <c r="C20" s="7"/>
      <c r="D20" s="7"/>
      <c r="E20" s="7"/>
    </row>
    <row r="21" customFormat="false" ht="15" hidden="false" customHeight="true" outlineLevel="0" collapsed="false">
      <c r="A21" s="7"/>
      <c r="B21" s="7"/>
      <c r="C21" s="7"/>
      <c r="D21" s="7"/>
      <c r="E21" s="7"/>
    </row>
    <row r="22" customFormat="false" ht="15" hidden="false" customHeight="true" outlineLevel="0" collapsed="false">
      <c r="A22" s="7"/>
      <c r="B22" s="7"/>
      <c r="C22" s="7"/>
      <c r="D22" s="7"/>
      <c r="E22" s="7"/>
    </row>
    <row r="23" customFormat="false" ht="15" hidden="false" customHeight="true" outlineLevel="0" collapsed="false">
      <c r="A23" s="7"/>
      <c r="B23" s="7"/>
      <c r="C23" s="7"/>
      <c r="D23" s="7"/>
      <c r="E23" s="7"/>
    </row>
    <row r="24" customFormat="false" ht="15" hidden="false" customHeight="true" outlineLevel="0" collapsed="false">
      <c r="A24" s="7"/>
      <c r="B24" s="7"/>
      <c r="C24" s="7"/>
      <c r="D24" s="7"/>
      <c r="E24" s="7"/>
    </row>
    <row r="25" customFormat="false" ht="15" hidden="false" customHeight="true" outlineLevel="0" collapsed="false">
      <c r="A25" s="7"/>
      <c r="B25" s="7"/>
      <c r="C25" s="7"/>
      <c r="D25" s="7"/>
      <c r="E25" s="7"/>
    </row>
    <row r="26" customFormat="false" ht="15" hidden="false" customHeight="true" outlineLevel="0" collapsed="false">
      <c r="A26" s="7"/>
      <c r="B26" s="7"/>
      <c r="C26" s="7"/>
      <c r="D26" s="7"/>
      <c r="E26" s="7"/>
    </row>
    <row r="27" customFormat="false" ht="15" hidden="false" customHeight="true" outlineLevel="0" collapsed="false">
      <c r="A27" s="7"/>
      <c r="B27" s="7"/>
      <c r="C27" s="7"/>
      <c r="D27" s="7"/>
      <c r="E27" s="7"/>
    </row>
    <row r="28" customFormat="false" ht="15" hidden="false" customHeight="true" outlineLevel="0" collapsed="false">
      <c r="A28" s="7"/>
      <c r="B28" s="7"/>
      <c r="C28" s="7"/>
      <c r="D28" s="7"/>
      <c r="E28" s="7"/>
    </row>
    <row r="29" customFormat="false" ht="15" hidden="false" customHeight="true" outlineLevel="0" collapsed="false">
      <c r="A29" s="7"/>
      <c r="B29" s="7"/>
      <c r="C29" s="7"/>
      <c r="D29" s="7"/>
      <c r="E29" s="7"/>
    </row>
    <row r="30" customFormat="false" ht="15" hidden="false" customHeight="true" outlineLevel="0" collapsed="false">
      <c r="A30" s="7"/>
      <c r="B30" s="7"/>
      <c r="C30" s="7"/>
      <c r="D30" s="7"/>
      <c r="E30" s="7"/>
    </row>
    <row r="31" customFormat="false" ht="15" hidden="false" customHeight="true" outlineLevel="0" collapsed="false">
      <c r="A31" s="7"/>
      <c r="B31" s="7"/>
      <c r="C31" s="7"/>
      <c r="D31" s="7"/>
      <c r="E31" s="7"/>
    </row>
    <row r="32" customFormat="false" ht="15" hidden="false" customHeight="true" outlineLevel="0" collapsed="false">
      <c r="A32" s="7"/>
      <c r="B32" s="7"/>
      <c r="C32" s="7"/>
      <c r="D32" s="7"/>
      <c r="E32" s="7"/>
    </row>
    <row r="33" customFormat="false" ht="15" hidden="false" customHeight="true" outlineLevel="0" collapsed="false">
      <c r="A33" s="7"/>
      <c r="B33" s="7"/>
      <c r="C33" s="7"/>
      <c r="D33" s="7"/>
      <c r="E33" s="7"/>
    </row>
    <row r="34" customFormat="false" ht="15" hidden="false" customHeight="true" outlineLevel="0" collapsed="false">
      <c r="A34" s="7"/>
      <c r="B34" s="7"/>
      <c r="C34" s="7"/>
      <c r="D34" s="7"/>
      <c r="E34" s="7"/>
    </row>
    <row r="35" customFormat="false" ht="15" hidden="false" customHeight="true" outlineLevel="0" collapsed="false">
      <c r="A35" s="7"/>
      <c r="B35" s="7"/>
      <c r="C35" s="7"/>
      <c r="D35" s="7"/>
      <c r="E35" s="7"/>
    </row>
    <row r="36" customFormat="false" ht="15" hidden="false" customHeight="true" outlineLevel="0" collapsed="false">
      <c r="A36" s="7"/>
      <c r="B36" s="7"/>
      <c r="C36" s="7"/>
      <c r="D36" s="7"/>
      <c r="E36" s="7"/>
    </row>
    <row r="37" customFormat="false" ht="15" hidden="false" customHeight="true" outlineLevel="0" collapsed="false">
      <c r="A37" s="7"/>
      <c r="B37" s="7"/>
      <c r="C37" s="7"/>
      <c r="D37" s="7"/>
      <c r="E37" s="7"/>
    </row>
    <row r="38" customFormat="false" ht="15" hidden="false" customHeight="true" outlineLevel="0" collapsed="false">
      <c r="A38" s="7"/>
      <c r="B38" s="7"/>
      <c r="C38" s="7"/>
      <c r="D38" s="7"/>
      <c r="E38" s="7"/>
    </row>
    <row r="39" customFormat="false" ht="15" hidden="false" customHeight="true" outlineLevel="0" collapsed="false">
      <c r="A39" s="7"/>
      <c r="B39" s="7"/>
      <c r="C39" s="7"/>
      <c r="D39" s="7"/>
      <c r="E39" s="7"/>
    </row>
    <row r="40" customFormat="false" ht="15" hidden="false" customHeight="true" outlineLevel="0" collapsed="false">
      <c r="A40" s="7"/>
      <c r="B40" s="7"/>
      <c r="C40" s="7"/>
      <c r="D40" s="7"/>
      <c r="E40" s="7"/>
    </row>
    <row r="41" customFormat="false" ht="15" hidden="false" customHeight="true" outlineLevel="0" collapsed="false">
      <c r="A41" s="7"/>
      <c r="B41" s="7"/>
      <c r="C41" s="7"/>
      <c r="D41" s="7"/>
      <c r="E41" s="7"/>
    </row>
    <row r="42" customFormat="false" ht="15" hidden="false" customHeight="true" outlineLevel="0" collapsed="false">
      <c r="A42" s="7"/>
      <c r="B42" s="7"/>
      <c r="C42" s="7"/>
      <c r="D42" s="7"/>
      <c r="E42" s="7"/>
    </row>
    <row r="43" customFormat="false" ht="15" hidden="false" customHeight="true" outlineLevel="0" collapsed="false">
      <c r="A43" s="7"/>
      <c r="B43" s="7"/>
      <c r="C43" s="7"/>
      <c r="D43" s="7"/>
      <c r="E43" s="7"/>
    </row>
    <row r="44" customFormat="false" ht="15" hidden="false" customHeight="true" outlineLevel="0" collapsed="false">
      <c r="A44" s="7"/>
      <c r="B44" s="7"/>
      <c r="C44" s="7"/>
      <c r="D44" s="7"/>
      <c r="E44" s="7"/>
    </row>
    <row r="45" customFormat="false" ht="15" hidden="false" customHeight="true" outlineLevel="0" collapsed="false">
      <c r="A45" s="7"/>
      <c r="B45" s="7"/>
      <c r="C45" s="7"/>
      <c r="D45" s="7"/>
      <c r="E45" s="7"/>
    </row>
    <row r="46" customFormat="false" ht="15" hidden="false" customHeight="true" outlineLevel="0" collapsed="false">
      <c r="A46" s="7"/>
      <c r="B46" s="7"/>
      <c r="C46" s="7"/>
      <c r="D46" s="7"/>
      <c r="E46" s="7"/>
    </row>
    <row r="47" customFormat="false" ht="15" hidden="false" customHeight="true" outlineLevel="0" collapsed="false">
      <c r="A47" s="7"/>
      <c r="B47" s="7"/>
      <c r="C47" s="7"/>
      <c r="D47" s="7"/>
      <c r="E47" s="7"/>
    </row>
    <row r="48" customFormat="false" ht="15" hidden="false" customHeight="true" outlineLevel="0" collapsed="false">
      <c r="A48" s="7"/>
      <c r="B48" s="7"/>
      <c r="C48" s="7"/>
      <c r="D48" s="7"/>
      <c r="E48" s="7"/>
    </row>
    <row r="49" customFormat="false" ht="15" hidden="false" customHeight="true" outlineLevel="0" collapsed="false">
      <c r="A49" s="7"/>
      <c r="B49" s="7"/>
      <c r="C49" s="7"/>
      <c r="D49" s="7"/>
      <c r="E49" s="7"/>
    </row>
    <row r="50" customFormat="false" ht="15" hidden="false" customHeight="true" outlineLevel="0" collapsed="false">
      <c r="A50" s="7"/>
      <c r="B50" s="7"/>
      <c r="C50" s="7"/>
      <c r="D50" s="7"/>
      <c r="E50" s="7"/>
    </row>
    <row r="51" customFormat="false" ht="15" hidden="false" customHeight="true" outlineLevel="0" collapsed="false">
      <c r="A51" s="7"/>
      <c r="B51" s="7"/>
      <c r="C51" s="7"/>
      <c r="D51" s="7"/>
      <c r="E51" s="7"/>
    </row>
    <row r="52" customFormat="false" ht="15" hidden="false" customHeight="true" outlineLevel="0" collapsed="false">
      <c r="A52" s="7"/>
      <c r="B52" s="7"/>
      <c r="C52" s="7"/>
      <c r="D52" s="7"/>
      <c r="E52" s="7"/>
    </row>
    <row r="53" customFormat="false" ht="15" hidden="false" customHeight="true" outlineLevel="0" collapsed="false">
      <c r="A53" s="7"/>
      <c r="B53" s="7"/>
      <c r="C53" s="7"/>
      <c r="D53" s="7"/>
      <c r="E53" s="7"/>
    </row>
    <row r="54" customFormat="false" ht="15" hidden="false" customHeight="true" outlineLevel="0" collapsed="false">
      <c r="A54" s="7"/>
      <c r="B54" s="7"/>
      <c r="C54" s="7"/>
      <c r="D54" s="7"/>
      <c r="E54" s="7"/>
    </row>
    <row r="55" customFormat="false" ht="15" hidden="false" customHeight="true" outlineLevel="0" collapsed="false">
      <c r="A55" s="7"/>
      <c r="B55" s="7"/>
      <c r="C55" s="7"/>
      <c r="D55" s="7"/>
      <c r="E55" s="7"/>
    </row>
    <row r="56" customFormat="false" ht="15" hidden="false" customHeight="true" outlineLevel="0" collapsed="false">
      <c r="A56" s="7"/>
      <c r="B56" s="7"/>
      <c r="C56" s="7"/>
      <c r="D56" s="7"/>
      <c r="E56" s="7"/>
    </row>
    <row r="57" customFormat="false" ht="15" hidden="false" customHeight="true" outlineLevel="0" collapsed="false">
      <c r="A57" s="7"/>
      <c r="B57" s="7"/>
      <c r="C57" s="7"/>
      <c r="D57" s="7"/>
      <c r="E57" s="7"/>
    </row>
    <row r="58" customFormat="false" ht="15" hidden="false" customHeight="true" outlineLevel="0" collapsed="false">
      <c r="A58" s="7"/>
      <c r="B58" s="7"/>
      <c r="C58" s="7"/>
      <c r="D58" s="7"/>
      <c r="E58" s="7"/>
    </row>
    <row r="59" customFormat="false" ht="15" hidden="false" customHeight="true" outlineLevel="0" collapsed="false">
      <c r="A59" s="7"/>
      <c r="B59" s="7"/>
      <c r="C59" s="7"/>
      <c r="D59" s="7"/>
      <c r="E59" s="7"/>
    </row>
    <row r="60" customFormat="false" ht="15" hidden="false" customHeight="true" outlineLevel="0" collapsed="false">
      <c r="A60" s="7"/>
      <c r="B60" s="7"/>
      <c r="C60" s="7"/>
      <c r="D60" s="7"/>
      <c r="E60" s="7"/>
    </row>
    <row r="61" customFormat="false" ht="15" hidden="false" customHeight="true" outlineLevel="0" collapsed="false">
      <c r="A61" s="7"/>
      <c r="B61" s="7"/>
      <c r="C61" s="7"/>
      <c r="D61" s="7"/>
      <c r="E61" s="7"/>
    </row>
    <row r="62" customFormat="false" ht="15" hidden="false" customHeight="true" outlineLevel="0" collapsed="false">
      <c r="A62" s="7"/>
      <c r="B62" s="7"/>
      <c r="C62" s="7"/>
      <c r="D62" s="7"/>
      <c r="E62" s="7"/>
    </row>
    <row r="63" customFormat="false" ht="15" hidden="false" customHeight="true" outlineLevel="0" collapsed="false">
      <c r="A63" s="7"/>
      <c r="B63" s="7"/>
      <c r="C63" s="7"/>
      <c r="D63" s="7"/>
      <c r="E63" s="7"/>
    </row>
    <row r="64" customFormat="false" ht="15" hidden="false" customHeight="true" outlineLevel="0" collapsed="false">
      <c r="A64" s="7"/>
      <c r="B64" s="7"/>
      <c r="C64" s="7"/>
      <c r="D64" s="7"/>
      <c r="E64" s="7"/>
    </row>
    <row r="65" customFormat="false" ht="15" hidden="false" customHeight="true" outlineLevel="0" collapsed="false">
      <c r="A65" s="7"/>
      <c r="B65" s="7"/>
      <c r="C65" s="7"/>
      <c r="D65" s="7"/>
      <c r="E65" s="7"/>
    </row>
    <row r="66" customFormat="false" ht="15" hidden="false" customHeight="true" outlineLevel="0" collapsed="false">
      <c r="A66" s="7"/>
      <c r="B66" s="7"/>
      <c r="C66" s="7"/>
      <c r="D66" s="7"/>
      <c r="E66" s="7"/>
    </row>
    <row r="67" customFormat="false" ht="15" hidden="false" customHeight="true" outlineLevel="0" collapsed="false">
      <c r="A67" s="7"/>
      <c r="B67" s="7"/>
      <c r="C67" s="7"/>
      <c r="D67" s="7"/>
      <c r="E67" s="7"/>
    </row>
    <row r="68" customFormat="false" ht="15" hidden="false" customHeight="true" outlineLevel="0" collapsed="false">
      <c r="A68" s="7"/>
      <c r="B68" s="7"/>
      <c r="C68" s="7"/>
      <c r="D68" s="7"/>
      <c r="E68" s="7"/>
    </row>
    <row r="69" customFormat="false" ht="15" hidden="false" customHeight="true" outlineLevel="0" collapsed="false">
      <c r="A69" s="7"/>
      <c r="B69" s="7"/>
      <c r="C69" s="7"/>
      <c r="D69" s="7"/>
      <c r="E69" s="7"/>
    </row>
    <row r="70" customFormat="false" ht="15" hidden="false" customHeight="true" outlineLevel="0" collapsed="false">
      <c r="A70" s="7"/>
      <c r="B70" s="7"/>
      <c r="C70" s="7"/>
      <c r="D70" s="7"/>
      <c r="E70" s="7"/>
    </row>
    <row r="71" customFormat="false" ht="15" hidden="false" customHeight="true" outlineLevel="0" collapsed="false">
      <c r="A71" s="7"/>
      <c r="B71" s="7"/>
      <c r="C71" s="7"/>
      <c r="D71" s="7"/>
      <c r="E71" s="7"/>
    </row>
    <row r="72" customFormat="false" ht="15" hidden="false" customHeight="true" outlineLevel="0" collapsed="false">
      <c r="A72" s="7"/>
      <c r="B72" s="7"/>
      <c r="C72" s="7"/>
      <c r="D72" s="7"/>
      <c r="E72" s="7"/>
    </row>
    <row r="73" customFormat="false" ht="15" hidden="false" customHeight="true" outlineLevel="0" collapsed="false">
      <c r="A73" s="7"/>
      <c r="B73" s="7"/>
      <c r="C73" s="7"/>
      <c r="D73" s="7"/>
      <c r="E73" s="7"/>
    </row>
    <row r="74" customFormat="false" ht="15" hidden="false" customHeight="true" outlineLevel="0" collapsed="false">
      <c r="A74" s="7"/>
      <c r="B74" s="7"/>
      <c r="C74" s="7"/>
      <c r="D74" s="7"/>
      <c r="E74" s="7"/>
    </row>
    <row r="75" customFormat="false" ht="15" hidden="false" customHeight="true" outlineLevel="0" collapsed="false">
      <c r="A75" s="7"/>
      <c r="B75" s="7"/>
      <c r="C75" s="7"/>
      <c r="D75" s="7"/>
      <c r="E75" s="7"/>
    </row>
    <row r="76" customFormat="false" ht="15" hidden="false" customHeight="true" outlineLevel="0" collapsed="false">
      <c r="A76" s="7"/>
      <c r="B76" s="7"/>
      <c r="C76" s="7"/>
      <c r="D76" s="7"/>
      <c r="E76" s="7"/>
    </row>
    <row r="77" customFormat="false" ht="15" hidden="false" customHeight="true" outlineLevel="0" collapsed="false">
      <c r="A77" s="7"/>
      <c r="B77" s="7"/>
      <c r="C77" s="7"/>
      <c r="D77" s="7"/>
      <c r="E77" s="7"/>
    </row>
    <row r="78" customFormat="false" ht="15" hidden="false" customHeight="true" outlineLevel="0" collapsed="false">
      <c r="A78" s="7"/>
      <c r="B78" s="7"/>
      <c r="C78" s="7"/>
      <c r="D78" s="7"/>
      <c r="E78" s="7"/>
    </row>
    <row r="79" customFormat="false" ht="15" hidden="false" customHeight="true" outlineLevel="0" collapsed="false">
      <c r="A79" s="7"/>
      <c r="B79" s="7"/>
      <c r="C79" s="7"/>
      <c r="D79" s="7"/>
      <c r="E79" s="7"/>
    </row>
    <row r="80" customFormat="false" ht="15" hidden="false" customHeight="true" outlineLevel="0" collapsed="false">
      <c r="A80" s="7"/>
      <c r="B80" s="7"/>
      <c r="C80" s="7"/>
      <c r="D80" s="7"/>
      <c r="E80" s="7"/>
    </row>
    <row r="81" customFormat="false" ht="15" hidden="false" customHeight="true" outlineLevel="0" collapsed="false">
      <c r="A81" s="7"/>
      <c r="B81" s="7"/>
      <c r="C81" s="7"/>
      <c r="D81" s="7"/>
      <c r="E81" s="7"/>
    </row>
    <row r="82" customFormat="false" ht="15" hidden="false" customHeight="true" outlineLevel="0" collapsed="false">
      <c r="A82" s="7"/>
      <c r="B82" s="7"/>
      <c r="C82" s="7"/>
      <c r="D82" s="7"/>
      <c r="E82" s="7"/>
    </row>
    <row r="83" customFormat="false" ht="15" hidden="false" customHeight="true" outlineLevel="0" collapsed="false">
      <c r="A83" s="7"/>
      <c r="B83" s="7"/>
      <c r="C83" s="7"/>
      <c r="D83" s="7"/>
      <c r="E83" s="7"/>
    </row>
    <row r="84" customFormat="false" ht="15" hidden="false" customHeight="true" outlineLevel="0" collapsed="false">
      <c r="A84" s="7"/>
      <c r="B84" s="7"/>
      <c r="C84" s="7"/>
      <c r="D84" s="7"/>
      <c r="E84" s="7"/>
    </row>
    <row r="85" customFormat="false" ht="15" hidden="false" customHeight="true" outlineLevel="0" collapsed="false">
      <c r="A85" s="7"/>
      <c r="B85" s="7"/>
      <c r="C85" s="7"/>
      <c r="D85" s="7"/>
      <c r="E85" s="7"/>
    </row>
    <row r="86" customFormat="false" ht="15" hidden="false" customHeight="true" outlineLevel="0" collapsed="false">
      <c r="A86" s="7"/>
      <c r="B86" s="7"/>
      <c r="C86" s="7"/>
      <c r="D86" s="7"/>
      <c r="E86" s="7"/>
    </row>
    <row r="87" customFormat="false" ht="15" hidden="false" customHeight="true" outlineLevel="0" collapsed="false">
      <c r="A87" s="7"/>
      <c r="B87" s="7"/>
      <c r="C87" s="7"/>
      <c r="D87" s="7"/>
      <c r="E87" s="7"/>
    </row>
    <row r="88" customFormat="false" ht="15" hidden="false" customHeight="true" outlineLevel="0" collapsed="false">
      <c r="A88" s="7"/>
      <c r="B88" s="7"/>
      <c r="C88" s="7"/>
      <c r="D88" s="7"/>
      <c r="E88" s="7"/>
    </row>
    <row r="89" customFormat="false" ht="15" hidden="false" customHeight="true" outlineLevel="0" collapsed="false">
      <c r="A89" s="7"/>
      <c r="B89" s="7"/>
      <c r="C89" s="7"/>
      <c r="D89" s="7"/>
      <c r="E89" s="7"/>
    </row>
    <row r="90" customFormat="false" ht="15" hidden="false" customHeight="true" outlineLevel="0" collapsed="false">
      <c r="A90" s="7"/>
      <c r="B90" s="7"/>
      <c r="C90" s="7"/>
      <c r="D90" s="7"/>
      <c r="E90" s="7"/>
    </row>
    <row r="91" customFormat="false" ht="15" hidden="false" customHeight="true" outlineLevel="0" collapsed="false">
      <c r="A91" s="7"/>
      <c r="B91" s="7"/>
      <c r="C91" s="7"/>
      <c r="D91" s="7"/>
      <c r="E91" s="7"/>
    </row>
    <row r="92" customFormat="false" ht="15" hidden="false" customHeight="true" outlineLevel="0" collapsed="false">
      <c r="A92" s="7"/>
      <c r="B92" s="7"/>
      <c r="C92" s="7"/>
      <c r="D92" s="7"/>
      <c r="E92" s="7"/>
    </row>
    <row r="93" customFormat="false" ht="15" hidden="false" customHeight="true" outlineLevel="0" collapsed="false">
      <c r="A93" s="7"/>
      <c r="B93" s="7"/>
      <c r="C93" s="7"/>
      <c r="D93" s="7"/>
      <c r="E93" s="7"/>
    </row>
    <row r="94" customFormat="false" ht="15" hidden="false" customHeight="true" outlineLevel="0" collapsed="false">
      <c r="A94" s="7"/>
      <c r="B94" s="7"/>
      <c r="C94" s="7"/>
      <c r="D94" s="7"/>
      <c r="E94" s="7"/>
    </row>
    <row r="95" customFormat="false" ht="15" hidden="false" customHeight="true" outlineLevel="0" collapsed="false">
      <c r="A95" s="7"/>
      <c r="B95" s="7"/>
      <c r="C95" s="7"/>
      <c r="D95" s="7"/>
      <c r="E95" s="7"/>
    </row>
    <row r="96" customFormat="false" ht="15" hidden="false" customHeight="true" outlineLevel="0" collapsed="false">
      <c r="A96" s="7"/>
      <c r="B96" s="7"/>
      <c r="C96" s="7"/>
      <c r="D96" s="7"/>
      <c r="E96" s="7"/>
    </row>
    <row r="97" customFormat="false" ht="15" hidden="false" customHeight="true" outlineLevel="0" collapsed="false">
      <c r="A97" s="7"/>
      <c r="B97" s="7"/>
      <c r="C97" s="7"/>
      <c r="D97" s="7"/>
      <c r="E97" s="7"/>
    </row>
    <row r="98" customFormat="false" ht="15" hidden="false" customHeight="true" outlineLevel="0" collapsed="false">
      <c r="A98" s="7"/>
      <c r="B98" s="7"/>
      <c r="C98" s="7"/>
      <c r="D98" s="7"/>
      <c r="E98" s="7"/>
    </row>
    <row r="99" customFormat="false" ht="15" hidden="false" customHeight="true" outlineLevel="0" collapsed="false">
      <c r="A99" s="7"/>
      <c r="B99" s="7"/>
      <c r="C99" s="7"/>
      <c r="D99" s="7"/>
      <c r="E99" s="7"/>
    </row>
    <row r="100" customFormat="false" ht="15" hidden="false" customHeight="true" outlineLevel="0" collapsed="false">
      <c r="A100" s="7"/>
      <c r="B100" s="7"/>
      <c r="C100" s="7"/>
      <c r="D100" s="7"/>
      <c r="E100" s="7"/>
    </row>
    <row r="101" customFormat="false" ht="15" hidden="false" customHeight="true" outlineLevel="0" collapsed="false">
      <c r="A101" s="7"/>
      <c r="B101" s="7"/>
      <c r="C101" s="7"/>
      <c r="D101" s="7"/>
      <c r="E101" s="7"/>
    </row>
    <row r="102" customFormat="false" ht="15" hidden="false" customHeight="true" outlineLevel="0" collapsed="false">
      <c r="A102" s="7"/>
      <c r="B102" s="7"/>
      <c r="C102" s="7"/>
      <c r="D102" s="7"/>
      <c r="E102" s="7"/>
    </row>
    <row r="103" customFormat="false" ht="15" hidden="false" customHeight="true" outlineLevel="0" collapsed="false">
      <c r="A103" s="7"/>
      <c r="B103" s="7"/>
      <c r="C103" s="7"/>
      <c r="D103" s="7"/>
      <c r="E103" s="7"/>
    </row>
    <row r="104" customFormat="false" ht="15" hidden="false" customHeight="true" outlineLevel="0" collapsed="false">
      <c r="A104" s="7"/>
      <c r="B104" s="7"/>
      <c r="C104" s="7"/>
      <c r="D104" s="7"/>
      <c r="E104" s="7"/>
    </row>
    <row r="105" customFormat="false" ht="15" hidden="false" customHeight="true" outlineLevel="0" collapsed="false">
      <c r="A105" s="7"/>
      <c r="B105" s="7"/>
      <c r="C105" s="7"/>
      <c r="D105" s="7"/>
      <c r="E105" s="7"/>
    </row>
    <row r="106" customFormat="false" ht="15" hidden="false" customHeight="true" outlineLevel="0" collapsed="false">
      <c r="A106" s="7"/>
      <c r="B106" s="7"/>
      <c r="C106" s="7"/>
      <c r="D106" s="7"/>
      <c r="E106" s="7"/>
    </row>
    <row r="107" customFormat="false" ht="15" hidden="false" customHeight="true" outlineLevel="0" collapsed="false">
      <c r="A107" s="7"/>
      <c r="B107" s="7"/>
      <c r="C107" s="7"/>
      <c r="D107" s="7"/>
      <c r="E107" s="7"/>
    </row>
    <row r="108" customFormat="false" ht="15" hidden="false" customHeight="true" outlineLevel="0" collapsed="false">
      <c r="A108" s="7"/>
      <c r="B108" s="7"/>
      <c r="C108" s="7"/>
      <c r="D108" s="7"/>
      <c r="E108" s="7"/>
    </row>
    <row r="109" customFormat="false" ht="15" hidden="false" customHeight="true" outlineLevel="0" collapsed="false">
      <c r="A109" s="7"/>
      <c r="B109" s="7"/>
      <c r="C109" s="7"/>
      <c r="D109" s="7"/>
      <c r="E109" s="7"/>
    </row>
    <row r="110" customFormat="false" ht="15" hidden="false" customHeight="true" outlineLevel="0" collapsed="false">
      <c r="A110" s="7"/>
      <c r="B110" s="7"/>
      <c r="C110" s="7"/>
      <c r="D110" s="7"/>
      <c r="E110" s="7"/>
    </row>
    <row r="111" customFormat="false" ht="15" hidden="false" customHeight="true" outlineLevel="0" collapsed="false">
      <c r="A111" s="7"/>
      <c r="B111" s="7"/>
      <c r="C111" s="7"/>
      <c r="D111" s="7"/>
      <c r="E111" s="7"/>
    </row>
    <row r="112" customFormat="false" ht="15" hidden="false" customHeight="true" outlineLevel="0" collapsed="false">
      <c r="A112" s="7"/>
      <c r="B112" s="7"/>
      <c r="C112" s="7"/>
      <c r="D112" s="7"/>
      <c r="E112" s="7"/>
    </row>
    <row r="113" customFormat="false" ht="15" hidden="false" customHeight="true" outlineLevel="0" collapsed="false">
      <c r="A113" s="7"/>
      <c r="B113" s="7"/>
      <c r="C113" s="7"/>
      <c r="D113" s="7"/>
      <c r="E113" s="7"/>
    </row>
    <row r="114" customFormat="false" ht="15" hidden="false" customHeight="true" outlineLevel="0" collapsed="false">
      <c r="A114" s="7"/>
      <c r="B114" s="7"/>
      <c r="C114" s="7"/>
      <c r="D114" s="7"/>
      <c r="E114" s="7"/>
    </row>
    <row r="115" customFormat="false" ht="15" hidden="false" customHeight="true" outlineLevel="0" collapsed="false">
      <c r="A115" s="7"/>
      <c r="B115" s="7"/>
      <c r="C115" s="7"/>
      <c r="D115" s="7"/>
      <c r="E115" s="7"/>
    </row>
    <row r="116" customFormat="false" ht="15" hidden="false" customHeight="true" outlineLevel="0" collapsed="false">
      <c r="A116" s="7"/>
      <c r="B116" s="7"/>
      <c r="C116" s="7"/>
      <c r="D116" s="7"/>
      <c r="E116" s="7"/>
    </row>
    <row r="117" customFormat="false" ht="15" hidden="false" customHeight="true" outlineLevel="0" collapsed="false">
      <c r="A117" s="7"/>
      <c r="B117" s="7"/>
      <c r="C117" s="7"/>
      <c r="D117" s="7"/>
      <c r="E117" s="7"/>
    </row>
    <row r="118" customFormat="false" ht="15" hidden="false" customHeight="true" outlineLevel="0" collapsed="false">
      <c r="A118" s="7"/>
      <c r="B118" s="7"/>
      <c r="C118" s="7"/>
      <c r="D118" s="7"/>
      <c r="E118" s="7"/>
    </row>
    <row r="119" customFormat="false" ht="15" hidden="false" customHeight="true" outlineLevel="0" collapsed="false">
      <c r="A119" s="7"/>
      <c r="B119" s="7"/>
      <c r="C119" s="7"/>
      <c r="D119" s="7"/>
      <c r="E119" s="7"/>
    </row>
    <row r="120" customFormat="false" ht="15" hidden="false" customHeight="true" outlineLevel="0" collapsed="false">
      <c r="A120" s="7"/>
      <c r="B120" s="7"/>
      <c r="C120" s="7"/>
      <c r="D120" s="7"/>
      <c r="E120" s="7"/>
    </row>
    <row r="121" customFormat="false" ht="15" hidden="false" customHeight="true" outlineLevel="0" collapsed="false">
      <c r="A121" s="7"/>
      <c r="B121" s="7"/>
      <c r="C121" s="7"/>
      <c r="D121" s="7"/>
      <c r="E121" s="7"/>
    </row>
    <row r="122" customFormat="false" ht="15" hidden="false" customHeight="true" outlineLevel="0" collapsed="false">
      <c r="A122" s="7"/>
      <c r="B122" s="7"/>
      <c r="C122" s="7"/>
      <c r="D122" s="7"/>
      <c r="E122" s="7"/>
    </row>
    <row r="123" customFormat="false" ht="15" hidden="false" customHeight="true" outlineLevel="0" collapsed="false">
      <c r="A123" s="7"/>
      <c r="B123" s="7"/>
      <c r="C123" s="7"/>
      <c r="D123" s="7"/>
      <c r="E123" s="7"/>
    </row>
    <row r="124" customFormat="false" ht="15" hidden="false" customHeight="true" outlineLevel="0" collapsed="false">
      <c r="A124" s="7"/>
      <c r="B124" s="7"/>
      <c r="C124" s="7"/>
      <c r="D124" s="7"/>
      <c r="E124" s="7"/>
    </row>
    <row r="125" customFormat="false" ht="15" hidden="false" customHeight="true" outlineLevel="0" collapsed="false">
      <c r="A125" s="7"/>
      <c r="B125" s="7"/>
      <c r="C125" s="7"/>
      <c r="D125" s="7"/>
      <c r="E125" s="7"/>
    </row>
    <row r="126" customFormat="false" ht="15" hidden="false" customHeight="true" outlineLevel="0" collapsed="false">
      <c r="A126" s="7"/>
      <c r="B126" s="7"/>
      <c r="C126" s="7"/>
      <c r="D126" s="7"/>
      <c r="E126" s="7"/>
    </row>
    <row r="127" customFormat="false" ht="15" hidden="false" customHeight="true" outlineLevel="0" collapsed="false">
      <c r="A127" s="7"/>
      <c r="B127" s="7"/>
      <c r="C127" s="7"/>
      <c r="D127" s="7"/>
      <c r="E127" s="7"/>
    </row>
    <row r="128" customFormat="false" ht="15" hidden="false" customHeight="true" outlineLevel="0" collapsed="false">
      <c r="A128" s="7"/>
      <c r="B128" s="7"/>
      <c r="C128" s="7"/>
      <c r="D128" s="7"/>
      <c r="E128" s="7"/>
    </row>
    <row r="129" customFormat="false" ht="15" hidden="false" customHeight="true" outlineLevel="0" collapsed="false">
      <c r="A129" s="7"/>
      <c r="B129" s="7"/>
      <c r="C129" s="7"/>
      <c r="D129" s="7"/>
      <c r="E129" s="7"/>
    </row>
    <row r="130" customFormat="false" ht="15" hidden="false" customHeight="true" outlineLevel="0" collapsed="false">
      <c r="A130" s="7"/>
      <c r="B130" s="7"/>
      <c r="C130" s="7"/>
      <c r="D130" s="7"/>
      <c r="E130" s="7"/>
    </row>
    <row r="131" customFormat="false" ht="15" hidden="false" customHeight="true" outlineLevel="0" collapsed="false">
      <c r="A131" s="7"/>
      <c r="B131" s="7"/>
      <c r="C131" s="7"/>
      <c r="D131" s="7"/>
      <c r="E131" s="7"/>
    </row>
    <row r="132" customFormat="false" ht="15" hidden="false" customHeight="true" outlineLevel="0" collapsed="false">
      <c r="A132" s="7"/>
      <c r="B132" s="7"/>
      <c r="C132" s="7"/>
      <c r="D132" s="7"/>
      <c r="E132" s="7"/>
    </row>
    <row r="133" customFormat="false" ht="15" hidden="false" customHeight="true" outlineLevel="0" collapsed="false">
      <c r="A133" s="7"/>
      <c r="B133" s="7"/>
      <c r="C133" s="7"/>
      <c r="D133" s="7"/>
      <c r="E133" s="7"/>
    </row>
    <row r="134" customFormat="false" ht="15" hidden="false" customHeight="true" outlineLevel="0" collapsed="false">
      <c r="A134" s="7"/>
      <c r="B134" s="7"/>
      <c r="C134" s="7"/>
      <c r="D134" s="7"/>
      <c r="E134" s="7"/>
    </row>
    <row r="135" customFormat="false" ht="15" hidden="false" customHeight="true" outlineLevel="0" collapsed="false">
      <c r="A135" s="7"/>
      <c r="B135" s="7"/>
      <c r="C135" s="7"/>
      <c r="D135" s="7"/>
      <c r="E135" s="7"/>
    </row>
    <row r="136" customFormat="false" ht="15" hidden="false" customHeight="true" outlineLevel="0" collapsed="false">
      <c r="A136" s="7"/>
      <c r="B136" s="7"/>
      <c r="C136" s="7"/>
      <c r="D136" s="7"/>
      <c r="E136" s="7"/>
    </row>
    <row r="137" customFormat="false" ht="15" hidden="false" customHeight="true" outlineLevel="0" collapsed="false">
      <c r="A137" s="7"/>
      <c r="B137" s="7"/>
      <c r="C137" s="7"/>
      <c r="D137" s="7"/>
      <c r="E137" s="7"/>
    </row>
    <row r="138" customFormat="false" ht="15" hidden="false" customHeight="true" outlineLevel="0" collapsed="false">
      <c r="A138" s="7"/>
      <c r="B138" s="7"/>
      <c r="C138" s="7"/>
      <c r="D138" s="7"/>
      <c r="E138" s="7"/>
    </row>
    <row r="139" customFormat="false" ht="15" hidden="false" customHeight="true" outlineLevel="0" collapsed="false">
      <c r="A139" s="7"/>
      <c r="B139" s="7"/>
      <c r="C139" s="7"/>
      <c r="D139" s="7"/>
      <c r="E139" s="7"/>
    </row>
    <row r="140" customFormat="false" ht="15" hidden="false" customHeight="true" outlineLevel="0" collapsed="false">
      <c r="A140" s="7"/>
      <c r="B140" s="7"/>
      <c r="C140" s="7"/>
      <c r="D140" s="7"/>
      <c r="E140" s="7"/>
    </row>
    <row r="141" customFormat="false" ht="15" hidden="false" customHeight="true" outlineLevel="0" collapsed="false">
      <c r="A141" s="7"/>
      <c r="B141" s="7"/>
      <c r="C141" s="7"/>
      <c r="D141" s="7"/>
      <c r="E141" s="7"/>
    </row>
    <row r="142" customFormat="false" ht="15" hidden="false" customHeight="true" outlineLevel="0" collapsed="false">
      <c r="A142" s="7"/>
      <c r="B142" s="7"/>
      <c r="C142" s="7"/>
      <c r="D142" s="7"/>
      <c r="E142" s="7"/>
    </row>
    <row r="143" customFormat="false" ht="15" hidden="false" customHeight="true" outlineLevel="0" collapsed="false">
      <c r="A143" s="7"/>
      <c r="B143" s="7"/>
      <c r="C143" s="7"/>
      <c r="D143" s="7"/>
      <c r="E143" s="7"/>
    </row>
    <row r="144" customFormat="false" ht="15" hidden="false" customHeight="true" outlineLevel="0" collapsed="false">
      <c r="A144" s="7"/>
      <c r="B144" s="7"/>
      <c r="C144" s="7"/>
      <c r="D144" s="7"/>
      <c r="E144" s="7"/>
    </row>
    <row r="145" customFormat="false" ht="15" hidden="false" customHeight="true" outlineLevel="0" collapsed="false">
      <c r="A145" s="7"/>
      <c r="B145" s="7"/>
      <c r="C145" s="7"/>
      <c r="D145" s="7"/>
      <c r="E145" s="7"/>
    </row>
    <row r="146" customFormat="false" ht="15" hidden="false" customHeight="true" outlineLevel="0" collapsed="false">
      <c r="A146" s="7"/>
      <c r="B146" s="7"/>
      <c r="C146" s="7"/>
      <c r="D146" s="7"/>
      <c r="E146" s="7"/>
    </row>
    <row r="147" customFormat="false" ht="15" hidden="false" customHeight="true" outlineLevel="0" collapsed="false">
      <c r="A147" s="7"/>
      <c r="B147" s="7"/>
      <c r="C147" s="7"/>
      <c r="D147" s="7"/>
      <c r="E147" s="7"/>
    </row>
    <row r="148" customFormat="false" ht="15" hidden="false" customHeight="true" outlineLevel="0" collapsed="false">
      <c r="A148" s="7"/>
      <c r="B148" s="7"/>
      <c r="C148" s="7"/>
      <c r="D148" s="7"/>
      <c r="E148" s="7"/>
    </row>
    <row r="149" customFormat="false" ht="15" hidden="false" customHeight="true" outlineLevel="0" collapsed="false">
      <c r="A149" s="7"/>
      <c r="B149" s="7"/>
      <c r="C149" s="7"/>
      <c r="D149" s="7"/>
      <c r="E149" s="7"/>
    </row>
    <row r="150" customFormat="false" ht="15" hidden="false" customHeight="true" outlineLevel="0" collapsed="false">
      <c r="A150" s="7"/>
      <c r="B150" s="7"/>
      <c r="C150" s="7"/>
      <c r="D150" s="7"/>
      <c r="E150" s="7"/>
    </row>
    <row r="151" customFormat="false" ht="15" hidden="false" customHeight="true" outlineLevel="0" collapsed="false">
      <c r="A151" s="7"/>
      <c r="B151" s="7"/>
      <c r="C151" s="7"/>
      <c r="D151" s="7"/>
      <c r="E151" s="7"/>
    </row>
    <row r="152" customFormat="false" ht="15" hidden="false" customHeight="true" outlineLevel="0" collapsed="false">
      <c r="A152" s="7"/>
      <c r="B152" s="7"/>
      <c r="C152" s="7"/>
      <c r="D152" s="7"/>
      <c r="E152" s="7"/>
    </row>
    <row r="153" customFormat="false" ht="15" hidden="false" customHeight="true" outlineLevel="0" collapsed="false">
      <c r="A153" s="7"/>
      <c r="B153" s="7"/>
      <c r="C153" s="7"/>
      <c r="D153" s="7"/>
      <c r="E153" s="7"/>
    </row>
    <row r="154" customFormat="false" ht="15" hidden="false" customHeight="true" outlineLevel="0" collapsed="false">
      <c r="A154" s="7"/>
      <c r="B154" s="7"/>
      <c r="C154" s="7"/>
      <c r="D154" s="7"/>
      <c r="E154" s="7"/>
    </row>
    <row r="155" customFormat="false" ht="15" hidden="false" customHeight="true" outlineLevel="0" collapsed="false">
      <c r="A155" s="7"/>
      <c r="B155" s="7"/>
      <c r="C155" s="7"/>
      <c r="D155" s="7"/>
      <c r="E155" s="7"/>
    </row>
    <row r="156" customFormat="false" ht="15" hidden="false" customHeight="true" outlineLevel="0" collapsed="false">
      <c r="A156" s="7"/>
      <c r="B156" s="7"/>
      <c r="C156" s="7"/>
      <c r="D156" s="7"/>
      <c r="E156" s="7"/>
    </row>
    <row r="157" customFormat="false" ht="15" hidden="false" customHeight="true" outlineLevel="0" collapsed="false">
      <c r="A157" s="7"/>
      <c r="B157" s="7"/>
      <c r="C157" s="7"/>
      <c r="D157" s="7"/>
      <c r="E157" s="7"/>
    </row>
    <row r="158" customFormat="false" ht="15" hidden="false" customHeight="true" outlineLevel="0" collapsed="false">
      <c r="A158" s="7"/>
      <c r="B158" s="7"/>
      <c r="C158" s="7"/>
      <c r="D158" s="7"/>
      <c r="E158" s="7"/>
    </row>
    <row r="159" customFormat="false" ht="15" hidden="false" customHeight="true" outlineLevel="0" collapsed="false">
      <c r="A159" s="7"/>
      <c r="B159" s="7"/>
      <c r="C159" s="7"/>
      <c r="D159" s="7"/>
      <c r="E159" s="7"/>
    </row>
    <row r="160" customFormat="false" ht="15" hidden="false" customHeight="true" outlineLevel="0" collapsed="false">
      <c r="A160" s="7"/>
      <c r="B160" s="7"/>
      <c r="C160" s="7"/>
      <c r="D160" s="7"/>
      <c r="E160" s="7"/>
    </row>
    <row r="161" customFormat="false" ht="15" hidden="false" customHeight="true" outlineLevel="0" collapsed="false">
      <c r="A161" s="7"/>
      <c r="B161" s="7"/>
      <c r="C161" s="7"/>
      <c r="D161" s="7"/>
      <c r="E161" s="7"/>
    </row>
    <row r="162" customFormat="false" ht="15" hidden="false" customHeight="true" outlineLevel="0" collapsed="false">
      <c r="A162" s="7"/>
      <c r="B162" s="7"/>
      <c r="C162" s="7"/>
      <c r="D162" s="7"/>
      <c r="E162" s="7"/>
    </row>
    <row r="163" customFormat="false" ht="15" hidden="false" customHeight="true" outlineLevel="0" collapsed="false">
      <c r="A163" s="7"/>
      <c r="B163" s="7"/>
      <c r="C163" s="7"/>
      <c r="D163" s="7"/>
      <c r="E163" s="7"/>
    </row>
    <row r="164" customFormat="false" ht="15" hidden="false" customHeight="true" outlineLevel="0" collapsed="false">
      <c r="A164" s="7"/>
      <c r="B164" s="7"/>
      <c r="C164" s="7"/>
      <c r="D164" s="7"/>
      <c r="E164" s="7"/>
    </row>
    <row r="165" customFormat="false" ht="15" hidden="false" customHeight="true" outlineLevel="0" collapsed="false">
      <c r="A165" s="7"/>
      <c r="B165" s="7"/>
      <c r="C165" s="7"/>
      <c r="D165" s="7"/>
      <c r="E165" s="7"/>
    </row>
    <row r="166" customFormat="false" ht="15" hidden="false" customHeight="true" outlineLevel="0" collapsed="false">
      <c r="A166" s="7"/>
      <c r="B166" s="7"/>
      <c r="C166" s="7"/>
      <c r="D166" s="7"/>
      <c r="E166" s="7"/>
    </row>
    <row r="167" customFormat="false" ht="15" hidden="false" customHeight="true" outlineLevel="0" collapsed="false">
      <c r="A167" s="7"/>
      <c r="B167" s="7"/>
      <c r="C167" s="7"/>
      <c r="D167" s="7"/>
      <c r="E167" s="7"/>
    </row>
    <row r="168" customFormat="false" ht="15" hidden="false" customHeight="true" outlineLevel="0" collapsed="false">
      <c r="A168" s="7"/>
      <c r="B168" s="7"/>
      <c r="C168" s="7"/>
      <c r="D168" s="7"/>
      <c r="E168" s="7"/>
    </row>
    <row r="169" customFormat="false" ht="15" hidden="false" customHeight="true" outlineLevel="0" collapsed="false">
      <c r="A169" s="7"/>
      <c r="B169" s="7"/>
      <c r="C169" s="7"/>
      <c r="D169" s="7"/>
      <c r="E169" s="7"/>
    </row>
    <row r="170" customFormat="false" ht="15" hidden="false" customHeight="true" outlineLevel="0" collapsed="false">
      <c r="A170" s="7"/>
      <c r="B170" s="7"/>
      <c r="C170" s="7"/>
      <c r="D170" s="7"/>
      <c r="E170" s="7"/>
    </row>
    <row r="171" customFormat="false" ht="15" hidden="false" customHeight="true" outlineLevel="0" collapsed="false">
      <c r="A171" s="7"/>
      <c r="B171" s="7"/>
      <c r="C171" s="7"/>
      <c r="D171" s="7"/>
      <c r="E171" s="7"/>
    </row>
    <row r="172" customFormat="false" ht="15" hidden="false" customHeight="true" outlineLevel="0" collapsed="false">
      <c r="A172" s="7"/>
      <c r="B172" s="7"/>
      <c r="C172" s="7"/>
      <c r="D172" s="7"/>
      <c r="E172" s="7"/>
    </row>
    <row r="173" customFormat="false" ht="15" hidden="false" customHeight="true" outlineLevel="0" collapsed="false">
      <c r="A173" s="7"/>
      <c r="B173" s="7"/>
      <c r="C173" s="7"/>
      <c r="D173" s="7"/>
      <c r="E173" s="7"/>
    </row>
    <row r="174" customFormat="false" ht="15" hidden="false" customHeight="true" outlineLevel="0" collapsed="false">
      <c r="A174" s="7"/>
      <c r="B174" s="7"/>
      <c r="C174" s="7"/>
      <c r="D174" s="7"/>
      <c r="E174" s="7"/>
    </row>
    <row r="175" customFormat="false" ht="15" hidden="false" customHeight="true" outlineLevel="0" collapsed="false">
      <c r="A175" s="7"/>
      <c r="B175" s="7"/>
      <c r="C175" s="7"/>
      <c r="D175" s="7"/>
      <c r="E175" s="7"/>
    </row>
    <row r="176" customFormat="false" ht="15" hidden="false" customHeight="true" outlineLevel="0" collapsed="false">
      <c r="A176" s="7"/>
      <c r="B176" s="7"/>
      <c r="C176" s="7"/>
      <c r="D176" s="7"/>
      <c r="E176" s="7"/>
    </row>
    <row r="177" customFormat="false" ht="15" hidden="false" customHeight="true" outlineLevel="0" collapsed="false">
      <c r="A177" s="7"/>
      <c r="B177" s="7"/>
      <c r="C177" s="7"/>
      <c r="D177" s="7"/>
      <c r="E177" s="7"/>
    </row>
    <row r="178" customFormat="false" ht="15" hidden="false" customHeight="true" outlineLevel="0" collapsed="false">
      <c r="A178" s="7"/>
      <c r="B178" s="7"/>
      <c r="C178" s="7"/>
      <c r="D178" s="7"/>
      <c r="E178" s="7"/>
    </row>
    <row r="179" customFormat="false" ht="15" hidden="false" customHeight="true" outlineLevel="0" collapsed="false">
      <c r="A179" s="7"/>
      <c r="B179" s="7"/>
      <c r="C179" s="7"/>
      <c r="D179" s="7"/>
      <c r="E179" s="7"/>
    </row>
    <row r="180" customFormat="false" ht="15" hidden="false" customHeight="true" outlineLevel="0" collapsed="false">
      <c r="A180" s="7"/>
      <c r="B180" s="7"/>
      <c r="C180" s="7"/>
      <c r="D180" s="7"/>
      <c r="E180" s="7"/>
    </row>
    <row r="181" customFormat="false" ht="15" hidden="false" customHeight="true" outlineLevel="0" collapsed="false">
      <c r="A181" s="7"/>
      <c r="B181" s="7"/>
      <c r="C181" s="7"/>
      <c r="D181" s="7"/>
      <c r="E181" s="7"/>
    </row>
    <row r="182" customFormat="false" ht="15" hidden="false" customHeight="true" outlineLevel="0" collapsed="false">
      <c r="A182" s="7"/>
      <c r="B182" s="7"/>
      <c r="C182" s="7"/>
      <c r="D182" s="7"/>
      <c r="E182" s="7"/>
    </row>
    <row r="183" customFormat="false" ht="15" hidden="false" customHeight="true" outlineLevel="0" collapsed="false">
      <c r="A183" s="7"/>
      <c r="B183" s="7"/>
      <c r="C183" s="7"/>
      <c r="D183" s="7"/>
      <c r="E183" s="7"/>
    </row>
    <row r="184" customFormat="false" ht="15" hidden="false" customHeight="true" outlineLevel="0" collapsed="false">
      <c r="A184" s="7"/>
      <c r="B184" s="7"/>
      <c r="C184" s="7"/>
      <c r="D184" s="7"/>
      <c r="E184" s="7"/>
    </row>
    <row r="185" customFormat="false" ht="15" hidden="false" customHeight="true" outlineLevel="0" collapsed="false">
      <c r="A185" s="7"/>
      <c r="B185" s="7"/>
      <c r="C185" s="7"/>
      <c r="D185" s="7"/>
      <c r="E185" s="7"/>
    </row>
    <row r="186" customFormat="false" ht="15" hidden="false" customHeight="true" outlineLevel="0" collapsed="false">
      <c r="A186" s="7"/>
      <c r="B186" s="7"/>
      <c r="C186" s="7"/>
      <c r="D186" s="7"/>
      <c r="E186" s="7"/>
    </row>
    <row r="187" customFormat="false" ht="15" hidden="false" customHeight="true" outlineLevel="0" collapsed="false">
      <c r="A187" s="7"/>
      <c r="B187" s="7"/>
      <c r="C187" s="7"/>
      <c r="D187" s="7"/>
      <c r="E187" s="7"/>
    </row>
    <row r="188" customFormat="false" ht="15" hidden="false" customHeight="true" outlineLevel="0" collapsed="false">
      <c r="A188" s="7"/>
      <c r="B188" s="7"/>
      <c r="C188" s="7"/>
      <c r="D188" s="7"/>
      <c r="E188" s="7"/>
    </row>
    <row r="189" customFormat="false" ht="15" hidden="false" customHeight="true" outlineLevel="0" collapsed="false">
      <c r="A189" s="7"/>
      <c r="B189" s="7"/>
      <c r="C189" s="7"/>
      <c r="D189" s="7"/>
      <c r="E189" s="7"/>
    </row>
    <row r="190" customFormat="false" ht="15" hidden="false" customHeight="true" outlineLevel="0" collapsed="false">
      <c r="A190" s="7"/>
      <c r="B190" s="7"/>
      <c r="C190" s="7"/>
      <c r="D190" s="7"/>
      <c r="E190" s="7"/>
    </row>
    <row r="191" customFormat="false" ht="15" hidden="false" customHeight="true" outlineLevel="0" collapsed="false">
      <c r="A191" s="7"/>
      <c r="B191" s="7"/>
      <c r="C191" s="7"/>
      <c r="D191" s="7"/>
      <c r="E191" s="7"/>
    </row>
    <row r="192" customFormat="false" ht="15" hidden="false" customHeight="true" outlineLevel="0" collapsed="false">
      <c r="A192" s="7"/>
      <c r="B192" s="7"/>
      <c r="C192" s="7"/>
      <c r="D192" s="7"/>
      <c r="E192" s="7"/>
    </row>
    <row r="193" customFormat="false" ht="15" hidden="false" customHeight="true" outlineLevel="0" collapsed="false">
      <c r="A193" s="7"/>
      <c r="B193" s="7"/>
      <c r="C193" s="7"/>
      <c r="D193" s="7"/>
      <c r="E193" s="7"/>
    </row>
    <row r="194" customFormat="false" ht="15" hidden="false" customHeight="true" outlineLevel="0" collapsed="false">
      <c r="A194" s="7"/>
      <c r="B194" s="7"/>
      <c r="C194" s="7"/>
      <c r="D194" s="7"/>
      <c r="E194" s="7"/>
    </row>
    <row r="195" customFormat="false" ht="15" hidden="false" customHeight="true" outlineLevel="0" collapsed="false">
      <c r="A195" s="7"/>
      <c r="B195" s="7"/>
      <c r="C195" s="7"/>
      <c r="D195" s="7"/>
      <c r="E195" s="7"/>
    </row>
    <row r="196" customFormat="false" ht="15" hidden="false" customHeight="true" outlineLevel="0" collapsed="false">
      <c r="A196" s="7"/>
      <c r="B196" s="7"/>
      <c r="C196" s="7"/>
      <c r="D196" s="7"/>
      <c r="E196" s="7"/>
    </row>
    <row r="197" customFormat="false" ht="15" hidden="false" customHeight="true" outlineLevel="0" collapsed="false">
      <c r="A197" s="7"/>
      <c r="B197" s="7"/>
      <c r="C197" s="7"/>
      <c r="D197" s="7"/>
      <c r="E197" s="7"/>
    </row>
    <row r="198" customFormat="false" ht="15" hidden="false" customHeight="true" outlineLevel="0" collapsed="false">
      <c r="A198" s="7"/>
      <c r="B198" s="7"/>
      <c r="C198" s="7"/>
      <c r="D198" s="7"/>
      <c r="E198" s="7"/>
    </row>
    <row r="199" customFormat="false" ht="15" hidden="false" customHeight="true" outlineLevel="0" collapsed="false">
      <c r="A199" s="7"/>
      <c r="B199" s="7"/>
      <c r="C199" s="7"/>
      <c r="D199" s="7"/>
      <c r="E199" s="7"/>
    </row>
    <row r="200" customFormat="false" ht="15" hidden="false" customHeight="true" outlineLevel="0" collapsed="false">
      <c r="A200" s="7"/>
      <c r="B200" s="7"/>
      <c r="C200" s="7"/>
      <c r="D200" s="7"/>
      <c r="E200" s="7"/>
    </row>
    <row r="201" customFormat="false" ht="15" hidden="false" customHeight="true" outlineLevel="0" collapsed="false">
      <c r="A201" s="7"/>
      <c r="B201" s="7"/>
      <c r="C201" s="7"/>
      <c r="D201" s="7"/>
      <c r="E201" s="7"/>
    </row>
    <row r="202" customFormat="false" ht="15" hidden="false" customHeight="true" outlineLevel="0" collapsed="false">
      <c r="A202" s="7"/>
      <c r="B202" s="7"/>
      <c r="C202" s="7"/>
      <c r="D202" s="7"/>
      <c r="E202" s="7"/>
    </row>
    <row r="203" customFormat="false" ht="15" hidden="false" customHeight="true" outlineLevel="0" collapsed="false">
      <c r="A203" s="7"/>
      <c r="B203" s="7"/>
      <c r="C203" s="7"/>
      <c r="D203" s="7"/>
      <c r="E203" s="7"/>
    </row>
    <row r="204" customFormat="false" ht="15" hidden="false" customHeight="true" outlineLevel="0" collapsed="false">
      <c r="A204" s="7"/>
      <c r="B204" s="7"/>
      <c r="C204" s="7"/>
      <c r="D204" s="7"/>
      <c r="E204" s="7"/>
    </row>
    <row r="205" customFormat="false" ht="15" hidden="false" customHeight="true" outlineLevel="0" collapsed="false">
      <c r="A205" s="7"/>
      <c r="B205" s="7"/>
      <c r="C205" s="7"/>
      <c r="D205" s="7"/>
      <c r="E205" s="7"/>
    </row>
    <row r="206" customFormat="false" ht="15" hidden="false" customHeight="true" outlineLevel="0" collapsed="false">
      <c r="A206" s="7"/>
      <c r="B206" s="7"/>
      <c r="C206" s="7"/>
      <c r="D206" s="7"/>
      <c r="E206" s="7"/>
    </row>
    <row r="207" customFormat="false" ht="15" hidden="false" customHeight="true" outlineLevel="0" collapsed="false">
      <c r="A207" s="7"/>
      <c r="B207" s="7"/>
      <c r="C207" s="7"/>
      <c r="D207" s="7"/>
      <c r="E207" s="7"/>
    </row>
    <row r="208" customFormat="false" ht="15" hidden="false" customHeight="true" outlineLevel="0" collapsed="false">
      <c r="A208" s="7"/>
      <c r="B208" s="7"/>
      <c r="C208" s="7"/>
      <c r="D208" s="7"/>
      <c r="E208" s="7"/>
    </row>
    <row r="209" customFormat="false" ht="15" hidden="false" customHeight="true" outlineLevel="0" collapsed="false">
      <c r="A209" s="7"/>
      <c r="B209" s="7"/>
      <c r="C209" s="7"/>
      <c r="D209" s="7"/>
      <c r="E209" s="7"/>
    </row>
    <row r="210" customFormat="false" ht="15" hidden="false" customHeight="true" outlineLevel="0" collapsed="false">
      <c r="A210" s="7"/>
      <c r="B210" s="7"/>
      <c r="C210" s="7"/>
      <c r="D210" s="7"/>
      <c r="E210" s="7"/>
    </row>
    <row r="211" customFormat="false" ht="15" hidden="false" customHeight="true" outlineLevel="0" collapsed="false">
      <c r="A211" s="7"/>
      <c r="B211" s="7"/>
      <c r="C211" s="7"/>
      <c r="D211" s="7"/>
      <c r="E211" s="7"/>
    </row>
    <row r="212" customFormat="false" ht="15" hidden="false" customHeight="true" outlineLevel="0" collapsed="false">
      <c r="A212" s="7"/>
      <c r="B212" s="7"/>
      <c r="C212" s="7"/>
      <c r="D212" s="7"/>
      <c r="E212" s="7"/>
    </row>
    <row r="213" customFormat="false" ht="15" hidden="false" customHeight="true" outlineLevel="0" collapsed="false">
      <c r="A213" s="7"/>
      <c r="B213" s="7"/>
      <c r="C213" s="7"/>
      <c r="D213" s="7"/>
      <c r="E213" s="7"/>
    </row>
    <row r="214" customFormat="false" ht="15" hidden="false" customHeight="true" outlineLevel="0" collapsed="false">
      <c r="A214" s="7"/>
      <c r="B214" s="7"/>
      <c r="C214" s="7"/>
      <c r="D214" s="7"/>
      <c r="E214" s="7"/>
    </row>
    <row r="215" customFormat="false" ht="15" hidden="false" customHeight="true" outlineLevel="0" collapsed="false">
      <c r="A215" s="7"/>
      <c r="B215" s="7"/>
      <c r="C215" s="7"/>
      <c r="D215" s="7"/>
      <c r="E215" s="7"/>
    </row>
    <row r="216" customFormat="false" ht="15" hidden="false" customHeight="true" outlineLevel="0" collapsed="false">
      <c r="A216" s="7"/>
      <c r="B216" s="7"/>
      <c r="C216" s="7"/>
      <c r="D216" s="7"/>
      <c r="E216" s="7"/>
    </row>
    <row r="217" customFormat="false" ht="15" hidden="false" customHeight="true" outlineLevel="0" collapsed="false">
      <c r="A217" s="7"/>
      <c r="B217" s="7"/>
      <c r="C217" s="7"/>
      <c r="D217" s="7"/>
      <c r="E217" s="7"/>
    </row>
    <row r="218" customFormat="false" ht="15" hidden="false" customHeight="true" outlineLevel="0" collapsed="false">
      <c r="A218" s="7"/>
      <c r="B218" s="7"/>
      <c r="C218" s="7"/>
      <c r="D218" s="7"/>
      <c r="E218" s="7"/>
    </row>
    <row r="219" customFormat="false" ht="15" hidden="false" customHeight="true" outlineLevel="0" collapsed="false">
      <c r="A219" s="7"/>
      <c r="B219" s="7"/>
      <c r="C219" s="7"/>
      <c r="D219" s="7"/>
      <c r="E219" s="7"/>
    </row>
    <row r="220" customFormat="false" ht="15" hidden="false" customHeight="true" outlineLevel="0" collapsed="false">
      <c r="A220" s="7"/>
      <c r="B220" s="7"/>
      <c r="C220" s="7"/>
      <c r="D220" s="7"/>
      <c r="E220" s="7"/>
    </row>
    <row r="221" customFormat="false" ht="15" hidden="false" customHeight="true" outlineLevel="0" collapsed="false">
      <c r="A221" s="7"/>
      <c r="B221" s="7"/>
      <c r="C221" s="7"/>
      <c r="D221" s="7"/>
      <c r="E221" s="7"/>
    </row>
    <row r="222" customFormat="false" ht="15" hidden="false" customHeight="true" outlineLevel="0" collapsed="false">
      <c r="A222" s="7"/>
      <c r="B222" s="7"/>
      <c r="C222" s="7"/>
      <c r="D222" s="7"/>
      <c r="E222" s="7"/>
    </row>
    <row r="223" customFormat="false" ht="15" hidden="false" customHeight="true" outlineLevel="0" collapsed="false">
      <c r="A223" s="7"/>
      <c r="B223" s="7"/>
      <c r="C223" s="7"/>
      <c r="D223" s="7"/>
      <c r="E223" s="7"/>
    </row>
    <row r="224" customFormat="false" ht="15" hidden="false" customHeight="true" outlineLevel="0" collapsed="false">
      <c r="A224" s="7"/>
      <c r="B224" s="7"/>
      <c r="C224" s="7"/>
      <c r="D224" s="7"/>
      <c r="E224" s="7"/>
    </row>
    <row r="225" customFormat="false" ht="15" hidden="false" customHeight="true" outlineLevel="0" collapsed="false">
      <c r="A225" s="7"/>
      <c r="B225" s="7"/>
      <c r="C225" s="7"/>
      <c r="D225" s="7"/>
      <c r="E225" s="7"/>
    </row>
    <row r="226" customFormat="false" ht="15" hidden="false" customHeight="true" outlineLevel="0" collapsed="false">
      <c r="A226" s="7"/>
      <c r="B226" s="7"/>
      <c r="C226" s="7"/>
      <c r="D226" s="7"/>
      <c r="E226" s="7"/>
    </row>
    <row r="227" customFormat="false" ht="15" hidden="false" customHeight="true" outlineLevel="0" collapsed="false">
      <c r="A227" s="7"/>
      <c r="B227" s="7"/>
      <c r="C227" s="7"/>
      <c r="D227" s="7"/>
      <c r="E227" s="7"/>
    </row>
    <row r="228" customFormat="false" ht="15" hidden="false" customHeight="true" outlineLevel="0" collapsed="false">
      <c r="A228" s="7"/>
      <c r="B228" s="7"/>
      <c r="C228" s="7"/>
      <c r="D228" s="7"/>
      <c r="E228" s="7"/>
    </row>
    <row r="229" customFormat="false" ht="15" hidden="false" customHeight="true" outlineLevel="0" collapsed="false">
      <c r="A229" s="7"/>
      <c r="B229" s="7"/>
      <c r="C229" s="7"/>
      <c r="D229" s="7"/>
      <c r="E229" s="7"/>
    </row>
    <row r="230" customFormat="false" ht="15" hidden="false" customHeight="true" outlineLevel="0" collapsed="false">
      <c r="A230" s="7"/>
      <c r="B230" s="7"/>
      <c r="C230" s="7"/>
      <c r="D230" s="7"/>
      <c r="E230" s="7"/>
    </row>
    <row r="231" customFormat="false" ht="15" hidden="false" customHeight="true" outlineLevel="0" collapsed="false">
      <c r="A231" s="7"/>
      <c r="B231" s="7"/>
      <c r="C231" s="7"/>
      <c r="D231" s="7"/>
      <c r="E231" s="7"/>
    </row>
    <row r="232" customFormat="false" ht="15" hidden="false" customHeight="true" outlineLevel="0" collapsed="false">
      <c r="A232" s="7"/>
      <c r="B232" s="7"/>
      <c r="C232" s="7"/>
      <c r="D232" s="7"/>
      <c r="E232" s="7"/>
    </row>
    <row r="233" customFormat="false" ht="15" hidden="false" customHeight="true" outlineLevel="0" collapsed="false">
      <c r="A233" s="7"/>
      <c r="B233" s="7"/>
      <c r="C233" s="7"/>
      <c r="D233" s="7"/>
      <c r="E233" s="7"/>
    </row>
    <row r="234" customFormat="false" ht="15" hidden="false" customHeight="true" outlineLevel="0" collapsed="false">
      <c r="A234" s="7"/>
      <c r="B234" s="7"/>
      <c r="C234" s="7"/>
      <c r="D234" s="7"/>
      <c r="E234" s="7"/>
    </row>
    <row r="235" customFormat="false" ht="15" hidden="false" customHeight="true" outlineLevel="0" collapsed="false">
      <c r="A235" s="7"/>
      <c r="B235" s="7"/>
      <c r="C235" s="7"/>
      <c r="D235" s="7"/>
      <c r="E235" s="7"/>
    </row>
    <row r="236" customFormat="false" ht="15" hidden="false" customHeight="true" outlineLevel="0" collapsed="false">
      <c r="A236" s="7"/>
      <c r="B236" s="7"/>
      <c r="C236" s="7"/>
      <c r="D236" s="7"/>
      <c r="E236" s="7"/>
    </row>
    <row r="237" customFormat="false" ht="15" hidden="false" customHeight="true" outlineLevel="0" collapsed="false">
      <c r="A237" s="7"/>
      <c r="B237" s="7"/>
      <c r="C237" s="7"/>
      <c r="D237" s="7"/>
      <c r="E237" s="7"/>
    </row>
    <row r="238" customFormat="false" ht="15" hidden="false" customHeight="true" outlineLevel="0" collapsed="false">
      <c r="A238" s="7"/>
      <c r="B238" s="7"/>
      <c r="C238" s="7"/>
      <c r="D238" s="7"/>
      <c r="E238" s="7"/>
    </row>
    <row r="239" customFormat="false" ht="15" hidden="false" customHeight="true" outlineLevel="0" collapsed="false">
      <c r="A239" s="7"/>
      <c r="B239" s="7"/>
      <c r="C239" s="7"/>
      <c r="D239" s="7"/>
      <c r="E239" s="7"/>
    </row>
    <row r="240" customFormat="false" ht="15" hidden="false" customHeight="true" outlineLevel="0" collapsed="false">
      <c r="A240" s="7"/>
      <c r="B240" s="7"/>
      <c r="C240" s="7"/>
      <c r="D240" s="7"/>
      <c r="E240" s="7"/>
    </row>
    <row r="241" customFormat="false" ht="15" hidden="false" customHeight="true" outlineLevel="0" collapsed="false">
      <c r="A241" s="7"/>
      <c r="B241" s="7"/>
      <c r="C241" s="7"/>
      <c r="D241" s="7"/>
      <c r="E241" s="7"/>
    </row>
    <row r="242" customFormat="false" ht="15" hidden="false" customHeight="true" outlineLevel="0" collapsed="false">
      <c r="A242" s="7"/>
      <c r="B242" s="7"/>
      <c r="C242" s="7"/>
      <c r="D242" s="7"/>
      <c r="E242" s="7"/>
    </row>
    <row r="243" customFormat="false" ht="15" hidden="false" customHeight="true" outlineLevel="0" collapsed="false">
      <c r="A243" s="7"/>
      <c r="B243" s="7"/>
      <c r="C243" s="7"/>
      <c r="D243" s="7"/>
      <c r="E243" s="7"/>
    </row>
    <row r="244" customFormat="false" ht="15" hidden="false" customHeight="true" outlineLevel="0" collapsed="false">
      <c r="A244" s="7"/>
      <c r="B244" s="7"/>
      <c r="C244" s="7"/>
      <c r="D244" s="7"/>
      <c r="E244" s="7"/>
    </row>
    <row r="245" customFormat="false" ht="15" hidden="false" customHeight="true" outlineLevel="0" collapsed="false">
      <c r="A245" s="7"/>
      <c r="B245" s="7"/>
      <c r="C245" s="7"/>
      <c r="D245" s="7"/>
      <c r="E245" s="7"/>
    </row>
    <row r="246" customFormat="false" ht="15" hidden="false" customHeight="true" outlineLevel="0" collapsed="false">
      <c r="A246" s="7"/>
      <c r="B246" s="7"/>
      <c r="C246" s="7"/>
      <c r="D246" s="7"/>
      <c r="E246" s="7"/>
    </row>
    <row r="247" customFormat="false" ht="15" hidden="false" customHeight="true" outlineLevel="0" collapsed="false">
      <c r="A247" s="7"/>
      <c r="B247" s="7"/>
      <c r="C247" s="7"/>
      <c r="D247" s="7"/>
      <c r="E247" s="7"/>
    </row>
    <row r="248" customFormat="false" ht="15" hidden="false" customHeight="true" outlineLevel="0" collapsed="false">
      <c r="A248" s="7"/>
      <c r="B248" s="7"/>
      <c r="C248" s="7"/>
      <c r="D248" s="7"/>
      <c r="E248" s="7"/>
    </row>
    <row r="249" customFormat="false" ht="15" hidden="false" customHeight="true" outlineLevel="0" collapsed="false">
      <c r="A249" s="7"/>
      <c r="B249" s="7"/>
      <c r="C249" s="7"/>
      <c r="D249" s="7"/>
      <c r="E249" s="7"/>
    </row>
    <row r="250" customFormat="false" ht="15" hidden="false" customHeight="true" outlineLevel="0" collapsed="false">
      <c r="A250" s="7"/>
      <c r="B250" s="7"/>
      <c r="C250" s="7"/>
      <c r="D250" s="7"/>
      <c r="E250" s="7"/>
    </row>
    <row r="251" customFormat="false" ht="15" hidden="false" customHeight="true" outlineLevel="0" collapsed="false">
      <c r="A251" s="7"/>
      <c r="B251" s="7"/>
      <c r="C251" s="7"/>
      <c r="D251" s="7"/>
      <c r="E251" s="7"/>
    </row>
    <row r="252" customFormat="false" ht="15" hidden="false" customHeight="true" outlineLevel="0" collapsed="false">
      <c r="A252" s="7"/>
      <c r="B252" s="7"/>
      <c r="C252" s="7"/>
      <c r="D252" s="7"/>
      <c r="E252" s="7"/>
    </row>
    <row r="253" customFormat="false" ht="15" hidden="false" customHeight="true" outlineLevel="0" collapsed="false">
      <c r="A253" s="7"/>
      <c r="B253" s="7"/>
      <c r="C253" s="7"/>
      <c r="D253" s="7"/>
      <c r="E253" s="7"/>
    </row>
    <row r="254" customFormat="false" ht="15" hidden="false" customHeight="true" outlineLevel="0" collapsed="false">
      <c r="A254" s="7"/>
      <c r="B254" s="7"/>
      <c r="C254" s="7"/>
      <c r="D254" s="7"/>
      <c r="E254" s="7"/>
    </row>
    <row r="255" customFormat="false" ht="15" hidden="false" customHeight="true" outlineLevel="0" collapsed="false">
      <c r="A255" s="7"/>
      <c r="B255" s="7"/>
      <c r="C255" s="7"/>
      <c r="D255" s="7"/>
      <c r="E255" s="7"/>
    </row>
    <row r="256" customFormat="false" ht="15" hidden="false" customHeight="true" outlineLevel="0" collapsed="false">
      <c r="A256" s="7"/>
      <c r="B256" s="7"/>
      <c r="C256" s="7"/>
      <c r="D256" s="7"/>
      <c r="E256" s="7"/>
    </row>
    <row r="257" customFormat="false" ht="15" hidden="false" customHeight="true" outlineLevel="0" collapsed="false">
      <c r="A257" s="7"/>
      <c r="B257" s="7"/>
      <c r="C257" s="7"/>
      <c r="D257" s="7"/>
      <c r="E257" s="7"/>
    </row>
    <row r="258" customFormat="false" ht="15" hidden="false" customHeight="true" outlineLevel="0" collapsed="false">
      <c r="A258" s="7"/>
      <c r="B258" s="7"/>
      <c r="C258" s="7"/>
      <c r="D258" s="7"/>
      <c r="E258" s="7"/>
    </row>
    <row r="259" customFormat="false" ht="15" hidden="false" customHeight="true" outlineLevel="0" collapsed="false">
      <c r="A259" s="7"/>
      <c r="B259" s="7"/>
      <c r="C259" s="7"/>
      <c r="D259" s="7"/>
      <c r="E259" s="7"/>
    </row>
    <row r="260" customFormat="false" ht="15" hidden="false" customHeight="true" outlineLevel="0" collapsed="false">
      <c r="A260" s="7"/>
      <c r="B260" s="7"/>
      <c r="C260" s="7"/>
      <c r="D260" s="7"/>
      <c r="E260" s="7"/>
    </row>
    <row r="261" customFormat="false" ht="15" hidden="false" customHeight="true" outlineLevel="0" collapsed="false">
      <c r="A261" s="7"/>
      <c r="B261" s="7"/>
      <c r="C261" s="7"/>
      <c r="D261" s="7"/>
      <c r="E261" s="7"/>
    </row>
    <row r="262" customFormat="false" ht="15" hidden="false" customHeight="true" outlineLevel="0" collapsed="false">
      <c r="A262" s="7"/>
      <c r="B262" s="7"/>
      <c r="C262" s="7"/>
      <c r="D262" s="7"/>
      <c r="E262" s="7"/>
    </row>
    <row r="263" customFormat="false" ht="15" hidden="false" customHeight="true" outlineLevel="0" collapsed="false">
      <c r="A263" s="7"/>
      <c r="B263" s="7"/>
      <c r="C263" s="7"/>
      <c r="D263" s="7"/>
      <c r="E263" s="7"/>
    </row>
    <row r="264" customFormat="false" ht="15" hidden="false" customHeight="true" outlineLevel="0" collapsed="false">
      <c r="A264" s="7"/>
      <c r="B264" s="7"/>
      <c r="C264" s="7"/>
      <c r="D264" s="7"/>
      <c r="E264" s="7"/>
    </row>
    <row r="265" customFormat="false" ht="15" hidden="false" customHeight="true" outlineLevel="0" collapsed="false">
      <c r="A265" s="7"/>
      <c r="B265" s="7"/>
      <c r="C265" s="7"/>
      <c r="D265" s="7"/>
      <c r="E265" s="7"/>
    </row>
    <row r="266" customFormat="false" ht="15" hidden="false" customHeight="true" outlineLevel="0" collapsed="false">
      <c r="A266" s="7"/>
      <c r="B266" s="7"/>
      <c r="C266" s="7"/>
      <c r="D266" s="7"/>
      <c r="E266" s="7"/>
    </row>
    <row r="267" customFormat="false" ht="15" hidden="false" customHeight="true" outlineLevel="0" collapsed="false">
      <c r="A267" s="7"/>
      <c r="B267" s="7"/>
      <c r="C267" s="7"/>
      <c r="D267" s="7"/>
      <c r="E267" s="7"/>
    </row>
    <row r="268" customFormat="false" ht="15" hidden="false" customHeight="true" outlineLevel="0" collapsed="false">
      <c r="A268" s="7"/>
      <c r="B268" s="7"/>
      <c r="C268" s="7"/>
      <c r="D268" s="7"/>
      <c r="E268" s="7"/>
    </row>
    <row r="269" customFormat="false" ht="15" hidden="false" customHeight="true" outlineLevel="0" collapsed="false">
      <c r="A269" s="7"/>
      <c r="B269" s="7"/>
      <c r="C269" s="7"/>
      <c r="D269" s="7"/>
      <c r="E269" s="7"/>
    </row>
    <row r="270" customFormat="false" ht="15" hidden="false" customHeight="true" outlineLevel="0" collapsed="false">
      <c r="A270" s="7"/>
      <c r="B270" s="7"/>
      <c r="C270" s="7"/>
      <c r="D270" s="7"/>
      <c r="E270" s="7"/>
    </row>
    <row r="271" customFormat="false" ht="15" hidden="false" customHeight="true" outlineLevel="0" collapsed="false">
      <c r="A271" s="7"/>
      <c r="B271" s="7"/>
      <c r="C271" s="7"/>
      <c r="D271" s="7"/>
      <c r="E271" s="7"/>
    </row>
    <row r="272" customFormat="false" ht="15" hidden="false" customHeight="true" outlineLevel="0" collapsed="false">
      <c r="A272" s="7"/>
      <c r="B272" s="7"/>
      <c r="C272" s="7"/>
      <c r="D272" s="7"/>
      <c r="E272" s="7"/>
    </row>
    <row r="273" customFormat="false" ht="15" hidden="false" customHeight="true" outlineLevel="0" collapsed="false">
      <c r="A273" s="7"/>
      <c r="B273" s="7"/>
      <c r="C273" s="7"/>
      <c r="D273" s="7"/>
      <c r="E273" s="7"/>
    </row>
    <row r="274" customFormat="false" ht="15" hidden="false" customHeight="true" outlineLevel="0" collapsed="false">
      <c r="A274" s="7"/>
      <c r="B274" s="7"/>
      <c r="C274" s="7"/>
      <c r="D274" s="7"/>
      <c r="E274" s="7"/>
    </row>
    <row r="275" customFormat="false" ht="15" hidden="false" customHeight="true" outlineLevel="0" collapsed="false">
      <c r="A275" s="7"/>
      <c r="B275" s="7"/>
      <c r="C275" s="7"/>
      <c r="D275" s="7"/>
      <c r="E275" s="7"/>
    </row>
    <row r="276" customFormat="false" ht="15" hidden="false" customHeight="true" outlineLevel="0" collapsed="false">
      <c r="A276" s="7"/>
      <c r="B276" s="7"/>
      <c r="C276" s="7"/>
      <c r="D276" s="7"/>
      <c r="E276" s="7"/>
    </row>
    <row r="277" customFormat="false" ht="15" hidden="false" customHeight="true" outlineLevel="0" collapsed="false">
      <c r="A277" s="7"/>
      <c r="B277" s="7"/>
      <c r="C277" s="7"/>
      <c r="D277" s="7"/>
      <c r="E277" s="7"/>
    </row>
    <row r="278" customFormat="false" ht="15" hidden="false" customHeight="true" outlineLevel="0" collapsed="false">
      <c r="A278" s="7"/>
      <c r="B278" s="7"/>
      <c r="C278" s="7"/>
      <c r="D278" s="7"/>
      <c r="E278" s="7"/>
    </row>
    <row r="279" customFormat="false" ht="15" hidden="false" customHeight="true" outlineLevel="0" collapsed="false">
      <c r="A279" s="7"/>
      <c r="B279" s="7"/>
      <c r="C279" s="7"/>
      <c r="D279" s="7"/>
      <c r="E279" s="7"/>
    </row>
    <row r="280" customFormat="false" ht="15" hidden="false" customHeight="true" outlineLevel="0" collapsed="false">
      <c r="A280" s="7"/>
      <c r="B280" s="7"/>
      <c r="C280" s="7"/>
      <c r="D280" s="7"/>
      <c r="E280" s="7"/>
    </row>
    <row r="281" customFormat="false" ht="15" hidden="false" customHeight="true" outlineLevel="0" collapsed="false">
      <c r="A281" s="7"/>
      <c r="B281" s="7"/>
      <c r="C281" s="7"/>
      <c r="D281" s="7"/>
      <c r="E281" s="7"/>
    </row>
    <row r="282" customFormat="false" ht="15" hidden="false" customHeight="true" outlineLevel="0" collapsed="false">
      <c r="A282" s="7"/>
      <c r="B282" s="7"/>
      <c r="C282" s="7"/>
      <c r="D282" s="7"/>
      <c r="E282" s="7"/>
    </row>
    <row r="283" customFormat="false" ht="15" hidden="false" customHeight="true" outlineLevel="0" collapsed="false">
      <c r="A283" s="7"/>
      <c r="B283" s="7"/>
      <c r="C283" s="7"/>
      <c r="D283" s="7"/>
      <c r="E283" s="7"/>
    </row>
    <row r="284" customFormat="false" ht="15" hidden="false" customHeight="true" outlineLevel="0" collapsed="false">
      <c r="A284" s="7"/>
      <c r="B284" s="7"/>
      <c r="C284" s="7"/>
      <c r="D284" s="7"/>
      <c r="E284" s="7"/>
    </row>
    <row r="285" customFormat="false" ht="15" hidden="false" customHeight="true" outlineLevel="0" collapsed="false">
      <c r="A285" s="7"/>
      <c r="B285" s="7"/>
      <c r="C285" s="7"/>
      <c r="D285" s="7"/>
      <c r="E285" s="7"/>
    </row>
    <row r="286" customFormat="false" ht="15" hidden="false" customHeight="true" outlineLevel="0" collapsed="false">
      <c r="A286" s="7"/>
      <c r="B286" s="7"/>
      <c r="C286" s="7"/>
      <c r="D286" s="7"/>
      <c r="E286" s="7"/>
    </row>
    <row r="287" customFormat="false" ht="15" hidden="false" customHeight="true" outlineLevel="0" collapsed="false">
      <c r="A287" s="7"/>
      <c r="B287" s="7"/>
      <c r="C287" s="7"/>
      <c r="D287" s="7"/>
      <c r="E287" s="7"/>
    </row>
    <row r="288" customFormat="false" ht="15" hidden="false" customHeight="true" outlineLevel="0" collapsed="false">
      <c r="A288" s="7"/>
      <c r="B288" s="7"/>
      <c r="C288" s="7"/>
      <c r="D288" s="7"/>
      <c r="E288" s="7"/>
    </row>
    <row r="289" customFormat="false" ht="15" hidden="false" customHeight="true" outlineLevel="0" collapsed="false">
      <c r="A289" s="7"/>
      <c r="B289" s="7"/>
      <c r="C289" s="7"/>
      <c r="D289" s="7"/>
      <c r="E289" s="7"/>
    </row>
    <row r="290" customFormat="false" ht="15" hidden="false" customHeight="true" outlineLevel="0" collapsed="false">
      <c r="A290" s="7"/>
      <c r="B290" s="7"/>
      <c r="C290" s="7"/>
      <c r="D290" s="7"/>
      <c r="E290" s="7"/>
    </row>
    <row r="291" customFormat="false" ht="15" hidden="false" customHeight="true" outlineLevel="0" collapsed="false">
      <c r="A291" s="7"/>
      <c r="B291" s="7"/>
      <c r="C291" s="7"/>
      <c r="D291" s="7"/>
      <c r="E291" s="7"/>
    </row>
    <row r="292" customFormat="false" ht="15" hidden="false" customHeight="true" outlineLevel="0" collapsed="false">
      <c r="A292" s="7"/>
      <c r="B292" s="7"/>
      <c r="C292" s="7"/>
      <c r="D292" s="7"/>
      <c r="E292" s="7"/>
    </row>
    <row r="293" customFormat="false" ht="15" hidden="false" customHeight="true" outlineLevel="0" collapsed="false">
      <c r="A293" s="7"/>
      <c r="B293" s="7"/>
      <c r="C293" s="7"/>
      <c r="D293" s="7"/>
      <c r="E293" s="7"/>
    </row>
    <row r="294" customFormat="false" ht="15" hidden="false" customHeight="true" outlineLevel="0" collapsed="false">
      <c r="A294" s="7"/>
      <c r="B294" s="7"/>
      <c r="C294" s="7"/>
      <c r="D294" s="7"/>
      <c r="E294" s="7"/>
    </row>
    <row r="295" customFormat="false" ht="15" hidden="false" customHeight="true" outlineLevel="0" collapsed="false">
      <c r="A295" s="7"/>
      <c r="B295" s="7"/>
      <c r="C295" s="7"/>
      <c r="D295" s="7"/>
      <c r="E295" s="7"/>
    </row>
    <row r="296" customFormat="false" ht="15" hidden="false" customHeight="true" outlineLevel="0" collapsed="false">
      <c r="A296" s="7"/>
      <c r="B296" s="7"/>
      <c r="C296" s="7"/>
      <c r="D296" s="7"/>
      <c r="E296" s="7"/>
    </row>
    <row r="297" customFormat="false" ht="15" hidden="false" customHeight="true" outlineLevel="0" collapsed="false">
      <c r="A297" s="7"/>
      <c r="B297" s="7"/>
      <c r="C297" s="7"/>
      <c r="D297" s="7"/>
      <c r="E297" s="7"/>
    </row>
    <row r="298" customFormat="false" ht="15" hidden="false" customHeight="true" outlineLevel="0" collapsed="false">
      <c r="A298" s="7"/>
      <c r="B298" s="7"/>
      <c r="C298" s="7"/>
      <c r="D298" s="7"/>
      <c r="E298" s="7"/>
    </row>
    <row r="299" customFormat="false" ht="15" hidden="false" customHeight="true" outlineLevel="0" collapsed="false">
      <c r="A299" s="7"/>
      <c r="B299" s="7"/>
      <c r="C299" s="7"/>
      <c r="D299" s="7"/>
      <c r="E299" s="7"/>
    </row>
    <row r="300" customFormat="false" ht="15" hidden="false" customHeight="true" outlineLevel="0" collapsed="false">
      <c r="A300" s="7"/>
      <c r="B300" s="7"/>
      <c r="C300" s="7"/>
      <c r="D300" s="7"/>
      <c r="E300" s="7"/>
    </row>
    <row r="301" customFormat="false" ht="15" hidden="false" customHeight="true" outlineLevel="0" collapsed="false">
      <c r="A301" s="7"/>
      <c r="B301" s="7"/>
      <c r="C301" s="7"/>
      <c r="D301" s="7"/>
      <c r="E301" s="7"/>
    </row>
    <row r="302" customFormat="false" ht="15" hidden="false" customHeight="true" outlineLevel="0" collapsed="false">
      <c r="A302" s="7"/>
      <c r="B302" s="7"/>
      <c r="C302" s="7"/>
      <c r="D302" s="7"/>
      <c r="E302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1"/>
    <col collapsed="false" customWidth="true" hidden="false" outlineLevel="0" max="5" min="5" style="1" width="15"/>
  </cols>
  <sheetData>
    <row r="1" customFormat="false" ht="25.5" hidden="false" customHeight="true" outlineLevel="0" collapsed="false">
      <c r="A1" s="2" t="s">
        <v>41</v>
      </c>
      <c r="B1" s="2"/>
      <c r="C1" s="2"/>
      <c r="D1" s="2"/>
      <c r="E1" s="2"/>
    </row>
    <row r="2" customFormat="false" ht="15" hidden="false" customHeight="true" outlineLevel="0" collapsed="false">
      <c r="A2" s="6" t="s">
        <v>42</v>
      </c>
      <c r="B2" s="6" t="s">
        <v>43</v>
      </c>
      <c r="C2" s="6" t="s">
        <v>44</v>
      </c>
      <c r="D2" s="6" t="s">
        <v>45</v>
      </c>
      <c r="E2" s="6" t="s">
        <v>46</v>
      </c>
    </row>
    <row r="3" customFormat="false" ht="15" hidden="false" customHeight="true" outlineLevel="0" collapsed="false">
      <c r="A3" s="7" t="s">
        <v>47</v>
      </c>
      <c r="B3" s="8" t="s">
        <v>48</v>
      </c>
      <c r="C3" s="7" t="s">
        <v>49</v>
      </c>
      <c r="D3" s="8" t="s">
        <v>50</v>
      </c>
      <c r="E3" s="9" t="n">
        <v>12000</v>
      </c>
    </row>
    <row r="4" customFormat="false" ht="15" hidden="false" customHeight="true" outlineLevel="0" collapsed="false">
      <c r="A4" s="7" t="s">
        <v>51</v>
      </c>
      <c r="B4" s="8" t="s">
        <v>52</v>
      </c>
      <c r="C4" s="7" t="s">
        <v>49</v>
      </c>
      <c r="D4" s="8" t="s">
        <v>50</v>
      </c>
      <c r="E4" s="9" t="n">
        <v>42000</v>
      </c>
    </row>
    <row r="5" customFormat="false" ht="15" hidden="false" customHeight="true" outlineLevel="0" collapsed="false">
      <c r="A5" s="7" t="s">
        <v>53</v>
      </c>
      <c r="B5" s="8" t="s">
        <v>54</v>
      </c>
      <c r="C5" s="8" t="s">
        <v>55</v>
      </c>
      <c r="D5" s="7" t="s">
        <v>56</v>
      </c>
      <c r="E5" s="9" t="n">
        <v>18000</v>
      </c>
    </row>
    <row r="6" customFormat="false" ht="15" hidden="false" customHeight="true" outlineLevel="0" collapsed="false">
      <c r="A6" s="7"/>
      <c r="B6" s="7"/>
      <c r="C6" s="7"/>
      <c r="D6" s="7"/>
      <c r="E6" s="9"/>
    </row>
    <row r="7" customFormat="false" ht="15" hidden="false" customHeight="true" outlineLevel="0" collapsed="false">
      <c r="A7" s="7"/>
      <c r="B7" s="7"/>
      <c r="C7" s="7"/>
      <c r="D7" s="7"/>
      <c r="E7" s="9"/>
    </row>
    <row r="8" customFormat="false" ht="15" hidden="false" customHeight="true" outlineLevel="0" collapsed="false">
      <c r="A8" s="7"/>
      <c r="B8" s="7"/>
      <c r="C8" s="7"/>
      <c r="D8" s="7"/>
      <c r="E8" s="9"/>
    </row>
    <row r="9" customFormat="false" ht="15" hidden="false" customHeight="true" outlineLevel="0" collapsed="false">
      <c r="A9" s="7"/>
      <c r="B9" s="7"/>
      <c r="C9" s="7"/>
      <c r="D9" s="7"/>
      <c r="E9" s="9"/>
    </row>
    <row r="10" customFormat="false" ht="15" hidden="false" customHeight="true" outlineLevel="0" collapsed="false">
      <c r="A10" s="7"/>
      <c r="B10" s="7"/>
      <c r="C10" s="7"/>
      <c r="D10" s="7"/>
      <c r="E10" s="9"/>
    </row>
    <row r="11" customFormat="false" ht="15" hidden="false" customHeight="true" outlineLevel="0" collapsed="false">
      <c r="A11" s="7"/>
      <c r="B11" s="7"/>
      <c r="C11" s="7"/>
      <c r="D11" s="7"/>
      <c r="E11" s="9"/>
    </row>
    <row r="12" customFormat="false" ht="15" hidden="false" customHeight="true" outlineLevel="0" collapsed="false">
      <c r="A12" s="7"/>
      <c r="B12" s="7"/>
      <c r="C12" s="7"/>
      <c r="D12" s="7"/>
      <c r="E12" s="9"/>
    </row>
    <row r="13" customFormat="false" ht="15" hidden="false" customHeight="true" outlineLevel="0" collapsed="false">
      <c r="A13" s="7"/>
      <c r="B13" s="7"/>
      <c r="C13" s="7"/>
      <c r="D13" s="7"/>
      <c r="E13" s="9"/>
    </row>
    <row r="14" customFormat="false" ht="15" hidden="false" customHeight="true" outlineLevel="0" collapsed="false">
      <c r="A14" s="7"/>
      <c r="B14" s="7"/>
      <c r="C14" s="7"/>
      <c r="D14" s="7"/>
      <c r="E14" s="9"/>
    </row>
    <row r="15" customFormat="false" ht="15" hidden="false" customHeight="true" outlineLevel="0" collapsed="false">
      <c r="A15" s="7"/>
      <c r="B15" s="7"/>
      <c r="C15" s="7"/>
      <c r="D15" s="7"/>
      <c r="E15" s="9"/>
    </row>
    <row r="16" customFormat="false" ht="15" hidden="false" customHeight="true" outlineLevel="0" collapsed="false">
      <c r="A16" s="7"/>
      <c r="B16" s="7"/>
      <c r="C16" s="7"/>
      <c r="D16" s="7"/>
      <c r="E16" s="9"/>
    </row>
    <row r="17" customFormat="false" ht="15" hidden="false" customHeight="true" outlineLevel="0" collapsed="false">
      <c r="A17" s="7"/>
      <c r="B17" s="7"/>
      <c r="C17" s="7"/>
      <c r="D17" s="7"/>
      <c r="E17" s="9"/>
    </row>
    <row r="18" customFormat="false" ht="15" hidden="false" customHeight="true" outlineLevel="0" collapsed="false">
      <c r="A18" s="7"/>
      <c r="B18" s="7"/>
      <c r="C18" s="7"/>
      <c r="D18" s="7"/>
      <c r="E18" s="9"/>
    </row>
    <row r="19" customFormat="false" ht="15" hidden="false" customHeight="true" outlineLevel="0" collapsed="false">
      <c r="A19" s="7"/>
      <c r="B19" s="7"/>
      <c r="C19" s="7"/>
      <c r="D19" s="7"/>
      <c r="E19" s="9"/>
    </row>
    <row r="20" customFormat="false" ht="15" hidden="false" customHeight="true" outlineLevel="0" collapsed="false">
      <c r="A20" s="7"/>
      <c r="B20" s="7"/>
      <c r="C20" s="7"/>
      <c r="D20" s="7"/>
      <c r="E20" s="9"/>
    </row>
    <row r="21" customFormat="false" ht="15" hidden="false" customHeight="true" outlineLevel="0" collapsed="false">
      <c r="A21" s="7"/>
      <c r="B21" s="7"/>
      <c r="C21" s="7"/>
      <c r="D21" s="7"/>
      <c r="E21" s="9"/>
    </row>
    <row r="22" customFormat="false" ht="15" hidden="false" customHeight="true" outlineLevel="0" collapsed="false">
      <c r="A22" s="7"/>
      <c r="B22" s="7"/>
      <c r="C22" s="7"/>
      <c r="D22" s="7"/>
      <c r="E22" s="9"/>
    </row>
    <row r="23" customFormat="false" ht="15" hidden="false" customHeight="true" outlineLevel="0" collapsed="false">
      <c r="A23" s="7"/>
      <c r="B23" s="7"/>
      <c r="C23" s="7"/>
      <c r="D23" s="7"/>
      <c r="E23" s="9"/>
    </row>
    <row r="24" customFormat="false" ht="15" hidden="false" customHeight="true" outlineLevel="0" collapsed="false">
      <c r="A24" s="7"/>
      <c r="B24" s="7"/>
      <c r="C24" s="7"/>
      <c r="D24" s="7"/>
      <c r="E24" s="9"/>
    </row>
    <row r="25" customFormat="false" ht="15" hidden="false" customHeight="true" outlineLevel="0" collapsed="false">
      <c r="A25" s="7"/>
      <c r="B25" s="7"/>
      <c r="C25" s="7"/>
      <c r="D25" s="7"/>
      <c r="E25" s="9"/>
    </row>
    <row r="26" customFormat="false" ht="15" hidden="false" customHeight="true" outlineLevel="0" collapsed="false">
      <c r="A26" s="7"/>
      <c r="B26" s="7"/>
      <c r="C26" s="7"/>
      <c r="D26" s="7"/>
      <c r="E26" s="9"/>
    </row>
    <row r="27" customFormat="false" ht="15" hidden="false" customHeight="true" outlineLevel="0" collapsed="false">
      <c r="A27" s="7"/>
      <c r="B27" s="7"/>
      <c r="C27" s="7"/>
      <c r="D27" s="7"/>
      <c r="E27" s="9"/>
    </row>
    <row r="28" customFormat="false" ht="15" hidden="false" customHeight="true" outlineLevel="0" collapsed="false">
      <c r="A28" s="7"/>
      <c r="B28" s="7"/>
      <c r="C28" s="7"/>
      <c r="D28" s="7"/>
      <c r="E28" s="9"/>
    </row>
    <row r="29" customFormat="false" ht="15" hidden="false" customHeight="true" outlineLevel="0" collapsed="false">
      <c r="A29" s="7"/>
      <c r="B29" s="7"/>
      <c r="C29" s="7"/>
      <c r="D29" s="7"/>
      <c r="E29" s="9"/>
    </row>
    <row r="30" customFormat="false" ht="15" hidden="false" customHeight="true" outlineLevel="0" collapsed="false">
      <c r="A30" s="7"/>
      <c r="B30" s="7"/>
      <c r="C30" s="7"/>
      <c r="D30" s="7"/>
      <c r="E30" s="9"/>
    </row>
    <row r="31" customFormat="false" ht="15" hidden="false" customHeight="true" outlineLevel="0" collapsed="false">
      <c r="A31" s="7"/>
      <c r="B31" s="7"/>
      <c r="C31" s="7"/>
      <c r="D31" s="7"/>
      <c r="E31" s="9"/>
    </row>
    <row r="32" customFormat="false" ht="15" hidden="false" customHeight="true" outlineLevel="0" collapsed="false">
      <c r="A32" s="7"/>
      <c r="B32" s="7"/>
      <c r="C32" s="7"/>
      <c r="D32" s="7"/>
      <c r="E32" s="9"/>
    </row>
    <row r="33" customFormat="false" ht="15" hidden="false" customHeight="true" outlineLevel="0" collapsed="false">
      <c r="A33" s="7"/>
      <c r="B33" s="7"/>
      <c r="C33" s="7"/>
      <c r="D33" s="7"/>
      <c r="E33" s="9"/>
    </row>
    <row r="34" customFormat="false" ht="15" hidden="false" customHeight="true" outlineLevel="0" collapsed="false">
      <c r="A34" s="7"/>
      <c r="B34" s="7"/>
      <c r="C34" s="7"/>
      <c r="D34" s="7"/>
      <c r="E34" s="9"/>
    </row>
    <row r="35" customFormat="false" ht="15" hidden="false" customHeight="true" outlineLevel="0" collapsed="false">
      <c r="A35" s="7"/>
      <c r="B35" s="7"/>
      <c r="C35" s="7"/>
      <c r="D35" s="7"/>
      <c r="E35" s="9"/>
    </row>
    <row r="36" customFormat="false" ht="15" hidden="false" customHeight="true" outlineLevel="0" collapsed="false">
      <c r="A36" s="7"/>
      <c r="B36" s="7"/>
      <c r="C36" s="7"/>
      <c r="D36" s="7"/>
      <c r="E36" s="9"/>
    </row>
    <row r="37" customFormat="false" ht="15" hidden="false" customHeight="true" outlineLevel="0" collapsed="false">
      <c r="A37" s="7"/>
      <c r="B37" s="7"/>
      <c r="C37" s="7"/>
      <c r="D37" s="7"/>
      <c r="E37" s="9"/>
    </row>
    <row r="38" customFormat="false" ht="15" hidden="false" customHeight="true" outlineLevel="0" collapsed="false">
      <c r="A38" s="7"/>
      <c r="B38" s="7"/>
      <c r="C38" s="7"/>
      <c r="D38" s="7"/>
      <c r="E38" s="9"/>
    </row>
    <row r="39" customFormat="false" ht="15" hidden="false" customHeight="true" outlineLevel="0" collapsed="false">
      <c r="A39" s="7"/>
      <c r="B39" s="7"/>
      <c r="C39" s="7"/>
      <c r="D39" s="7"/>
      <c r="E39" s="9"/>
    </row>
    <row r="40" customFormat="false" ht="15" hidden="false" customHeight="true" outlineLevel="0" collapsed="false">
      <c r="A40" s="7"/>
      <c r="B40" s="7"/>
      <c r="C40" s="7"/>
      <c r="D40" s="7"/>
      <c r="E40" s="9"/>
    </row>
    <row r="41" customFormat="false" ht="15" hidden="false" customHeight="true" outlineLevel="0" collapsed="false">
      <c r="A41" s="7"/>
      <c r="B41" s="7"/>
      <c r="C41" s="7"/>
      <c r="D41" s="7"/>
      <c r="E41" s="9"/>
    </row>
    <row r="42" customFormat="false" ht="15" hidden="false" customHeight="true" outlineLevel="0" collapsed="false">
      <c r="A42" s="7"/>
      <c r="B42" s="7"/>
      <c r="C42" s="7"/>
      <c r="D42" s="7"/>
      <c r="E42" s="9"/>
    </row>
    <row r="43" customFormat="false" ht="15" hidden="false" customHeight="true" outlineLevel="0" collapsed="false">
      <c r="A43" s="7"/>
      <c r="B43" s="7"/>
      <c r="C43" s="7"/>
      <c r="D43" s="7"/>
      <c r="E43" s="9"/>
    </row>
    <row r="44" customFormat="false" ht="15" hidden="false" customHeight="true" outlineLevel="0" collapsed="false">
      <c r="A44" s="7"/>
      <c r="B44" s="7"/>
      <c r="C44" s="7"/>
      <c r="D44" s="7"/>
      <c r="E44" s="9"/>
    </row>
    <row r="45" customFormat="false" ht="15" hidden="false" customHeight="true" outlineLevel="0" collapsed="false">
      <c r="A45" s="7"/>
      <c r="B45" s="7"/>
      <c r="C45" s="7"/>
      <c r="D45" s="7"/>
      <c r="E45" s="9"/>
    </row>
    <row r="46" customFormat="false" ht="15" hidden="false" customHeight="true" outlineLevel="0" collapsed="false">
      <c r="A46" s="7"/>
      <c r="B46" s="7"/>
      <c r="C46" s="7"/>
      <c r="D46" s="7"/>
      <c r="E46" s="9"/>
    </row>
    <row r="47" customFormat="false" ht="15" hidden="false" customHeight="true" outlineLevel="0" collapsed="false">
      <c r="A47" s="7"/>
      <c r="B47" s="7"/>
      <c r="C47" s="7"/>
      <c r="D47" s="7"/>
      <c r="E47" s="9"/>
    </row>
    <row r="48" customFormat="false" ht="15" hidden="false" customHeight="true" outlineLevel="0" collapsed="false">
      <c r="A48" s="7"/>
      <c r="B48" s="7"/>
      <c r="C48" s="7"/>
      <c r="D48" s="7"/>
      <c r="E48" s="9"/>
    </row>
    <row r="49" customFormat="false" ht="15" hidden="false" customHeight="true" outlineLevel="0" collapsed="false">
      <c r="A49" s="7"/>
      <c r="B49" s="7"/>
      <c r="C49" s="7"/>
      <c r="D49" s="7"/>
      <c r="E49" s="9"/>
    </row>
    <row r="50" customFormat="false" ht="15" hidden="false" customHeight="true" outlineLevel="0" collapsed="false">
      <c r="A50" s="7"/>
      <c r="B50" s="7"/>
      <c r="C50" s="7"/>
      <c r="D50" s="7"/>
      <c r="E50" s="9"/>
    </row>
    <row r="51" customFormat="false" ht="15" hidden="false" customHeight="true" outlineLevel="0" collapsed="false">
      <c r="A51" s="7"/>
      <c r="B51" s="7"/>
      <c r="C51" s="7"/>
      <c r="D51" s="7"/>
      <c r="E51" s="9"/>
    </row>
    <row r="52" customFormat="false" ht="15" hidden="false" customHeight="true" outlineLevel="0" collapsed="false">
      <c r="A52" s="7"/>
      <c r="B52" s="7"/>
      <c r="C52" s="7"/>
      <c r="D52" s="7"/>
      <c r="E52" s="9"/>
    </row>
    <row r="53" customFormat="false" ht="15" hidden="false" customHeight="true" outlineLevel="0" collapsed="false">
      <c r="A53" s="7"/>
      <c r="B53" s="7"/>
      <c r="C53" s="7"/>
      <c r="D53" s="7"/>
      <c r="E53" s="9"/>
    </row>
    <row r="54" customFormat="false" ht="15" hidden="false" customHeight="true" outlineLevel="0" collapsed="false">
      <c r="A54" s="7"/>
      <c r="B54" s="7"/>
      <c r="C54" s="7"/>
      <c r="D54" s="7"/>
      <c r="E54" s="9"/>
    </row>
    <row r="55" customFormat="false" ht="15" hidden="false" customHeight="true" outlineLevel="0" collapsed="false">
      <c r="A55" s="7"/>
      <c r="B55" s="7"/>
      <c r="C55" s="7"/>
      <c r="D55" s="7"/>
      <c r="E55" s="9"/>
    </row>
    <row r="56" customFormat="false" ht="15" hidden="false" customHeight="true" outlineLevel="0" collapsed="false">
      <c r="A56" s="7"/>
      <c r="B56" s="7"/>
      <c r="C56" s="7"/>
      <c r="D56" s="7"/>
      <c r="E56" s="9"/>
    </row>
    <row r="57" customFormat="false" ht="15" hidden="false" customHeight="true" outlineLevel="0" collapsed="false">
      <c r="A57" s="7"/>
      <c r="B57" s="7"/>
      <c r="C57" s="7"/>
      <c r="D57" s="7"/>
      <c r="E57" s="9"/>
    </row>
    <row r="58" customFormat="false" ht="15" hidden="false" customHeight="true" outlineLevel="0" collapsed="false">
      <c r="A58" s="7"/>
      <c r="B58" s="7"/>
      <c r="C58" s="7"/>
      <c r="D58" s="7"/>
      <c r="E58" s="9"/>
    </row>
    <row r="59" customFormat="false" ht="15" hidden="false" customHeight="true" outlineLevel="0" collapsed="false">
      <c r="A59" s="7"/>
      <c r="B59" s="7"/>
      <c r="C59" s="7"/>
      <c r="D59" s="7"/>
      <c r="E59" s="9"/>
    </row>
    <row r="60" customFormat="false" ht="15" hidden="false" customHeight="true" outlineLevel="0" collapsed="false">
      <c r="A60" s="7"/>
      <c r="B60" s="7"/>
      <c r="C60" s="7"/>
      <c r="D60" s="7"/>
      <c r="E60" s="9"/>
    </row>
    <row r="61" customFormat="false" ht="15" hidden="false" customHeight="true" outlineLevel="0" collapsed="false">
      <c r="A61" s="7"/>
      <c r="B61" s="7"/>
      <c r="C61" s="7"/>
      <c r="D61" s="7"/>
      <c r="E61" s="9"/>
    </row>
    <row r="62" customFormat="false" ht="15" hidden="false" customHeight="true" outlineLevel="0" collapsed="false">
      <c r="A62" s="7"/>
      <c r="B62" s="7"/>
      <c r="C62" s="7"/>
      <c r="D62" s="7"/>
      <c r="E62" s="9"/>
    </row>
    <row r="63" customFormat="false" ht="15" hidden="false" customHeight="true" outlineLevel="0" collapsed="false">
      <c r="A63" s="7"/>
      <c r="B63" s="7"/>
      <c r="C63" s="7"/>
      <c r="D63" s="7"/>
      <c r="E63" s="9"/>
    </row>
    <row r="64" customFormat="false" ht="15" hidden="false" customHeight="true" outlineLevel="0" collapsed="false">
      <c r="A64" s="7"/>
      <c r="B64" s="7"/>
      <c r="C64" s="7"/>
      <c r="D64" s="7"/>
      <c r="E64" s="9"/>
    </row>
    <row r="65" customFormat="false" ht="15" hidden="false" customHeight="true" outlineLevel="0" collapsed="false">
      <c r="A65" s="7"/>
      <c r="B65" s="7"/>
      <c r="C65" s="7"/>
      <c r="D65" s="7"/>
      <c r="E65" s="9"/>
    </row>
    <row r="66" customFormat="false" ht="15" hidden="false" customHeight="true" outlineLevel="0" collapsed="false">
      <c r="A66" s="7"/>
      <c r="B66" s="7"/>
      <c r="C66" s="7"/>
      <c r="D66" s="7"/>
      <c r="E66" s="9"/>
    </row>
    <row r="67" customFormat="false" ht="15" hidden="false" customHeight="true" outlineLevel="0" collapsed="false">
      <c r="A67" s="7"/>
      <c r="B67" s="7"/>
      <c r="C67" s="7"/>
      <c r="D67" s="7"/>
      <c r="E67" s="9"/>
    </row>
    <row r="68" customFormat="false" ht="15" hidden="false" customHeight="true" outlineLevel="0" collapsed="false">
      <c r="A68" s="7"/>
      <c r="B68" s="7"/>
      <c r="C68" s="7"/>
      <c r="D68" s="7"/>
      <c r="E68" s="9"/>
    </row>
    <row r="69" customFormat="false" ht="15" hidden="false" customHeight="true" outlineLevel="0" collapsed="false">
      <c r="A69" s="7"/>
      <c r="B69" s="7"/>
      <c r="C69" s="7"/>
      <c r="D69" s="7"/>
      <c r="E69" s="9"/>
    </row>
    <row r="70" customFormat="false" ht="15" hidden="false" customHeight="true" outlineLevel="0" collapsed="false">
      <c r="A70" s="7"/>
      <c r="B70" s="7"/>
      <c r="C70" s="7"/>
      <c r="D70" s="7"/>
      <c r="E70" s="9"/>
    </row>
    <row r="71" customFormat="false" ht="15" hidden="false" customHeight="true" outlineLevel="0" collapsed="false">
      <c r="A71" s="7"/>
      <c r="B71" s="7"/>
      <c r="C71" s="7"/>
      <c r="D71" s="7"/>
      <c r="E71" s="9"/>
    </row>
    <row r="72" customFormat="false" ht="15" hidden="false" customHeight="true" outlineLevel="0" collapsed="false">
      <c r="A72" s="7"/>
      <c r="B72" s="7"/>
      <c r="C72" s="7"/>
      <c r="D72" s="7"/>
      <c r="E72" s="9"/>
    </row>
    <row r="73" customFormat="false" ht="15" hidden="false" customHeight="true" outlineLevel="0" collapsed="false">
      <c r="A73" s="7"/>
      <c r="B73" s="7"/>
      <c r="C73" s="7"/>
      <c r="D73" s="7"/>
      <c r="E73" s="9"/>
    </row>
    <row r="74" customFormat="false" ht="15" hidden="false" customHeight="true" outlineLevel="0" collapsed="false">
      <c r="A74" s="7"/>
      <c r="B74" s="7"/>
      <c r="C74" s="7"/>
      <c r="D74" s="7"/>
      <c r="E74" s="9"/>
    </row>
    <row r="75" customFormat="false" ht="15" hidden="false" customHeight="true" outlineLevel="0" collapsed="false">
      <c r="A75" s="7"/>
      <c r="B75" s="7"/>
      <c r="C75" s="7"/>
      <c r="D75" s="7"/>
      <c r="E75" s="9"/>
    </row>
    <row r="76" customFormat="false" ht="15" hidden="false" customHeight="true" outlineLevel="0" collapsed="false">
      <c r="A76" s="7"/>
      <c r="B76" s="7"/>
      <c r="C76" s="7"/>
      <c r="D76" s="7"/>
      <c r="E76" s="9"/>
    </row>
    <row r="77" customFormat="false" ht="15" hidden="false" customHeight="true" outlineLevel="0" collapsed="false">
      <c r="A77" s="7"/>
      <c r="B77" s="7"/>
      <c r="C77" s="7"/>
      <c r="D77" s="7"/>
      <c r="E77" s="9"/>
    </row>
    <row r="78" customFormat="false" ht="15" hidden="false" customHeight="true" outlineLevel="0" collapsed="false">
      <c r="A78" s="7"/>
      <c r="B78" s="7"/>
      <c r="C78" s="7"/>
      <c r="D78" s="7"/>
      <c r="E78" s="9"/>
    </row>
    <row r="79" customFormat="false" ht="15" hidden="false" customHeight="true" outlineLevel="0" collapsed="false">
      <c r="A79" s="7"/>
      <c r="B79" s="7"/>
      <c r="C79" s="7"/>
      <c r="D79" s="7"/>
      <c r="E79" s="9"/>
    </row>
    <row r="80" customFormat="false" ht="15" hidden="false" customHeight="true" outlineLevel="0" collapsed="false">
      <c r="A80" s="7"/>
      <c r="B80" s="7"/>
      <c r="C80" s="7"/>
      <c r="D80" s="7"/>
      <c r="E80" s="9"/>
    </row>
    <row r="81" customFormat="false" ht="15" hidden="false" customHeight="true" outlineLevel="0" collapsed="false">
      <c r="A81" s="7"/>
      <c r="B81" s="7"/>
      <c r="C81" s="7"/>
      <c r="D81" s="7"/>
      <c r="E81" s="9"/>
    </row>
    <row r="82" customFormat="false" ht="15" hidden="false" customHeight="true" outlineLevel="0" collapsed="false">
      <c r="A82" s="7"/>
      <c r="B82" s="7"/>
      <c r="C82" s="7"/>
      <c r="D82" s="7"/>
      <c r="E82" s="9"/>
    </row>
    <row r="83" customFormat="false" ht="15" hidden="false" customHeight="true" outlineLevel="0" collapsed="false">
      <c r="A83" s="7"/>
      <c r="B83" s="7"/>
      <c r="C83" s="7"/>
      <c r="D83" s="7"/>
      <c r="E83" s="9"/>
    </row>
    <row r="84" customFormat="false" ht="15" hidden="false" customHeight="true" outlineLevel="0" collapsed="false">
      <c r="A84" s="7"/>
      <c r="B84" s="7"/>
      <c r="C84" s="7"/>
      <c r="D84" s="7"/>
      <c r="E84" s="9"/>
    </row>
    <row r="85" customFormat="false" ht="15" hidden="false" customHeight="true" outlineLevel="0" collapsed="false">
      <c r="A85" s="7"/>
      <c r="B85" s="7"/>
      <c r="C85" s="7"/>
      <c r="D85" s="7"/>
      <c r="E85" s="9"/>
    </row>
    <row r="86" customFormat="false" ht="15" hidden="false" customHeight="true" outlineLevel="0" collapsed="false">
      <c r="A86" s="7"/>
      <c r="B86" s="7"/>
      <c r="C86" s="7"/>
      <c r="D86" s="7"/>
      <c r="E86" s="9"/>
    </row>
    <row r="87" customFormat="false" ht="15" hidden="false" customHeight="true" outlineLevel="0" collapsed="false">
      <c r="A87" s="7"/>
      <c r="B87" s="7"/>
      <c r="C87" s="7"/>
      <c r="D87" s="7"/>
      <c r="E87" s="9"/>
    </row>
    <row r="88" customFormat="false" ht="15" hidden="false" customHeight="true" outlineLevel="0" collapsed="false">
      <c r="A88" s="7"/>
      <c r="B88" s="7"/>
      <c r="C88" s="7"/>
      <c r="D88" s="7"/>
      <c r="E88" s="9"/>
    </row>
    <row r="89" customFormat="false" ht="15" hidden="false" customHeight="true" outlineLevel="0" collapsed="false">
      <c r="A89" s="7"/>
      <c r="B89" s="7"/>
      <c r="C89" s="7"/>
      <c r="D89" s="7"/>
      <c r="E89" s="9"/>
    </row>
    <row r="90" customFormat="false" ht="15" hidden="false" customHeight="true" outlineLevel="0" collapsed="false">
      <c r="A90" s="7"/>
      <c r="B90" s="7"/>
      <c r="C90" s="7"/>
      <c r="D90" s="7"/>
      <c r="E90" s="9"/>
    </row>
    <row r="91" customFormat="false" ht="15" hidden="false" customHeight="true" outlineLevel="0" collapsed="false">
      <c r="A91" s="7"/>
      <c r="B91" s="7"/>
      <c r="C91" s="7"/>
      <c r="D91" s="7"/>
      <c r="E91" s="9"/>
    </row>
    <row r="92" customFormat="false" ht="15" hidden="false" customHeight="true" outlineLevel="0" collapsed="false">
      <c r="A92" s="7"/>
      <c r="B92" s="7"/>
      <c r="C92" s="7"/>
      <c r="D92" s="7"/>
      <c r="E92" s="9"/>
    </row>
    <row r="93" customFormat="false" ht="15" hidden="false" customHeight="true" outlineLevel="0" collapsed="false">
      <c r="A93" s="7"/>
      <c r="B93" s="7"/>
      <c r="C93" s="7"/>
      <c r="D93" s="7"/>
      <c r="E93" s="9"/>
    </row>
    <row r="94" customFormat="false" ht="15" hidden="false" customHeight="true" outlineLevel="0" collapsed="false">
      <c r="A94" s="7"/>
      <c r="B94" s="7"/>
      <c r="C94" s="7"/>
      <c r="D94" s="7"/>
      <c r="E94" s="9"/>
    </row>
    <row r="95" customFormat="false" ht="15" hidden="false" customHeight="true" outlineLevel="0" collapsed="false">
      <c r="A95" s="7"/>
      <c r="B95" s="7"/>
      <c r="C95" s="7"/>
      <c r="D95" s="7"/>
      <c r="E95" s="9"/>
    </row>
    <row r="96" customFormat="false" ht="15" hidden="false" customHeight="true" outlineLevel="0" collapsed="false">
      <c r="A96" s="7"/>
      <c r="B96" s="7"/>
      <c r="C96" s="7"/>
      <c r="D96" s="7"/>
      <c r="E96" s="9"/>
    </row>
    <row r="97" customFormat="false" ht="15" hidden="false" customHeight="true" outlineLevel="0" collapsed="false">
      <c r="A97" s="7"/>
      <c r="B97" s="7"/>
      <c r="C97" s="7"/>
      <c r="D97" s="7"/>
      <c r="E97" s="9"/>
    </row>
    <row r="98" customFormat="false" ht="15" hidden="false" customHeight="true" outlineLevel="0" collapsed="false">
      <c r="A98" s="7"/>
      <c r="B98" s="7"/>
      <c r="C98" s="7"/>
      <c r="D98" s="7"/>
      <c r="E98" s="9"/>
    </row>
    <row r="99" customFormat="false" ht="15" hidden="false" customHeight="true" outlineLevel="0" collapsed="false">
      <c r="A99" s="7"/>
      <c r="B99" s="7"/>
      <c r="C99" s="7"/>
      <c r="D99" s="7"/>
      <c r="E99" s="9"/>
    </row>
    <row r="100" customFormat="false" ht="15" hidden="false" customHeight="true" outlineLevel="0" collapsed="false">
      <c r="A100" s="7"/>
      <c r="B100" s="7"/>
      <c r="C100" s="7"/>
      <c r="D100" s="7"/>
      <c r="E100" s="9"/>
    </row>
    <row r="101" customFormat="false" ht="15" hidden="false" customHeight="true" outlineLevel="0" collapsed="false">
      <c r="A101" s="7"/>
      <c r="B101" s="7"/>
      <c r="C101" s="7"/>
      <c r="D101" s="7"/>
      <c r="E101" s="9"/>
    </row>
    <row r="102" customFormat="false" ht="15" hidden="false" customHeight="true" outlineLevel="0" collapsed="false">
      <c r="A102" s="7"/>
      <c r="B102" s="7"/>
      <c r="C102" s="7"/>
      <c r="D102" s="7"/>
      <c r="E102" s="9"/>
    </row>
    <row r="103" customFormat="false" ht="15" hidden="false" customHeight="true" outlineLevel="0" collapsed="false">
      <c r="A103" s="7"/>
      <c r="B103" s="7"/>
      <c r="C103" s="7"/>
      <c r="D103" s="7"/>
      <c r="E103" s="9"/>
    </row>
    <row r="104" customFormat="false" ht="15" hidden="false" customHeight="true" outlineLevel="0" collapsed="false">
      <c r="A104" s="7"/>
      <c r="B104" s="7"/>
      <c r="C104" s="7"/>
      <c r="D104" s="7"/>
      <c r="E104" s="9"/>
    </row>
    <row r="105" customFormat="false" ht="15" hidden="false" customHeight="true" outlineLevel="0" collapsed="false">
      <c r="A105" s="7"/>
      <c r="B105" s="7"/>
      <c r="C105" s="7"/>
      <c r="D105" s="7"/>
      <c r="E105" s="9"/>
    </row>
    <row r="106" customFormat="false" ht="15" hidden="false" customHeight="true" outlineLevel="0" collapsed="false">
      <c r="A106" s="7"/>
      <c r="B106" s="7"/>
      <c r="C106" s="7"/>
      <c r="D106" s="7"/>
      <c r="E106" s="9"/>
    </row>
    <row r="107" customFormat="false" ht="15" hidden="false" customHeight="true" outlineLevel="0" collapsed="false">
      <c r="A107" s="7"/>
      <c r="B107" s="7"/>
      <c r="C107" s="7"/>
      <c r="D107" s="7"/>
      <c r="E107" s="9"/>
    </row>
    <row r="108" customFormat="false" ht="15" hidden="false" customHeight="true" outlineLevel="0" collapsed="false">
      <c r="A108" s="7"/>
      <c r="B108" s="7"/>
      <c r="C108" s="7"/>
      <c r="D108" s="7"/>
      <c r="E108" s="9"/>
    </row>
    <row r="109" customFormat="false" ht="15" hidden="false" customHeight="true" outlineLevel="0" collapsed="false">
      <c r="A109" s="7"/>
      <c r="B109" s="7"/>
      <c r="C109" s="7"/>
      <c r="D109" s="7"/>
      <c r="E109" s="9"/>
    </row>
    <row r="110" customFormat="false" ht="15" hidden="false" customHeight="true" outlineLevel="0" collapsed="false">
      <c r="A110" s="7"/>
      <c r="B110" s="7"/>
      <c r="C110" s="7"/>
      <c r="D110" s="7"/>
      <c r="E110" s="9"/>
    </row>
    <row r="111" customFormat="false" ht="15" hidden="false" customHeight="true" outlineLevel="0" collapsed="false">
      <c r="A111" s="7"/>
      <c r="B111" s="7"/>
      <c r="C111" s="7"/>
      <c r="D111" s="7"/>
      <c r="E111" s="9"/>
    </row>
    <row r="112" customFormat="false" ht="15" hidden="false" customHeight="true" outlineLevel="0" collapsed="false">
      <c r="A112" s="7"/>
      <c r="B112" s="7"/>
      <c r="C112" s="7"/>
      <c r="D112" s="7"/>
      <c r="E112" s="9"/>
    </row>
    <row r="113" customFormat="false" ht="15" hidden="false" customHeight="true" outlineLevel="0" collapsed="false">
      <c r="A113" s="7"/>
      <c r="B113" s="7"/>
      <c r="C113" s="7"/>
      <c r="D113" s="7"/>
      <c r="E113" s="9"/>
    </row>
    <row r="114" customFormat="false" ht="15" hidden="false" customHeight="true" outlineLevel="0" collapsed="false">
      <c r="A114" s="7"/>
      <c r="B114" s="7"/>
      <c r="C114" s="7"/>
      <c r="D114" s="7"/>
      <c r="E114" s="9"/>
    </row>
    <row r="115" customFormat="false" ht="15" hidden="false" customHeight="true" outlineLevel="0" collapsed="false">
      <c r="A115" s="7"/>
      <c r="B115" s="7"/>
      <c r="C115" s="7"/>
      <c r="D115" s="7"/>
      <c r="E115" s="9"/>
    </row>
    <row r="116" customFormat="false" ht="15" hidden="false" customHeight="true" outlineLevel="0" collapsed="false">
      <c r="A116" s="7"/>
      <c r="B116" s="7"/>
      <c r="C116" s="7"/>
      <c r="D116" s="7"/>
      <c r="E116" s="9"/>
    </row>
    <row r="117" customFormat="false" ht="15" hidden="false" customHeight="true" outlineLevel="0" collapsed="false">
      <c r="A117" s="7"/>
      <c r="B117" s="7"/>
      <c r="C117" s="7"/>
      <c r="D117" s="7"/>
      <c r="E117" s="9"/>
    </row>
    <row r="118" customFormat="false" ht="15" hidden="false" customHeight="true" outlineLevel="0" collapsed="false">
      <c r="A118" s="7"/>
      <c r="B118" s="7"/>
      <c r="C118" s="7"/>
      <c r="D118" s="7"/>
      <c r="E118" s="9"/>
    </row>
    <row r="119" customFormat="false" ht="15" hidden="false" customHeight="true" outlineLevel="0" collapsed="false">
      <c r="A119" s="7"/>
      <c r="B119" s="7"/>
      <c r="C119" s="7"/>
      <c r="D119" s="7"/>
      <c r="E119" s="9"/>
    </row>
    <row r="120" customFormat="false" ht="15" hidden="false" customHeight="true" outlineLevel="0" collapsed="false">
      <c r="A120" s="7"/>
      <c r="B120" s="7"/>
      <c r="C120" s="7"/>
      <c r="D120" s="7"/>
      <c r="E120" s="9"/>
    </row>
    <row r="121" customFormat="false" ht="15" hidden="false" customHeight="true" outlineLevel="0" collapsed="false">
      <c r="A121" s="7"/>
      <c r="B121" s="7"/>
      <c r="C121" s="7"/>
      <c r="D121" s="7"/>
      <c r="E121" s="9"/>
    </row>
    <row r="122" customFormat="false" ht="15" hidden="false" customHeight="true" outlineLevel="0" collapsed="false">
      <c r="A122" s="7"/>
      <c r="B122" s="7"/>
      <c r="C122" s="7"/>
      <c r="D122" s="7"/>
      <c r="E122" s="9"/>
    </row>
    <row r="123" customFormat="false" ht="15" hidden="false" customHeight="true" outlineLevel="0" collapsed="false">
      <c r="A123" s="7"/>
      <c r="B123" s="7"/>
      <c r="C123" s="7"/>
      <c r="D123" s="7"/>
      <c r="E123" s="9"/>
    </row>
    <row r="124" customFormat="false" ht="15" hidden="false" customHeight="true" outlineLevel="0" collapsed="false">
      <c r="A124" s="7"/>
      <c r="B124" s="7"/>
      <c r="C124" s="7"/>
      <c r="D124" s="7"/>
      <c r="E124" s="9"/>
    </row>
    <row r="125" customFormat="false" ht="15" hidden="false" customHeight="true" outlineLevel="0" collapsed="false">
      <c r="A125" s="7"/>
      <c r="B125" s="7"/>
      <c r="C125" s="7"/>
      <c r="D125" s="7"/>
      <c r="E125" s="9"/>
    </row>
    <row r="126" customFormat="false" ht="15" hidden="false" customHeight="true" outlineLevel="0" collapsed="false">
      <c r="A126" s="7"/>
      <c r="B126" s="7"/>
      <c r="C126" s="7"/>
      <c r="D126" s="7"/>
      <c r="E126" s="9"/>
    </row>
    <row r="127" customFormat="false" ht="15" hidden="false" customHeight="true" outlineLevel="0" collapsed="false">
      <c r="A127" s="7"/>
      <c r="B127" s="7"/>
      <c r="C127" s="7"/>
      <c r="D127" s="7"/>
      <c r="E127" s="9"/>
    </row>
    <row r="128" customFormat="false" ht="15" hidden="false" customHeight="true" outlineLevel="0" collapsed="false">
      <c r="A128" s="7"/>
      <c r="B128" s="7"/>
      <c r="C128" s="7"/>
      <c r="D128" s="7"/>
      <c r="E128" s="9"/>
    </row>
    <row r="129" customFormat="false" ht="15" hidden="false" customHeight="true" outlineLevel="0" collapsed="false">
      <c r="A129" s="7"/>
      <c r="B129" s="7"/>
      <c r="C129" s="7"/>
      <c r="D129" s="7"/>
      <c r="E129" s="9"/>
    </row>
    <row r="130" customFormat="false" ht="15" hidden="false" customHeight="true" outlineLevel="0" collapsed="false">
      <c r="A130" s="7"/>
      <c r="B130" s="7"/>
      <c r="C130" s="7"/>
      <c r="D130" s="7"/>
      <c r="E130" s="9"/>
    </row>
    <row r="131" customFormat="false" ht="15" hidden="false" customHeight="true" outlineLevel="0" collapsed="false">
      <c r="A131" s="7"/>
      <c r="B131" s="7"/>
      <c r="C131" s="7"/>
      <c r="D131" s="7"/>
      <c r="E131" s="9"/>
    </row>
    <row r="132" customFormat="false" ht="15" hidden="false" customHeight="true" outlineLevel="0" collapsed="false">
      <c r="A132" s="7"/>
      <c r="B132" s="7"/>
      <c r="C132" s="7"/>
      <c r="D132" s="7"/>
      <c r="E132" s="9"/>
    </row>
    <row r="133" customFormat="false" ht="15" hidden="false" customHeight="true" outlineLevel="0" collapsed="false">
      <c r="A133" s="7"/>
      <c r="B133" s="7"/>
      <c r="C133" s="7"/>
      <c r="D133" s="7"/>
      <c r="E133" s="9"/>
    </row>
    <row r="134" customFormat="false" ht="15" hidden="false" customHeight="true" outlineLevel="0" collapsed="false">
      <c r="A134" s="7"/>
      <c r="B134" s="7"/>
      <c r="C134" s="7"/>
      <c r="D134" s="7"/>
      <c r="E134" s="9"/>
    </row>
    <row r="135" customFormat="false" ht="15" hidden="false" customHeight="true" outlineLevel="0" collapsed="false">
      <c r="A135" s="7"/>
      <c r="B135" s="7"/>
      <c r="C135" s="7"/>
      <c r="D135" s="7"/>
      <c r="E135" s="9"/>
    </row>
    <row r="136" customFormat="false" ht="15" hidden="false" customHeight="true" outlineLevel="0" collapsed="false">
      <c r="A136" s="7"/>
      <c r="B136" s="7"/>
      <c r="C136" s="7"/>
      <c r="D136" s="7"/>
      <c r="E136" s="9"/>
    </row>
    <row r="137" customFormat="false" ht="15" hidden="false" customHeight="true" outlineLevel="0" collapsed="false">
      <c r="A137" s="7"/>
      <c r="B137" s="7"/>
      <c r="C137" s="7"/>
      <c r="D137" s="7"/>
      <c r="E137" s="9"/>
    </row>
    <row r="138" customFormat="false" ht="15" hidden="false" customHeight="true" outlineLevel="0" collapsed="false">
      <c r="A138" s="7"/>
      <c r="B138" s="7"/>
      <c r="C138" s="7"/>
      <c r="D138" s="7"/>
      <c r="E138" s="9"/>
    </row>
    <row r="139" customFormat="false" ht="15" hidden="false" customHeight="true" outlineLevel="0" collapsed="false">
      <c r="A139" s="7"/>
      <c r="B139" s="7"/>
      <c r="C139" s="7"/>
      <c r="D139" s="7"/>
      <c r="E139" s="9"/>
    </row>
    <row r="140" customFormat="false" ht="15" hidden="false" customHeight="true" outlineLevel="0" collapsed="false">
      <c r="A140" s="7"/>
      <c r="B140" s="7"/>
      <c r="C140" s="7"/>
      <c r="D140" s="7"/>
      <c r="E140" s="9"/>
    </row>
    <row r="141" customFormat="false" ht="15" hidden="false" customHeight="true" outlineLevel="0" collapsed="false">
      <c r="A141" s="7"/>
      <c r="B141" s="7"/>
      <c r="C141" s="7"/>
      <c r="D141" s="7"/>
      <c r="E141" s="9"/>
    </row>
    <row r="142" customFormat="false" ht="15" hidden="false" customHeight="true" outlineLevel="0" collapsed="false">
      <c r="A142" s="7"/>
      <c r="B142" s="7"/>
      <c r="C142" s="7"/>
      <c r="D142" s="7"/>
      <c r="E142" s="9"/>
    </row>
    <row r="143" customFormat="false" ht="15" hidden="false" customHeight="true" outlineLevel="0" collapsed="false">
      <c r="A143" s="7"/>
      <c r="B143" s="7"/>
      <c r="C143" s="7"/>
      <c r="D143" s="7"/>
      <c r="E143" s="9"/>
    </row>
    <row r="144" customFormat="false" ht="15" hidden="false" customHeight="true" outlineLevel="0" collapsed="false">
      <c r="A144" s="7"/>
      <c r="B144" s="7"/>
      <c r="C144" s="7"/>
      <c r="D144" s="7"/>
      <c r="E144" s="9"/>
    </row>
    <row r="145" customFormat="false" ht="15" hidden="false" customHeight="true" outlineLevel="0" collapsed="false">
      <c r="A145" s="7"/>
      <c r="B145" s="7"/>
      <c r="C145" s="7"/>
      <c r="D145" s="7"/>
      <c r="E145" s="9"/>
    </row>
    <row r="146" customFormat="false" ht="15" hidden="false" customHeight="true" outlineLevel="0" collapsed="false">
      <c r="A146" s="7"/>
      <c r="B146" s="7"/>
      <c r="C146" s="7"/>
      <c r="D146" s="7"/>
      <c r="E146" s="9"/>
    </row>
    <row r="147" customFormat="false" ht="15" hidden="false" customHeight="true" outlineLevel="0" collapsed="false">
      <c r="A147" s="7"/>
      <c r="B147" s="7"/>
      <c r="C147" s="7"/>
      <c r="D147" s="7"/>
      <c r="E147" s="9"/>
    </row>
    <row r="148" customFormat="false" ht="15" hidden="false" customHeight="true" outlineLevel="0" collapsed="false">
      <c r="A148" s="7"/>
      <c r="B148" s="7"/>
      <c r="C148" s="7"/>
      <c r="D148" s="7"/>
      <c r="E148" s="9"/>
    </row>
    <row r="149" customFormat="false" ht="15" hidden="false" customHeight="true" outlineLevel="0" collapsed="false">
      <c r="A149" s="7"/>
      <c r="B149" s="7"/>
      <c r="C149" s="7"/>
      <c r="D149" s="7"/>
      <c r="E149" s="9"/>
    </row>
    <row r="150" customFormat="false" ht="15" hidden="false" customHeight="true" outlineLevel="0" collapsed="false">
      <c r="A150" s="7"/>
      <c r="B150" s="7"/>
      <c r="C150" s="7"/>
      <c r="D150" s="7"/>
      <c r="E150" s="9"/>
    </row>
    <row r="151" customFormat="false" ht="15" hidden="false" customHeight="true" outlineLevel="0" collapsed="false">
      <c r="A151" s="7"/>
      <c r="B151" s="7"/>
      <c r="C151" s="7"/>
      <c r="D151" s="7"/>
      <c r="E151" s="9"/>
    </row>
    <row r="152" customFormat="false" ht="15" hidden="false" customHeight="true" outlineLevel="0" collapsed="false">
      <c r="A152" s="7"/>
      <c r="B152" s="7"/>
      <c r="C152" s="7"/>
      <c r="D152" s="7"/>
      <c r="E152" s="9"/>
    </row>
    <row r="153" customFormat="false" ht="15" hidden="false" customHeight="true" outlineLevel="0" collapsed="false">
      <c r="A153" s="7"/>
      <c r="B153" s="7"/>
      <c r="C153" s="7"/>
      <c r="D153" s="7"/>
      <c r="E153" s="9"/>
    </row>
    <row r="154" customFormat="false" ht="15" hidden="false" customHeight="true" outlineLevel="0" collapsed="false">
      <c r="A154" s="7"/>
      <c r="B154" s="7"/>
      <c r="C154" s="7"/>
      <c r="D154" s="7"/>
      <c r="E154" s="9"/>
    </row>
    <row r="155" customFormat="false" ht="15" hidden="false" customHeight="true" outlineLevel="0" collapsed="false">
      <c r="A155" s="7"/>
      <c r="B155" s="7"/>
      <c r="C155" s="7"/>
      <c r="D155" s="7"/>
      <c r="E155" s="9"/>
    </row>
    <row r="156" customFormat="false" ht="15" hidden="false" customHeight="true" outlineLevel="0" collapsed="false">
      <c r="A156" s="7"/>
      <c r="B156" s="7"/>
      <c r="C156" s="7"/>
      <c r="D156" s="7"/>
      <c r="E156" s="9"/>
    </row>
    <row r="157" customFormat="false" ht="15" hidden="false" customHeight="true" outlineLevel="0" collapsed="false">
      <c r="A157" s="7"/>
      <c r="B157" s="7"/>
      <c r="C157" s="7"/>
      <c r="D157" s="7"/>
      <c r="E157" s="9"/>
    </row>
    <row r="158" customFormat="false" ht="15" hidden="false" customHeight="true" outlineLevel="0" collapsed="false">
      <c r="A158" s="7"/>
      <c r="B158" s="7"/>
      <c r="C158" s="7"/>
      <c r="D158" s="7"/>
      <c r="E158" s="9"/>
    </row>
    <row r="159" customFormat="false" ht="15" hidden="false" customHeight="true" outlineLevel="0" collapsed="false">
      <c r="A159" s="7"/>
      <c r="B159" s="7"/>
      <c r="C159" s="7"/>
      <c r="D159" s="7"/>
      <c r="E159" s="9"/>
    </row>
    <row r="160" customFormat="false" ht="15" hidden="false" customHeight="true" outlineLevel="0" collapsed="false">
      <c r="A160" s="7"/>
      <c r="B160" s="7"/>
      <c r="C160" s="7"/>
      <c r="D160" s="7"/>
      <c r="E160" s="9"/>
    </row>
    <row r="161" customFormat="false" ht="15" hidden="false" customHeight="true" outlineLevel="0" collapsed="false">
      <c r="A161" s="7"/>
      <c r="B161" s="7"/>
      <c r="C161" s="7"/>
      <c r="D161" s="7"/>
      <c r="E161" s="9"/>
    </row>
    <row r="162" customFormat="false" ht="15" hidden="false" customHeight="true" outlineLevel="0" collapsed="false">
      <c r="A162" s="7"/>
      <c r="B162" s="7"/>
      <c r="C162" s="7"/>
      <c r="D162" s="7"/>
      <c r="E162" s="9"/>
    </row>
    <row r="163" customFormat="false" ht="15" hidden="false" customHeight="true" outlineLevel="0" collapsed="false">
      <c r="A163" s="7"/>
      <c r="B163" s="7"/>
      <c r="C163" s="7"/>
      <c r="D163" s="7"/>
      <c r="E163" s="9"/>
    </row>
    <row r="164" customFormat="false" ht="15" hidden="false" customHeight="true" outlineLevel="0" collapsed="false">
      <c r="A164" s="7"/>
      <c r="B164" s="7"/>
      <c r="C164" s="7"/>
      <c r="D164" s="7"/>
      <c r="E164" s="9"/>
    </row>
    <row r="165" customFormat="false" ht="15" hidden="false" customHeight="true" outlineLevel="0" collapsed="false">
      <c r="A165" s="7"/>
      <c r="B165" s="7"/>
      <c r="C165" s="7"/>
      <c r="D165" s="7"/>
      <c r="E165" s="9"/>
    </row>
    <row r="166" customFormat="false" ht="15" hidden="false" customHeight="true" outlineLevel="0" collapsed="false">
      <c r="A166" s="7"/>
      <c r="B166" s="7"/>
      <c r="C166" s="7"/>
      <c r="D166" s="7"/>
      <c r="E166" s="9"/>
    </row>
    <row r="167" customFormat="false" ht="15" hidden="false" customHeight="true" outlineLevel="0" collapsed="false">
      <c r="A167" s="7"/>
      <c r="B167" s="7"/>
      <c r="C167" s="7"/>
      <c r="D167" s="7"/>
      <c r="E167" s="9"/>
    </row>
    <row r="168" customFormat="false" ht="15" hidden="false" customHeight="true" outlineLevel="0" collapsed="false">
      <c r="A168" s="7"/>
      <c r="B168" s="7"/>
      <c r="C168" s="7"/>
      <c r="D168" s="7"/>
      <c r="E168" s="9"/>
    </row>
    <row r="169" customFormat="false" ht="15" hidden="false" customHeight="true" outlineLevel="0" collapsed="false">
      <c r="A169" s="7"/>
      <c r="B169" s="7"/>
      <c r="C169" s="7"/>
      <c r="D169" s="7"/>
      <c r="E169" s="9"/>
    </row>
    <row r="170" customFormat="false" ht="15" hidden="false" customHeight="true" outlineLevel="0" collapsed="false">
      <c r="A170" s="7"/>
      <c r="B170" s="7"/>
      <c r="C170" s="7"/>
      <c r="D170" s="7"/>
      <c r="E170" s="9"/>
    </row>
    <row r="171" customFormat="false" ht="15" hidden="false" customHeight="true" outlineLevel="0" collapsed="false">
      <c r="A171" s="7"/>
      <c r="B171" s="7"/>
      <c r="C171" s="7"/>
      <c r="D171" s="7"/>
      <c r="E171" s="9"/>
    </row>
    <row r="172" customFormat="false" ht="15" hidden="false" customHeight="true" outlineLevel="0" collapsed="false">
      <c r="A172" s="7"/>
      <c r="B172" s="7"/>
      <c r="C172" s="7"/>
      <c r="D172" s="7"/>
      <c r="E172" s="9"/>
    </row>
    <row r="173" customFormat="false" ht="15" hidden="false" customHeight="true" outlineLevel="0" collapsed="false">
      <c r="A173" s="7"/>
      <c r="B173" s="7"/>
      <c r="C173" s="7"/>
      <c r="D173" s="7"/>
      <c r="E173" s="9"/>
    </row>
    <row r="174" customFormat="false" ht="15" hidden="false" customHeight="true" outlineLevel="0" collapsed="false">
      <c r="A174" s="7"/>
      <c r="B174" s="7"/>
      <c r="C174" s="7"/>
      <c r="D174" s="7"/>
      <c r="E174" s="9"/>
    </row>
    <row r="175" customFormat="false" ht="15" hidden="false" customHeight="true" outlineLevel="0" collapsed="false">
      <c r="A175" s="7"/>
      <c r="B175" s="7"/>
      <c r="C175" s="7"/>
      <c r="D175" s="7"/>
      <c r="E175" s="9"/>
    </row>
    <row r="176" customFormat="false" ht="15" hidden="false" customHeight="true" outlineLevel="0" collapsed="false">
      <c r="A176" s="7"/>
      <c r="B176" s="7"/>
      <c r="C176" s="7"/>
      <c r="D176" s="7"/>
      <c r="E176" s="9"/>
    </row>
    <row r="177" customFormat="false" ht="15" hidden="false" customHeight="true" outlineLevel="0" collapsed="false">
      <c r="A177" s="7"/>
      <c r="B177" s="7"/>
      <c r="C177" s="7"/>
      <c r="D177" s="7"/>
      <c r="E177" s="9"/>
    </row>
    <row r="178" customFormat="false" ht="15" hidden="false" customHeight="true" outlineLevel="0" collapsed="false">
      <c r="A178" s="7"/>
      <c r="B178" s="7"/>
      <c r="C178" s="7"/>
      <c r="D178" s="7"/>
      <c r="E178" s="9"/>
    </row>
    <row r="179" customFormat="false" ht="15" hidden="false" customHeight="true" outlineLevel="0" collapsed="false">
      <c r="A179" s="7"/>
      <c r="B179" s="7"/>
      <c r="C179" s="7"/>
      <c r="D179" s="7"/>
      <c r="E179" s="9"/>
    </row>
    <row r="180" customFormat="false" ht="15" hidden="false" customHeight="true" outlineLevel="0" collapsed="false">
      <c r="A180" s="7"/>
      <c r="B180" s="7"/>
      <c r="C180" s="7"/>
      <c r="D180" s="7"/>
      <c r="E180" s="9"/>
    </row>
    <row r="181" customFormat="false" ht="15" hidden="false" customHeight="true" outlineLevel="0" collapsed="false">
      <c r="A181" s="7"/>
      <c r="B181" s="7"/>
      <c r="C181" s="7"/>
      <c r="D181" s="7"/>
      <c r="E181" s="9"/>
    </row>
    <row r="182" customFormat="false" ht="15" hidden="false" customHeight="true" outlineLevel="0" collapsed="false">
      <c r="A182" s="7"/>
      <c r="B182" s="7"/>
      <c r="C182" s="7"/>
      <c r="D182" s="7"/>
      <c r="E182" s="9"/>
    </row>
    <row r="183" customFormat="false" ht="15" hidden="false" customHeight="true" outlineLevel="0" collapsed="false">
      <c r="A183" s="7"/>
      <c r="B183" s="7"/>
      <c r="C183" s="7"/>
      <c r="D183" s="7"/>
      <c r="E183" s="9"/>
    </row>
    <row r="184" customFormat="false" ht="15" hidden="false" customHeight="true" outlineLevel="0" collapsed="false">
      <c r="A184" s="7"/>
      <c r="B184" s="7"/>
      <c r="C184" s="7"/>
      <c r="D184" s="7"/>
      <c r="E184" s="9"/>
    </row>
    <row r="185" customFormat="false" ht="15" hidden="false" customHeight="true" outlineLevel="0" collapsed="false">
      <c r="A185" s="7"/>
      <c r="B185" s="7"/>
      <c r="C185" s="7"/>
      <c r="D185" s="7"/>
      <c r="E185" s="9"/>
    </row>
    <row r="186" customFormat="false" ht="15" hidden="false" customHeight="true" outlineLevel="0" collapsed="false">
      <c r="A186" s="7"/>
      <c r="B186" s="7"/>
      <c r="C186" s="7"/>
      <c r="D186" s="7"/>
      <c r="E186" s="9"/>
    </row>
    <row r="187" customFormat="false" ht="15" hidden="false" customHeight="true" outlineLevel="0" collapsed="false">
      <c r="A187" s="7"/>
      <c r="B187" s="7"/>
      <c r="C187" s="7"/>
      <c r="D187" s="7"/>
      <c r="E187" s="9"/>
    </row>
    <row r="188" customFormat="false" ht="15" hidden="false" customHeight="true" outlineLevel="0" collapsed="false">
      <c r="A188" s="7"/>
      <c r="B188" s="7"/>
      <c r="C188" s="7"/>
      <c r="D188" s="7"/>
      <c r="E188" s="9"/>
    </row>
    <row r="189" customFormat="false" ht="15" hidden="false" customHeight="true" outlineLevel="0" collapsed="false">
      <c r="A189" s="7"/>
      <c r="B189" s="7"/>
      <c r="C189" s="7"/>
      <c r="D189" s="7"/>
      <c r="E189" s="9"/>
    </row>
    <row r="190" customFormat="false" ht="15" hidden="false" customHeight="true" outlineLevel="0" collapsed="false">
      <c r="A190" s="7"/>
      <c r="B190" s="7"/>
      <c r="C190" s="7"/>
      <c r="D190" s="7"/>
      <c r="E190" s="9"/>
    </row>
    <row r="191" customFormat="false" ht="15" hidden="false" customHeight="true" outlineLevel="0" collapsed="false">
      <c r="A191" s="7"/>
      <c r="B191" s="7"/>
      <c r="C191" s="7"/>
      <c r="D191" s="7"/>
      <c r="E191" s="9"/>
    </row>
    <row r="192" customFormat="false" ht="15" hidden="false" customHeight="true" outlineLevel="0" collapsed="false">
      <c r="A192" s="7"/>
      <c r="B192" s="7"/>
      <c r="C192" s="7"/>
      <c r="D192" s="7"/>
      <c r="E192" s="9"/>
    </row>
    <row r="193" customFormat="false" ht="15" hidden="false" customHeight="true" outlineLevel="0" collapsed="false">
      <c r="A193" s="7"/>
      <c r="B193" s="7"/>
      <c r="C193" s="7"/>
      <c r="D193" s="7"/>
      <c r="E193" s="9"/>
    </row>
    <row r="194" customFormat="false" ht="15" hidden="false" customHeight="true" outlineLevel="0" collapsed="false">
      <c r="A194" s="7"/>
      <c r="B194" s="7"/>
      <c r="C194" s="7"/>
      <c r="D194" s="7"/>
      <c r="E194" s="9"/>
    </row>
    <row r="195" customFormat="false" ht="15" hidden="false" customHeight="true" outlineLevel="0" collapsed="false">
      <c r="A195" s="7"/>
      <c r="B195" s="7"/>
      <c r="C195" s="7"/>
      <c r="D195" s="7"/>
      <c r="E195" s="9"/>
    </row>
    <row r="196" customFormat="false" ht="15" hidden="false" customHeight="true" outlineLevel="0" collapsed="false">
      <c r="A196" s="7"/>
      <c r="B196" s="7"/>
      <c r="C196" s="7"/>
      <c r="D196" s="7"/>
      <c r="E196" s="9"/>
    </row>
    <row r="197" customFormat="false" ht="15" hidden="false" customHeight="true" outlineLevel="0" collapsed="false">
      <c r="A197" s="7"/>
      <c r="B197" s="7"/>
      <c r="C197" s="7"/>
      <c r="D197" s="7"/>
      <c r="E197" s="9"/>
    </row>
    <row r="198" customFormat="false" ht="15" hidden="false" customHeight="true" outlineLevel="0" collapsed="false">
      <c r="A198" s="7"/>
      <c r="B198" s="7"/>
      <c r="C198" s="7"/>
      <c r="D198" s="7"/>
      <c r="E198" s="9"/>
    </row>
    <row r="199" customFormat="false" ht="15" hidden="false" customHeight="true" outlineLevel="0" collapsed="false">
      <c r="A199" s="7"/>
      <c r="B199" s="7"/>
      <c r="C199" s="7"/>
      <c r="D199" s="7"/>
      <c r="E199" s="9"/>
    </row>
    <row r="200" customFormat="false" ht="15" hidden="false" customHeight="true" outlineLevel="0" collapsed="false">
      <c r="A200" s="7"/>
      <c r="B200" s="7"/>
      <c r="C200" s="7"/>
      <c r="D200" s="7"/>
      <c r="E200" s="9"/>
    </row>
    <row r="201" customFormat="false" ht="15" hidden="false" customHeight="true" outlineLevel="0" collapsed="false">
      <c r="A201" s="7"/>
      <c r="B201" s="7"/>
      <c r="C201" s="7"/>
      <c r="D201" s="7"/>
      <c r="E201" s="9"/>
    </row>
    <row r="202" customFormat="false" ht="15" hidden="false" customHeight="true" outlineLevel="0" collapsed="false">
      <c r="A202" s="7"/>
      <c r="B202" s="7"/>
      <c r="C202" s="7"/>
      <c r="D202" s="7"/>
      <c r="E202" s="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4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7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6" min="15" style="1" width="10"/>
  </cols>
  <sheetData>
    <row r="1" customFormat="false" ht="25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10" t="s">
        <v>58</v>
      </c>
      <c r="B2" s="6" t="s">
        <v>24</v>
      </c>
      <c r="C2" s="10" t="s">
        <v>59</v>
      </c>
      <c r="D2" s="6" t="s">
        <v>42</v>
      </c>
      <c r="E2" s="10" t="s">
        <v>60</v>
      </c>
      <c r="F2" s="10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O2" s="5" t="s">
        <v>69</v>
      </c>
      <c r="P2" s="5" t="s">
        <v>70</v>
      </c>
    </row>
    <row r="3" customFormat="false" ht="15" hidden="false" customHeight="true" outlineLevel="0" collapsed="false">
      <c r="A3" s="11" t="n">
        <f aca="false">IF($B3="","",ROW()-2)</f>
        <v>1</v>
      </c>
      <c r="B3" s="7" t="s">
        <v>29</v>
      </c>
      <c r="C3" s="11" t="str">
        <f aca="false">IF($B3="","",IFERROR(INDEX(거래처목록!$B$3:$B$302,MATCH($B3,거래처목록!$A$3:$A$302,0)),"미등록"))</f>
        <v>○○식당</v>
      </c>
      <c r="D3" s="7" t="s">
        <v>47</v>
      </c>
      <c r="E3" s="11" t="str">
        <f aca="false">IF($D3="","",IFERROR(INDEX(품목목록!$B$3:$B$202,MATCH($D3,품목목록!$A$3:$A$202,0)),"미등록"))</f>
        <v>폐식용유 수거</v>
      </c>
      <c r="F3" s="11" t="str">
        <f aca="false">IF($D3="","",IFERROR(INDEX(품목목록!$D$3:$D$202,MATCH($D3,품목목록!$A$3:$A$202,0)),""))</f>
        <v>통</v>
      </c>
      <c r="G3" s="9" t="n">
        <v>2</v>
      </c>
      <c r="H3" s="12" t="n">
        <f aca="false">IF($D3="","",IFERROR(INDEX(품목목록!$E$3:$E$202,MATCH($D3,품목목록!$A$3:$A$202,0)),0))</f>
        <v>12000</v>
      </c>
      <c r="I3" s="8" t="s">
        <v>71</v>
      </c>
      <c r="J3" s="8" t="s">
        <v>72</v>
      </c>
      <c r="K3" s="13"/>
      <c r="L3" s="14" t="n">
        <v>46028</v>
      </c>
      <c r="M3" s="8" t="s">
        <v>73</v>
      </c>
      <c r="O3" s="5" t="s">
        <v>74</v>
      </c>
      <c r="P3" s="5" t="n">
        <v>1</v>
      </c>
    </row>
    <row r="4" customFormat="false" ht="15" hidden="false" customHeight="true" outlineLevel="0" collapsed="false">
      <c r="A4" s="11" t="n">
        <f aca="false">IF($B4="","",ROW()-2)</f>
        <v>2</v>
      </c>
      <c r="B4" s="7" t="s">
        <v>33</v>
      </c>
      <c r="C4" s="11" t="str">
        <f aca="false">IF($B4="","",IFERROR(INDEX(거래처목록!$B$3:$B$302,MATCH($B4,거래처목록!$A$3:$A$302,0)),"미등록"))</f>
        <v>△△치킨</v>
      </c>
      <c r="D4" s="7" t="s">
        <v>47</v>
      </c>
      <c r="E4" s="11" t="str">
        <f aca="false">IF($D4="","",IFERROR(INDEX(품목목록!$B$3:$B$202,MATCH($D4,품목목록!$A$3:$A$202,0)),"미등록"))</f>
        <v>폐식용유 수거</v>
      </c>
      <c r="F4" s="11" t="str">
        <f aca="false">IF($D4="","",IFERROR(INDEX(품목목록!$D$3:$D$202,MATCH($D4,품목목록!$A$3:$A$202,0)),""))</f>
        <v>통</v>
      </c>
      <c r="G4" s="9" t="n">
        <v>3</v>
      </c>
      <c r="H4" s="12" t="n">
        <f aca="false">IF($D4="","",IFERROR(INDEX(품목목록!$E$3:$E$202,MATCH($D4,품목목록!$A$3:$A$202,0)),0))</f>
        <v>12000</v>
      </c>
      <c r="I4" s="8" t="s">
        <v>71</v>
      </c>
      <c r="J4" s="8" t="s">
        <v>72</v>
      </c>
      <c r="K4" s="13"/>
      <c r="L4" s="14" t="n">
        <v>46028</v>
      </c>
      <c r="M4" s="8" t="s">
        <v>73</v>
      </c>
      <c r="O4" s="5" t="s">
        <v>75</v>
      </c>
      <c r="P4" s="5" t="n">
        <v>2</v>
      </c>
    </row>
    <row r="5" customFormat="false" ht="15" hidden="false" customHeight="true" outlineLevel="0" collapsed="false">
      <c r="A5" s="11" t="n">
        <f aca="false">IF($B5="","",ROW()-2)</f>
        <v>3</v>
      </c>
      <c r="B5" s="7" t="s">
        <v>37</v>
      </c>
      <c r="C5" s="11" t="str">
        <f aca="false">IF($B5="","",IFERROR(INDEX(거래처목록!$B$3:$B$302,MATCH($B5,거래처목록!$A$3:$A$302,0)),"미등록"))</f>
        <v>□□분식</v>
      </c>
      <c r="D5" s="7" t="s">
        <v>51</v>
      </c>
      <c r="E5" s="11" t="str">
        <f aca="false">IF($D5="","",IFERROR(INDEX(품목목록!$B$3:$B$202,MATCH($D5,품목목록!$A$3:$A$202,0)),"미등록"))</f>
        <v>식용유 납품</v>
      </c>
      <c r="F5" s="11" t="str">
        <f aca="false">IF($D5="","",IFERROR(INDEX(품목목록!$D$3:$D$202,MATCH($D5,품목목록!$A$3:$A$202,0)),""))</f>
        <v>통</v>
      </c>
      <c r="G5" s="9" t="n">
        <v>1</v>
      </c>
      <c r="H5" s="12" t="n">
        <f aca="false">IF($D5="","",IFERROR(INDEX(품목목록!$E$3:$E$202,MATCH($D5,품목목록!$A$3:$A$202,0)),0))</f>
        <v>42000</v>
      </c>
      <c r="I5" s="8" t="s">
        <v>76</v>
      </c>
      <c r="J5" s="8"/>
      <c r="K5" s="13" t="n">
        <v>15</v>
      </c>
      <c r="L5" s="14" t="n">
        <v>46037</v>
      </c>
      <c r="M5" s="8" t="s">
        <v>73</v>
      </c>
      <c r="O5" s="5" t="s">
        <v>72</v>
      </c>
      <c r="P5" s="5" t="n">
        <v>3</v>
      </c>
    </row>
    <row r="6" customFormat="false" ht="15" hidden="false" customHeight="true" outlineLevel="0" collapsed="false">
      <c r="A6" s="11" t="n">
        <f aca="false">IF($B6="","",ROW()-2)</f>
        <v>4</v>
      </c>
      <c r="B6" s="7" t="s">
        <v>29</v>
      </c>
      <c r="C6" s="11" t="str">
        <f aca="false">IF($B6="","",IFERROR(INDEX(거래처목록!$B$3:$B$302,MATCH($B6,거래처목록!$A$3:$A$302,0)),"미등록"))</f>
        <v>○○식당</v>
      </c>
      <c r="D6" s="7" t="s">
        <v>53</v>
      </c>
      <c r="E6" s="11" t="str">
        <f aca="false">IF($D6="","",IFERROR(INDEX(품목목록!$B$3:$B$202,MATCH($D6,품목목록!$A$3:$A$202,0)),"미등록"))</f>
        <v>위생용품 세트</v>
      </c>
      <c r="F6" s="11" t="str">
        <f aca="false">IF($D6="","",IFERROR(INDEX(품목목록!$D$3:$D$202,MATCH($D6,품목목록!$A$3:$A$202,0)),""))</f>
        <v>SET</v>
      </c>
      <c r="G6" s="9" t="n">
        <v>1</v>
      </c>
      <c r="H6" s="12" t="n">
        <f aca="false">IF($D6="","",IFERROR(INDEX(품목목록!$E$3:$E$202,MATCH($D6,품목목록!$A$3:$A$202,0)),0))</f>
        <v>18000</v>
      </c>
      <c r="I6" s="8" t="s">
        <v>77</v>
      </c>
      <c r="J6" s="8" t="s">
        <v>78</v>
      </c>
      <c r="K6" s="13"/>
      <c r="L6" s="14" t="n">
        <v>46024</v>
      </c>
      <c r="M6" s="8" t="s">
        <v>73</v>
      </c>
      <c r="O6" s="5" t="s">
        <v>79</v>
      </c>
      <c r="P6" s="5" t="n">
        <v>4</v>
      </c>
    </row>
    <row r="7" customFormat="false" ht="15" hidden="false" customHeight="true" outlineLevel="0" collapsed="false">
      <c r="A7" s="11" t="str">
        <f aca="false">IF($B7="","",ROW()-2)</f>
        <v/>
      </c>
      <c r="B7" s="7"/>
      <c r="C7" s="11" t="str">
        <f aca="false">IF($B7="","",IFERROR(INDEX(거래처목록!$B$3:$B$302,MATCH($B7,거래처목록!$A$3:$A$302,0)),"미등록"))</f>
        <v/>
      </c>
      <c r="D7" s="7"/>
      <c r="E7" s="11" t="str">
        <f aca="false">IF($D7="","",IFERROR(INDEX(품목목록!$B$3:$B$202,MATCH($D7,품목목록!$A$3:$A$202,0)),"미등록"))</f>
        <v/>
      </c>
      <c r="F7" s="11" t="str">
        <f aca="false">IF($D7="","",IFERROR(INDEX(품목목록!$D$3:$D$202,MATCH($D7,품목목록!$A$3:$A$202,0)),""))</f>
        <v/>
      </c>
      <c r="G7" s="9"/>
      <c r="H7" s="12" t="str">
        <f aca="false">IF($D7="","",IFERROR(INDEX(품목목록!$E$3:$E$202,MATCH($D7,품목목록!$A$3:$A$202,0)),0))</f>
        <v/>
      </c>
      <c r="I7" s="8"/>
      <c r="J7" s="8"/>
      <c r="K7" s="13"/>
      <c r="L7" s="14"/>
      <c r="M7" s="8"/>
      <c r="O7" s="5" t="s">
        <v>80</v>
      </c>
      <c r="P7" s="5" t="n">
        <v>5</v>
      </c>
    </row>
    <row r="8" customFormat="false" ht="15" hidden="false" customHeight="true" outlineLevel="0" collapsed="false">
      <c r="A8" s="11" t="str">
        <f aca="false">IF($B8="","",ROW()-2)</f>
        <v/>
      </c>
      <c r="B8" s="7"/>
      <c r="C8" s="11" t="str">
        <f aca="false">IF($B8="","",IFERROR(INDEX(거래처목록!$B$3:$B$302,MATCH($B8,거래처목록!$A$3:$A$302,0)),"미등록"))</f>
        <v/>
      </c>
      <c r="D8" s="7"/>
      <c r="E8" s="11" t="str">
        <f aca="false">IF($D8="","",IFERROR(INDEX(품목목록!$B$3:$B$202,MATCH($D8,품목목록!$A$3:$A$202,0)),"미등록"))</f>
        <v/>
      </c>
      <c r="F8" s="11" t="str">
        <f aca="false">IF($D8="","",IFERROR(INDEX(품목목록!$D$3:$D$202,MATCH($D8,품목목록!$A$3:$A$202,0)),""))</f>
        <v/>
      </c>
      <c r="G8" s="9"/>
      <c r="H8" s="12" t="str">
        <f aca="false">IF($D8="","",IFERROR(INDEX(품목목록!$E$3:$E$202,MATCH($D8,품목목록!$A$3:$A$202,0)),0))</f>
        <v/>
      </c>
      <c r="I8" s="8"/>
      <c r="J8" s="8"/>
      <c r="K8" s="13"/>
      <c r="L8" s="14"/>
      <c r="M8" s="8"/>
      <c r="O8" s="5" t="s">
        <v>78</v>
      </c>
      <c r="P8" s="5" t="n">
        <v>6</v>
      </c>
    </row>
    <row r="9" customFormat="false" ht="15" hidden="false" customHeight="true" outlineLevel="0" collapsed="false">
      <c r="A9" s="11" t="str">
        <f aca="false">IF($B9="","",ROW()-2)</f>
        <v/>
      </c>
      <c r="B9" s="7"/>
      <c r="C9" s="11" t="str">
        <f aca="false">IF($B9="","",IFERROR(INDEX(거래처목록!$B$3:$B$302,MATCH($B9,거래처목록!$A$3:$A$302,0)),"미등록"))</f>
        <v/>
      </c>
      <c r="D9" s="7"/>
      <c r="E9" s="11" t="str">
        <f aca="false">IF($D9="","",IFERROR(INDEX(품목목록!$B$3:$B$202,MATCH($D9,품목목록!$A$3:$A$202,0)),"미등록"))</f>
        <v/>
      </c>
      <c r="F9" s="11" t="str">
        <f aca="false">IF($D9="","",IFERROR(INDEX(품목목록!$D$3:$D$202,MATCH($D9,품목목록!$A$3:$A$202,0)),""))</f>
        <v/>
      </c>
      <c r="G9" s="9"/>
      <c r="H9" s="12" t="str">
        <f aca="false">IF($D9="","",IFERROR(INDEX(품목목록!$E$3:$E$202,MATCH($D9,품목목록!$A$3:$A$202,0)),0))</f>
        <v/>
      </c>
      <c r="I9" s="8"/>
      <c r="J9" s="8"/>
      <c r="K9" s="13"/>
      <c r="L9" s="14"/>
      <c r="M9" s="8"/>
      <c r="O9" s="5" t="s">
        <v>81</v>
      </c>
      <c r="P9" s="5" t="n">
        <v>7</v>
      </c>
    </row>
    <row r="10" customFormat="false" ht="15" hidden="false" customHeight="true" outlineLevel="0" collapsed="false">
      <c r="A10" s="11" t="str">
        <f aca="false">IF($B10="","",ROW()-2)</f>
        <v/>
      </c>
      <c r="B10" s="7"/>
      <c r="C10" s="11" t="str">
        <f aca="false">IF($B10="","",IFERROR(INDEX(거래처목록!$B$3:$B$302,MATCH($B10,거래처목록!$A$3:$A$302,0)),"미등록"))</f>
        <v/>
      </c>
      <c r="D10" s="7"/>
      <c r="E10" s="11" t="str">
        <f aca="false">IF($D10="","",IFERROR(INDEX(품목목록!$B$3:$B$202,MATCH($D10,품목목록!$A$3:$A$202,0)),"미등록"))</f>
        <v/>
      </c>
      <c r="F10" s="11" t="str">
        <f aca="false">IF($D10="","",IFERROR(INDEX(품목목록!$D$3:$D$202,MATCH($D10,품목목록!$A$3:$A$202,0)),""))</f>
        <v/>
      </c>
      <c r="G10" s="9"/>
      <c r="H10" s="12" t="str">
        <f aca="false">IF($D10="","",IFERROR(INDEX(품목목록!$E$3:$E$202,MATCH($D10,품목목록!$A$3:$A$202,0)),0))</f>
        <v/>
      </c>
      <c r="I10" s="8"/>
      <c r="J10" s="8"/>
      <c r="K10" s="13"/>
      <c r="L10" s="14"/>
      <c r="M10" s="8"/>
    </row>
    <row r="11" customFormat="false" ht="15" hidden="false" customHeight="true" outlineLevel="0" collapsed="false">
      <c r="A11" s="11" t="str">
        <f aca="false">IF($B11="","",ROW()-2)</f>
        <v/>
      </c>
      <c r="B11" s="7"/>
      <c r="C11" s="11" t="str">
        <f aca="false">IF($B11="","",IFERROR(INDEX(거래처목록!$B$3:$B$302,MATCH($B11,거래처목록!$A$3:$A$302,0)),"미등록"))</f>
        <v/>
      </c>
      <c r="D11" s="7"/>
      <c r="E11" s="11" t="str">
        <f aca="false">IF($D11="","",IFERROR(INDEX(품목목록!$B$3:$B$202,MATCH($D11,품목목록!$A$3:$A$202,0)),"미등록"))</f>
        <v/>
      </c>
      <c r="F11" s="11" t="str">
        <f aca="false">IF($D11="","",IFERROR(INDEX(품목목록!$D$3:$D$202,MATCH($D11,품목목록!$A$3:$A$202,0)),""))</f>
        <v/>
      </c>
      <c r="G11" s="9"/>
      <c r="H11" s="12" t="str">
        <f aca="false">IF($D11="","",IFERROR(INDEX(품목목록!$E$3:$E$202,MATCH($D11,품목목록!$A$3:$A$202,0)),0))</f>
        <v/>
      </c>
      <c r="I11" s="8"/>
      <c r="J11" s="8"/>
      <c r="K11" s="13"/>
      <c r="L11" s="14"/>
      <c r="M11" s="8"/>
    </row>
    <row r="12" customFormat="false" ht="15" hidden="false" customHeight="true" outlineLevel="0" collapsed="false">
      <c r="A12" s="11" t="str">
        <f aca="false">IF($B12="","",ROW()-2)</f>
        <v/>
      </c>
      <c r="B12" s="7"/>
      <c r="C12" s="11" t="str">
        <f aca="false">IF($B12="","",IFERROR(INDEX(거래처목록!$B$3:$B$302,MATCH($B12,거래처목록!$A$3:$A$302,0)),"미등록"))</f>
        <v/>
      </c>
      <c r="D12" s="7"/>
      <c r="E12" s="11" t="str">
        <f aca="false">IF($D12="","",IFERROR(INDEX(품목목록!$B$3:$B$202,MATCH($D12,품목목록!$A$3:$A$202,0)),"미등록"))</f>
        <v/>
      </c>
      <c r="F12" s="11" t="str">
        <f aca="false">IF($D12="","",IFERROR(INDEX(품목목록!$D$3:$D$202,MATCH($D12,품목목록!$A$3:$A$202,0)),""))</f>
        <v/>
      </c>
      <c r="G12" s="9"/>
      <c r="H12" s="12" t="str">
        <f aca="false">IF($D12="","",IFERROR(INDEX(품목목록!$E$3:$E$202,MATCH($D12,품목목록!$A$3:$A$202,0)),0))</f>
        <v/>
      </c>
      <c r="I12" s="8"/>
      <c r="J12" s="8"/>
      <c r="K12" s="13"/>
      <c r="L12" s="14"/>
      <c r="M12" s="8"/>
    </row>
    <row r="13" customFormat="false" ht="15" hidden="false" customHeight="true" outlineLevel="0" collapsed="false">
      <c r="A13" s="11" t="str">
        <f aca="false">IF($B13="","",ROW()-2)</f>
        <v/>
      </c>
      <c r="B13" s="7"/>
      <c r="C13" s="11" t="str">
        <f aca="false">IF($B13="","",IFERROR(INDEX(거래처목록!$B$3:$B$302,MATCH($B13,거래처목록!$A$3:$A$302,0)),"미등록"))</f>
        <v/>
      </c>
      <c r="D13" s="7"/>
      <c r="E13" s="11" t="str">
        <f aca="false">IF($D13="","",IFERROR(INDEX(품목목록!$B$3:$B$202,MATCH($D13,품목목록!$A$3:$A$202,0)),"미등록"))</f>
        <v/>
      </c>
      <c r="F13" s="11" t="str">
        <f aca="false">IF($D13="","",IFERROR(INDEX(품목목록!$D$3:$D$202,MATCH($D13,품목목록!$A$3:$A$202,0)),""))</f>
        <v/>
      </c>
      <c r="G13" s="9"/>
      <c r="H13" s="12" t="str">
        <f aca="false">IF($D13="","",IFERROR(INDEX(품목목록!$E$3:$E$202,MATCH($D13,품목목록!$A$3:$A$202,0)),0))</f>
        <v/>
      </c>
      <c r="I13" s="8"/>
      <c r="J13" s="8"/>
      <c r="K13" s="13"/>
      <c r="L13" s="14"/>
      <c r="M13" s="8"/>
    </row>
    <row r="14" customFormat="false" ht="15" hidden="false" customHeight="true" outlineLevel="0" collapsed="false">
      <c r="A14" s="11" t="str">
        <f aca="false">IF($B14="","",ROW()-2)</f>
        <v/>
      </c>
      <c r="B14" s="7"/>
      <c r="C14" s="11" t="str">
        <f aca="false">IF($B14="","",IFERROR(INDEX(거래처목록!$B$3:$B$302,MATCH($B14,거래처목록!$A$3:$A$302,0)),"미등록"))</f>
        <v/>
      </c>
      <c r="D14" s="7"/>
      <c r="E14" s="11" t="str">
        <f aca="false">IF($D14="","",IFERROR(INDEX(품목목록!$B$3:$B$202,MATCH($D14,품목목록!$A$3:$A$202,0)),"미등록"))</f>
        <v/>
      </c>
      <c r="F14" s="11" t="str">
        <f aca="false">IF($D14="","",IFERROR(INDEX(품목목록!$D$3:$D$202,MATCH($D14,품목목록!$A$3:$A$202,0)),""))</f>
        <v/>
      </c>
      <c r="G14" s="9"/>
      <c r="H14" s="12" t="str">
        <f aca="false">IF($D14="","",IFERROR(INDEX(품목목록!$E$3:$E$202,MATCH($D14,품목목록!$A$3:$A$202,0)),0))</f>
        <v/>
      </c>
      <c r="I14" s="8"/>
      <c r="J14" s="8"/>
      <c r="K14" s="13"/>
      <c r="L14" s="14"/>
      <c r="M14" s="8"/>
    </row>
    <row r="15" customFormat="false" ht="15" hidden="false" customHeight="true" outlineLevel="0" collapsed="false">
      <c r="A15" s="11" t="str">
        <f aca="false">IF($B15="","",ROW()-2)</f>
        <v/>
      </c>
      <c r="B15" s="7"/>
      <c r="C15" s="11" t="str">
        <f aca="false">IF($B15="","",IFERROR(INDEX(거래처목록!$B$3:$B$302,MATCH($B15,거래처목록!$A$3:$A$302,0)),"미등록"))</f>
        <v/>
      </c>
      <c r="D15" s="7"/>
      <c r="E15" s="11" t="str">
        <f aca="false">IF($D15="","",IFERROR(INDEX(품목목록!$B$3:$B$202,MATCH($D15,품목목록!$A$3:$A$202,0)),"미등록"))</f>
        <v/>
      </c>
      <c r="F15" s="11" t="str">
        <f aca="false">IF($D15="","",IFERROR(INDEX(품목목록!$D$3:$D$202,MATCH($D15,품목목록!$A$3:$A$202,0)),""))</f>
        <v/>
      </c>
      <c r="G15" s="9"/>
      <c r="H15" s="12" t="str">
        <f aca="false">IF($D15="","",IFERROR(INDEX(품목목록!$E$3:$E$202,MATCH($D15,품목목록!$A$3:$A$202,0)),0))</f>
        <v/>
      </c>
      <c r="I15" s="8"/>
      <c r="J15" s="8"/>
      <c r="K15" s="13"/>
      <c r="L15" s="14"/>
      <c r="M15" s="8"/>
    </row>
    <row r="16" customFormat="false" ht="15" hidden="false" customHeight="true" outlineLevel="0" collapsed="false">
      <c r="A16" s="11" t="str">
        <f aca="false">IF($B16="","",ROW()-2)</f>
        <v/>
      </c>
      <c r="B16" s="7"/>
      <c r="C16" s="11" t="str">
        <f aca="false">IF($B16="","",IFERROR(INDEX(거래처목록!$B$3:$B$302,MATCH($B16,거래처목록!$A$3:$A$302,0)),"미등록"))</f>
        <v/>
      </c>
      <c r="D16" s="7"/>
      <c r="E16" s="11" t="str">
        <f aca="false">IF($D16="","",IFERROR(INDEX(품목목록!$B$3:$B$202,MATCH($D16,품목목록!$A$3:$A$202,0)),"미등록"))</f>
        <v/>
      </c>
      <c r="F16" s="11" t="str">
        <f aca="false">IF($D16="","",IFERROR(INDEX(품목목록!$D$3:$D$202,MATCH($D16,품목목록!$A$3:$A$202,0)),""))</f>
        <v/>
      </c>
      <c r="G16" s="9"/>
      <c r="H16" s="12" t="str">
        <f aca="false">IF($D16="","",IFERROR(INDEX(품목목록!$E$3:$E$202,MATCH($D16,품목목록!$A$3:$A$202,0)),0))</f>
        <v/>
      </c>
      <c r="I16" s="8"/>
      <c r="J16" s="8"/>
      <c r="K16" s="13"/>
      <c r="L16" s="14"/>
      <c r="M16" s="8"/>
    </row>
    <row r="17" customFormat="false" ht="15" hidden="false" customHeight="true" outlineLevel="0" collapsed="false">
      <c r="A17" s="11" t="str">
        <f aca="false">IF($B17="","",ROW()-2)</f>
        <v/>
      </c>
      <c r="B17" s="7"/>
      <c r="C17" s="11" t="str">
        <f aca="false">IF($B17="","",IFERROR(INDEX(거래처목록!$B$3:$B$302,MATCH($B17,거래처목록!$A$3:$A$302,0)),"미등록"))</f>
        <v/>
      </c>
      <c r="D17" s="7"/>
      <c r="E17" s="11" t="str">
        <f aca="false">IF($D17="","",IFERROR(INDEX(품목목록!$B$3:$B$202,MATCH($D17,품목목록!$A$3:$A$202,0)),"미등록"))</f>
        <v/>
      </c>
      <c r="F17" s="11" t="str">
        <f aca="false">IF($D17="","",IFERROR(INDEX(품목목록!$D$3:$D$202,MATCH($D17,품목목록!$A$3:$A$202,0)),""))</f>
        <v/>
      </c>
      <c r="G17" s="9"/>
      <c r="H17" s="12" t="str">
        <f aca="false">IF($D17="","",IFERROR(INDEX(품목목록!$E$3:$E$202,MATCH($D17,품목목록!$A$3:$A$202,0)),0))</f>
        <v/>
      </c>
      <c r="I17" s="8"/>
      <c r="J17" s="8"/>
      <c r="K17" s="13"/>
      <c r="L17" s="14"/>
      <c r="M17" s="8"/>
    </row>
    <row r="18" customFormat="false" ht="15" hidden="false" customHeight="true" outlineLevel="0" collapsed="false">
      <c r="A18" s="11" t="str">
        <f aca="false">IF($B18="","",ROW()-2)</f>
        <v/>
      </c>
      <c r="B18" s="7"/>
      <c r="C18" s="11" t="str">
        <f aca="false">IF($B18="","",IFERROR(INDEX(거래처목록!$B$3:$B$302,MATCH($B18,거래처목록!$A$3:$A$302,0)),"미등록"))</f>
        <v/>
      </c>
      <c r="D18" s="7"/>
      <c r="E18" s="11" t="str">
        <f aca="false">IF($D18="","",IFERROR(INDEX(품목목록!$B$3:$B$202,MATCH($D18,품목목록!$A$3:$A$202,0)),"미등록"))</f>
        <v/>
      </c>
      <c r="F18" s="11" t="str">
        <f aca="false">IF($D18="","",IFERROR(INDEX(품목목록!$D$3:$D$202,MATCH($D18,품목목록!$A$3:$A$202,0)),""))</f>
        <v/>
      </c>
      <c r="G18" s="9"/>
      <c r="H18" s="12" t="str">
        <f aca="false">IF($D18="","",IFERROR(INDEX(품목목록!$E$3:$E$202,MATCH($D18,품목목록!$A$3:$A$202,0)),0))</f>
        <v/>
      </c>
      <c r="I18" s="8"/>
      <c r="J18" s="8"/>
      <c r="K18" s="13"/>
      <c r="L18" s="14"/>
      <c r="M18" s="8"/>
    </row>
    <row r="19" customFormat="false" ht="15" hidden="false" customHeight="true" outlineLevel="0" collapsed="false">
      <c r="A19" s="11" t="str">
        <f aca="false">IF($B19="","",ROW()-2)</f>
        <v/>
      </c>
      <c r="B19" s="7"/>
      <c r="C19" s="11" t="str">
        <f aca="false">IF($B19="","",IFERROR(INDEX(거래처목록!$B$3:$B$302,MATCH($B19,거래처목록!$A$3:$A$302,0)),"미등록"))</f>
        <v/>
      </c>
      <c r="D19" s="7"/>
      <c r="E19" s="11" t="str">
        <f aca="false">IF($D19="","",IFERROR(INDEX(품목목록!$B$3:$B$202,MATCH($D19,품목목록!$A$3:$A$202,0)),"미등록"))</f>
        <v/>
      </c>
      <c r="F19" s="11" t="str">
        <f aca="false">IF($D19="","",IFERROR(INDEX(품목목록!$D$3:$D$202,MATCH($D19,품목목록!$A$3:$A$202,0)),""))</f>
        <v/>
      </c>
      <c r="G19" s="9"/>
      <c r="H19" s="12" t="str">
        <f aca="false">IF($D19="","",IFERROR(INDEX(품목목록!$E$3:$E$202,MATCH($D19,품목목록!$A$3:$A$202,0)),0))</f>
        <v/>
      </c>
      <c r="I19" s="8"/>
      <c r="J19" s="8"/>
      <c r="K19" s="13"/>
      <c r="L19" s="14"/>
      <c r="M19" s="8"/>
    </row>
    <row r="20" customFormat="false" ht="15" hidden="false" customHeight="true" outlineLevel="0" collapsed="false">
      <c r="A20" s="11" t="str">
        <f aca="false">IF($B20="","",ROW()-2)</f>
        <v/>
      </c>
      <c r="B20" s="7"/>
      <c r="C20" s="11" t="str">
        <f aca="false">IF($B20="","",IFERROR(INDEX(거래처목록!$B$3:$B$302,MATCH($B20,거래처목록!$A$3:$A$302,0)),"미등록"))</f>
        <v/>
      </c>
      <c r="D20" s="7"/>
      <c r="E20" s="11" t="str">
        <f aca="false">IF($D20="","",IFERROR(INDEX(품목목록!$B$3:$B$202,MATCH($D20,품목목록!$A$3:$A$202,0)),"미등록"))</f>
        <v/>
      </c>
      <c r="F20" s="11" t="str">
        <f aca="false">IF($D20="","",IFERROR(INDEX(품목목록!$D$3:$D$202,MATCH($D20,품목목록!$A$3:$A$202,0)),""))</f>
        <v/>
      </c>
      <c r="G20" s="9"/>
      <c r="H20" s="12" t="str">
        <f aca="false">IF($D20="","",IFERROR(INDEX(품목목록!$E$3:$E$202,MATCH($D20,품목목록!$A$3:$A$202,0)),0))</f>
        <v/>
      </c>
      <c r="I20" s="8"/>
      <c r="J20" s="8"/>
      <c r="K20" s="13"/>
      <c r="L20" s="14"/>
      <c r="M20" s="8"/>
    </row>
    <row r="21" customFormat="false" ht="15" hidden="false" customHeight="true" outlineLevel="0" collapsed="false">
      <c r="A21" s="11" t="str">
        <f aca="false">IF($B21="","",ROW()-2)</f>
        <v/>
      </c>
      <c r="B21" s="7"/>
      <c r="C21" s="11" t="str">
        <f aca="false">IF($B21="","",IFERROR(INDEX(거래처목록!$B$3:$B$302,MATCH($B21,거래처목록!$A$3:$A$302,0)),"미등록"))</f>
        <v/>
      </c>
      <c r="D21" s="7"/>
      <c r="E21" s="11" t="str">
        <f aca="false">IF($D21="","",IFERROR(INDEX(품목목록!$B$3:$B$202,MATCH($D21,품목목록!$A$3:$A$202,0)),"미등록"))</f>
        <v/>
      </c>
      <c r="F21" s="11" t="str">
        <f aca="false">IF($D21="","",IFERROR(INDEX(품목목록!$D$3:$D$202,MATCH($D21,품목목록!$A$3:$A$202,0)),""))</f>
        <v/>
      </c>
      <c r="G21" s="9"/>
      <c r="H21" s="12" t="str">
        <f aca="false">IF($D21="","",IFERROR(INDEX(품목목록!$E$3:$E$202,MATCH($D21,품목목록!$A$3:$A$202,0)),0))</f>
        <v/>
      </c>
      <c r="I21" s="8"/>
      <c r="J21" s="8"/>
      <c r="K21" s="13"/>
      <c r="L21" s="14"/>
      <c r="M21" s="8"/>
    </row>
    <row r="22" customFormat="false" ht="15" hidden="false" customHeight="true" outlineLevel="0" collapsed="false">
      <c r="A22" s="11" t="str">
        <f aca="false">IF($B22="","",ROW()-2)</f>
        <v/>
      </c>
      <c r="B22" s="7"/>
      <c r="C22" s="11" t="str">
        <f aca="false">IF($B22="","",IFERROR(INDEX(거래처목록!$B$3:$B$302,MATCH($B22,거래처목록!$A$3:$A$302,0)),"미등록"))</f>
        <v/>
      </c>
      <c r="D22" s="7"/>
      <c r="E22" s="11" t="str">
        <f aca="false">IF($D22="","",IFERROR(INDEX(품목목록!$B$3:$B$202,MATCH($D22,품목목록!$A$3:$A$202,0)),"미등록"))</f>
        <v/>
      </c>
      <c r="F22" s="11" t="str">
        <f aca="false">IF($D22="","",IFERROR(INDEX(품목목록!$D$3:$D$202,MATCH($D22,품목목록!$A$3:$A$202,0)),""))</f>
        <v/>
      </c>
      <c r="G22" s="9"/>
      <c r="H22" s="12" t="str">
        <f aca="false">IF($D22="","",IFERROR(INDEX(품목목록!$E$3:$E$202,MATCH($D22,품목목록!$A$3:$A$202,0)),0))</f>
        <v/>
      </c>
      <c r="I22" s="8"/>
      <c r="J22" s="8"/>
      <c r="K22" s="13"/>
      <c r="L22" s="14"/>
      <c r="M22" s="8"/>
    </row>
    <row r="23" customFormat="false" ht="15" hidden="false" customHeight="true" outlineLevel="0" collapsed="false">
      <c r="A23" s="11" t="str">
        <f aca="false">IF($B23="","",ROW()-2)</f>
        <v/>
      </c>
      <c r="B23" s="7"/>
      <c r="C23" s="11" t="str">
        <f aca="false">IF($B23="","",IFERROR(INDEX(거래처목록!$B$3:$B$302,MATCH($B23,거래처목록!$A$3:$A$302,0)),"미등록"))</f>
        <v/>
      </c>
      <c r="D23" s="7"/>
      <c r="E23" s="11" t="str">
        <f aca="false">IF($D23="","",IFERROR(INDEX(품목목록!$B$3:$B$202,MATCH($D23,품목목록!$A$3:$A$202,0)),"미등록"))</f>
        <v/>
      </c>
      <c r="F23" s="11" t="str">
        <f aca="false">IF($D23="","",IFERROR(INDEX(품목목록!$D$3:$D$202,MATCH($D23,품목목록!$A$3:$A$202,0)),""))</f>
        <v/>
      </c>
      <c r="G23" s="9"/>
      <c r="H23" s="12" t="str">
        <f aca="false">IF($D23="","",IFERROR(INDEX(품목목록!$E$3:$E$202,MATCH($D23,품목목록!$A$3:$A$202,0)),0))</f>
        <v/>
      </c>
      <c r="I23" s="8"/>
      <c r="J23" s="8"/>
      <c r="K23" s="13"/>
      <c r="L23" s="14"/>
      <c r="M23" s="8"/>
    </row>
    <row r="24" customFormat="false" ht="15" hidden="false" customHeight="true" outlineLevel="0" collapsed="false">
      <c r="A24" s="11" t="str">
        <f aca="false">IF($B24="","",ROW()-2)</f>
        <v/>
      </c>
      <c r="B24" s="7"/>
      <c r="C24" s="11" t="str">
        <f aca="false">IF($B24="","",IFERROR(INDEX(거래처목록!$B$3:$B$302,MATCH($B24,거래처목록!$A$3:$A$302,0)),"미등록"))</f>
        <v/>
      </c>
      <c r="D24" s="7"/>
      <c r="E24" s="11" t="str">
        <f aca="false">IF($D24="","",IFERROR(INDEX(품목목록!$B$3:$B$202,MATCH($D24,품목목록!$A$3:$A$202,0)),"미등록"))</f>
        <v/>
      </c>
      <c r="F24" s="11" t="str">
        <f aca="false">IF($D24="","",IFERROR(INDEX(품목목록!$D$3:$D$202,MATCH($D24,품목목록!$A$3:$A$202,0)),""))</f>
        <v/>
      </c>
      <c r="G24" s="9"/>
      <c r="H24" s="12" t="str">
        <f aca="false">IF($D24="","",IFERROR(INDEX(품목목록!$E$3:$E$202,MATCH($D24,품목목록!$A$3:$A$202,0)),0))</f>
        <v/>
      </c>
      <c r="I24" s="8"/>
      <c r="J24" s="8"/>
      <c r="K24" s="13"/>
      <c r="L24" s="14"/>
      <c r="M24" s="8"/>
    </row>
    <row r="25" customFormat="false" ht="15" hidden="false" customHeight="true" outlineLevel="0" collapsed="false">
      <c r="A25" s="11" t="str">
        <f aca="false">IF($B25="","",ROW()-2)</f>
        <v/>
      </c>
      <c r="B25" s="7"/>
      <c r="C25" s="11" t="str">
        <f aca="false">IF($B25="","",IFERROR(INDEX(거래처목록!$B$3:$B$302,MATCH($B25,거래처목록!$A$3:$A$302,0)),"미등록"))</f>
        <v/>
      </c>
      <c r="D25" s="7"/>
      <c r="E25" s="11" t="str">
        <f aca="false">IF($D25="","",IFERROR(INDEX(품목목록!$B$3:$B$202,MATCH($D25,품목목록!$A$3:$A$202,0)),"미등록"))</f>
        <v/>
      </c>
      <c r="F25" s="11" t="str">
        <f aca="false">IF($D25="","",IFERROR(INDEX(품목목록!$D$3:$D$202,MATCH($D25,품목목록!$A$3:$A$202,0)),""))</f>
        <v/>
      </c>
      <c r="G25" s="9"/>
      <c r="H25" s="12" t="str">
        <f aca="false">IF($D25="","",IFERROR(INDEX(품목목록!$E$3:$E$202,MATCH($D25,품목목록!$A$3:$A$202,0)),0))</f>
        <v/>
      </c>
      <c r="I25" s="8"/>
      <c r="J25" s="8"/>
      <c r="K25" s="13"/>
      <c r="L25" s="14"/>
      <c r="M25" s="8"/>
    </row>
    <row r="26" customFormat="false" ht="15" hidden="false" customHeight="true" outlineLevel="0" collapsed="false">
      <c r="A26" s="11" t="str">
        <f aca="false">IF($B26="","",ROW()-2)</f>
        <v/>
      </c>
      <c r="B26" s="7"/>
      <c r="C26" s="11" t="str">
        <f aca="false">IF($B26="","",IFERROR(INDEX(거래처목록!$B$3:$B$302,MATCH($B26,거래처목록!$A$3:$A$302,0)),"미등록"))</f>
        <v/>
      </c>
      <c r="D26" s="7"/>
      <c r="E26" s="11" t="str">
        <f aca="false">IF($D26="","",IFERROR(INDEX(품목목록!$B$3:$B$202,MATCH($D26,품목목록!$A$3:$A$202,0)),"미등록"))</f>
        <v/>
      </c>
      <c r="F26" s="11" t="str">
        <f aca="false">IF($D26="","",IFERROR(INDEX(품목목록!$D$3:$D$202,MATCH($D26,품목목록!$A$3:$A$202,0)),""))</f>
        <v/>
      </c>
      <c r="G26" s="9"/>
      <c r="H26" s="12" t="str">
        <f aca="false">IF($D26="","",IFERROR(INDEX(품목목록!$E$3:$E$202,MATCH($D26,품목목록!$A$3:$A$202,0)),0))</f>
        <v/>
      </c>
      <c r="I26" s="8"/>
      <c r="J26" s="8"/>
      <c r="K26" s="13"/>
      <c r="L26" s="14"/>
      <c r="M26" s="8"/>
    </row>
    <row r="27" customFormat="false" ht="15" hidden="false" customHeight="true" outlineLevel="0" collapsed="false">
      <c r="A27" s="11" t="str">
        <f aca="false">IF($B27="","",ROW()-2)</f>
        <v/>
      </c>
      <c r="B27" s="7"/>
      <c r="C27" s="11" t="str">
        <f aca="false">IF($B27="","",IFERROR(INDEX(거래처목록!$B$3:$B$302,MATCH($B27,거래처목록!$A$3:$A$302,0)),"미등록"))</f>
        <v/>
      </c>
      <c r="D27" s="7"/>
      <c r="E27" s="11" t="str">
        <f aca="false">IF($D27="","",IFERROR(INDEX(품목목록!$B$3:$B$202,MATCH($D27,품목목록!$A$3:$A$202,0)),"미등록"))</f>
        <v/>
      </c>
      <c r="F27" s="11" t="str">
        <f aca="false">IF($D27="","",IFERROR(INDEX(품목목록!$D$3:$D$202,MATCH($D27,품목목록!$A$3:$A$202,0)),""))</f>
        <v/>
      </c>
      <c r="G27" s="9"/>
      <c r="H27" s="12" t="str">
        <f aca="false">IF($D27="","",IFERROR(INDEX(품목목록!$E$3:$E$202,MATCH($D27,품목목록!$A$3:$A$202,0)),0))</f>
        <v/>
      </c>
      <c r="I27" s="8"/>
      <c r="J27" s="8"/>
      <c r="K27" s="13"/>
      <c r="L27" s="14"/>
      <c r="M27" s="8"/>
    </row>
    <row r="28" customFormat="false" ht="15" hidden="false" customHeight="true" outlineLevel="0" collapsed="false">
      <c r="A28" s="11" t="str">
        <f aca="false">IF($B28="","",ROW()-2)</f>
        <v/>
      </c>
      <c r="B28" s="7"/>
      <c r="C28" s="11" t="str">
        <f aca="false">IF($B28="","",IFERROR(INDEX(거래처목록!$B$3:$B$302,MATCH($B28,거래처목록!$A$3:$A$302,0)),"미등록"))</f>
        <v/>
      </c>
      <c r="D28" s="7"/>
      <c r="E28" s="11" t="str">
        <f aca="false">IF($D28="","",IFERROR(INDEX(품목목록!$B$3:$B$202,MATCH($D28,품목목록!$A$3:$A$202,0)),"미등록"))</f>
        <v/>
      </c>
      <c r="F28" s="11" t="str">
        <f aca="false">IF($D28="","",IFERROR(INDEX(품목목록!$D$3:$D$202,MATCH($D28,품목목록!$A$3:$A$202,0)),""))</f>
        <v/>
      </c>
      <c r="G28" s="9"/>
      <c r="H28" s="12" t="str">
        <f aca="false">IF($D28="","",IFERROR(INDEX(품목목록!$E$3:$E$202,MATCH($D28,품목목록!$A$3:$A$202,0)),0))</f>
        <v/>
      </c>
      <c r="I28" s="8"/>
      <c r="J28" s="8"/>
      <c r="K28" s="13"/>
      <c r="L28" s="14"/>
      <c r="M28" s="8"/>
    </row>
    <row r="29" customFormat="false" ht="15" hidden="false" customHeight="true" outlineLevel="0" collapsed="false">
      <c r="A29" s="11" t="str">
        <f aca="false">IF($B29="","",ROW()-2)</f>
        <v/>
      </c>
      <c r="B29" s="7"/>
      <c r="C29" s="11" t="str">
        <f aca="false">IF($B29="","",IFERROR(INDEX(거래처목록!$B$3:$B$302,MATCH($B29,거래처목록!$A$3:$A$302,0)),"미등록"))</f>
        <v/>
      </c>
      <c r="D29" s="7"/>
      <c r="E29" s="11" t="str">
        <f aca="false">IF($D29="","",IFERROR(INDEX(품목목록!$B$3:$B$202,MATCH($D29,품목목록!$A$3:$A$202,0)),"미등록"))</f>
        <v/>
      </c>
      <c r="F29" s="11" t="str">
        <f aca="false">IF($D29="","",IFERROR(INDEX(품목목록!$D$3:$D$202,MATCH($D29,품목목록!$A$3:$A$202,0)),""))</f>
        <v/>
      </c>
      <c r="G29" s="9"/>
      <c r="H29" s="12" t="str">
        <f aca="false">IF($D29="","",IFERROR(INDEX(품목목록!$E$3:$E$202,MATCH($D29,품목목록!$A$3:$A$202,0)),0))</f>
        <v/>
      </c>
      <c r="I29" s="8"/>
      <c r="J29" s="8"/>
      <c r="K29" s="13"/>
      <c r="L29" s="14"/>
      <c r="M29" s="8"/>
    </row>
    <row r="30" customFormat="false" ht="15" hidden="false" customHeight="true" outlineLevel="0" collapsed="false">
      <c r="A30" s="11" t="str">
        <f aca="false">IF($B30="","",ROW()-2)</f>
        <v/>
      </c>
      <c r="B30" s="7"/>
      <c r="C30" s="11" t="str">
        <f aca="false">IF($B30="","",IFERROR(INDEX(거래처목록!$B$3:$B$302,MATCH($B30,거래처목록!$A$3:$A$302,0)),"미등록"))</f>
        <v/>
      </c>
      <c r="D30" s="7"/>
      <c r="E30" s="11" t="str">
        <f aca="false">IF($D30="","",IFERROR(INDEX(품목목록!$B$3:$B$202,MATCH($D30,품목목록!$A$3:$A$202,0)),"미등록"))</f>
        <v/>
      </c>
      <c r="F30" s="11" t="str">
        <f aca="false">IF($D30="","",IFERROR(INDEX(품목목록!$D$3:$D$202,MATCH($D30,품목목록!$A$3:$A$202,0)),""))</f>
        <v/>
      </c>
      <c r="G30" s="9"/>
      <c r="H30" s="12" t="str">
        <f aca="false">IF($D30="","",IFERROR(INDEX(품목목록!$E$3:$E$202,MATCH($D30,품목목록!$A$3:$A$202,0)),0))</f>
        <v/>
      </c>
      <c r="I30" s="8"/>
      <c r="J30" s="8"/>
      <c r="K30" s="13"/>
      <c r="L30" s="14"/>
      <c r="M30" s="8"/>
    </row>
    <row r="31" customFormat="false" ht="15" hidden="false" customHeight="true" outlineLevel="0" collapsed="false">
      <c r="A31" s="11" t="str">
        <f aca="false">IF($B31="","",ROW()-2)</f>
        <v/>
      </c>
      <c r="B31" s="7"/>
      <c r="C31" s="11" t="str">
        <f aca="false">IF($B31="","",IFERROR(INDEX(거래처목록!$B$3:$B$302,MATCH($B31,거래처목록!$A$3:$A$302,0)),"미등록"))</f>
        <v/>
      </c>
      <c r="D31" s="7"/>
      <c r="E31" s="11" t="str">
        <f aca="false">IF($D31="","",IFERROR(INDEX(품목목록!$B$3:$B$202,MATCH($D31,품목목록!$A$3:$A$202,0)),"미등록"))</f>
        <v/>
      </c>
      <c r="F31" s="11" t="str">
        <f aca="false">IF($D31="","",IFERROR(INDEX(품목목록!$D$3:$D$202,MATCH($D31,품목목록!$A$3:$A$202,0)),""))</f>
        <v/>
      </c>
      <c r="G31" s="9"/>
      <c r="H31" s="12" t="str">
        <f aca="false">IF($D31="","",IFERROR(INDEX(품목목록!$E$3:$E$202,MATCH($D31,품목목록!$A$3:$A$202,0)),0))</f>
        <v/>
      </c>
      <c r="I31" s="8"/>
      <c r="J31" s="8"/>
      <c r="K31" s="13"/>
      <c r="L31" s="14"/>
      <c r="M31" s="8"/>
    </row>
    <row r="32" customFormat="false" ht="15" hidden="false" customHeight="true" outlineLevel="0" collapsed="false">
      <c r="A32" s="11" t="str">
        <f aca="false">IF($B32="","",ROW()-2)</f>
        <v/>
      </c>
      <c r="B32" s="7"/>
      <c r="C32" s="11" t="str">
        <f aca="false">IF($B32="","",IFERROR(INDEX(거래처목록!$B$3:$B$302,MATCH($B32,거래처목록!$A$3:$A$302,0)),"미등록"))</f>
        <v/>
      </c>
      <c r="D32" s="7"/>
      <c r="E32" s="11" t="str">
        <f aca="false">IF($D32="","",IFERROR(INDEX(품목목록!$B$3:$B$202,MATCH($D32,품목목록!$A$3:$A$202,0)),"미등록"))</f>
        <v/>
      </c>
      <c r="F32" s="11" t="str">
        <f aca="false">IF($D32="","",IFERROR(INDEX(품목목록!$D$3:$D$202,MATCH($D32,품목목록!$A$3:$A$202,0)),""))</f>
        <v/>
      </c>
      <c r="G32" s="9"/>
      <c r="H32" s="12" t="str">
        <f aca="false">IF($D32="","",IFERROR(INDEX(품목목록!$E$3:$E$202,MATCH($D32,품목목록!$A$3:$A$202,0)),0))</f>
        <v/>
      </c>
      <c r="I32" s="8"/>
      <c r="J32" s="8"/>
      <c r="K32" s="13"/>
      <c r="L32" s="14"/>
      <c r="M32" s="8"/>
    </row>
    <row r="33" customFormat="false" ht="15" hidden="false" customHeight="true" outlineLevel="0" collapsed="false">
      <c r="A33" s="11" t="str">
        <f aca="false">IF($B33="","",ROW()-2)</f>
        <v/>
      </c>
      <c r="B33" s="7"/>
      <c r="C33" s="11" t="str">
        <f aca="false">IF($B33="","",IFERROR(INDEX(거래처목록!$B$3:$B$302,MATCH($B33,거래처목록!$A$3:$A$302,0)),"미등록"))</f>
        <v/>
      </c>
      <c r="D33" s="7"/>
      <c r="E33" s="11" t="str">
        <f aca="false">IF($D33="","",IFERROR(INDEX(품목목록!$B$3:$B$202,MATCH($D33,품목목록!$A$3:$A$202,0)),"미등록"))</f>
        <v/>
      </c>
      <c r="F33" s="11" t="str">
        <f aca="false">IF($D33="","",IFERROR(INDEX(품목목록!$D$3:$D$202,MATCH($D33,품목목록!$A$3:$A$202,0)),""))</f>
        <v/>
      </c>
      <c r="G33" s="9"/>
      <c r="H33" s="12" t="str">
        <f aca="false">IF($D33="","",IFERROR(INDEX(품목목록!$E$3:$E$202,MATCH($D33,품목목록!$A$3:$A$202,0)),0))</f>
        <v/>
      </c>
      <c r="I33" s="8"/>
      <c r="J33" s="8"/>
      <c r="K33" s="13"/>
      <c r="L33" s="14"/>
      <c r="M33" s="8"/>
    </row>
    <row r="34" customFormat="false" ht="15" hidden="false" customHeight="true" outlineLevel="0" collapsed="false">
      <c r="A34" s="11" t="str">
        <f aca="false">IF($B34="","",ROW()-2)</f>
        <v/>
      </c>
      <c r="B34" s="7"/>
      <c r="C34" s="11" t="str">
        <f aca="false">IF($B34="","",IFERROR(INDEX(거래처목록!$B$3:$B$302,MATCH($B34,거래처목록!$A$3:$A$302,0)),"미등록"))</f>
        <v/>
      </c>
      <c r="D34" s="7"/>
      <c r="E34" s="11" t="str">
        <f aca="false">IF($D34="","",IFERROR(INDEX(품목목록!$B$3:$B$202,MATCH($D34,품목목록!$A$3:$A$202,0)),"미등록"))</f>
        <v/>
      </c>
      <c r="F34" s="11" t="str">
        <f aca="false">IF($D34="","",IFERROR(INDEX(품목목록!$D$3:$D$202,MATCH($D34,품목목록!$A$3:$A$202,0)),""))</f>
        <v/>
      </c>
      <c r="G34" s="9"/>
      <c r="H34" s="12" t="str">
        <f aca="false">IF($D34="","",IFERROR(INDEX(품목목록!$E$3:$E$202,MATCH($D34,품목목록!$A$3:$A$202,0)),0))</f>
        <v/>
      </c>
      <c r="I34" s="8"/>
      <c r="J34" s="8"/>
      <c r="K34" s="13"/>
      <c r="L34" s="14"/>
      <c r="M34" s="8"/>
    </row>
    <row r="35" customFormat="false" ht="15" hidden="false" customHeight="true" outlineLevel="0" collapsed="false">
      <c r="A35" s="11" t="str">
        <f aca="false">IF($B35="","",ROW()-2)</f>
        <v/>
      </c>
      <c r="B35" s="7"/>
      <c r="C35" s="11" t="str">
        <f aca="false">IF($B35="","",IFERROR(INDEX(거래처목록!$B$3:$B$302,MATCH($B35,거래처목록!$A$3:$A$302,0)),"미등록"))</f>
        <v/>
      </c>
      <c r="D35" s="7"/>
      <c r="E35" s="11" t="str">
        <f aca="false">IF($D35="","",IFERROR(INDEX(품목목록!$B$3:$B$202,MATCH($D35,품목목록!$A$3:$A$202,0)),"미등록"))</f>
        <v/>
      </c>
      <c r="F35" s="11" t="str">
        <f aca="false">IF($D35="","",IFERROR(INDEX(품목목록!$D$3:$D$202,MATCH($D35,품목목록!$A$3:$A$202,0)),""))</f>
        <v/>
      </c>
      <c r="G35" s="9"/>
      <c r="H35" s="12" t="str">
        <f aca="false">IF($D35="","",IFERROR(INDEX(품목목록!$E$3:$E$202,MATCH($D35,품목목록!$A$3:$A$202,0)),0))</f>
        <v/>
      </c>
      <c r="I35" s="8"/>
      <c r="J35" s="8"/>
      <c r="K35" s="13"/>
      <c r="L35" s="14"/>
      <c r="M35" s="8"/>
    </row>
    <row r="36" customFormat="false" ht="15" hidden="false" customHeight="true" outlineLevel="0" collapsed="false">
      <c r="A36" s="11" t="str">
        <f aca="false">IF($B36="","",ROW()-2)</f>
        <v/>
      </c>
      <c r="B36" s="7"/>
      <c r="C36" s="11" t="str">
        <f aca="false">IF($B36="","",IFERROR(INDEX(거래처목록!$B$3:$B$302,MATCH($B36,거래처목록!$A$3:$A$302,0)),"미등록"))</f>
        <v/>
      </c>
      <c r="D36" s="7"/>
      <c r="E36" s="11" t="str">
        <f aca="false">IF($D36="","",IFERROR(INDEX(품목목록!$B$3:$B$202,MATCH($D36,품목목록!$A$3:$A$202,0)),"미등록"))</f>
        <v/>
      </c>
      <c r="F36" s="11" t="str">
        <f aca="false">IF($D36="","",IFERROR(INDEX(품목목록!$D$3:$D$202,MATCH($D36,품목목록!$A$3:$A$202,0)),""))</f>
        <v/>
      </c>
      <c r="G36" s="9"/>
      <c r="H36" s="12" t="str">
        <f aca="false">IF($D36="","",IFERROR(INDEX(품목목록!$E$3:$E$202,MATCH($D36,품목목록!$A$3:$A$202,0)),0))</f>
        <v/>
      </c>
      <c r="I36" s="8"/>
      <c r="J36" s="8"/>
      <c r="K36" s="13"/>
      <c r="L36" s="14"/>
      <c r="M36" s="8"/>
    </row>
    <row r="37" customFormat="false" ht="15" hidden="false" customHeight="true" outlineLevel="0" collapsed="false">
      <c r="A37" s="11" t="str">
        <f aca="false">IF($B37="","",ROW()-2)</f>
        <v/>
      </c>
      <c r="B37" s="7"/>
      <c r="C37" s="11" t="str">
        <f aca="false">IF($B37="","",IFERROR(INDEX(거래처목록!$B$3:$B$302,MATCH($B37,거래처목록!$A$3:$A$302,0)),"미등록"))</f>
        <v/>
      </c>
      <c r="D37" s="7"/>
      <c r="E37" s="11" t="str">
        <f aca="false">IF($D37="","",IFERROR(INDEX(품목목록!$B$3:$B$202,MATCH($D37,품목목록!$A$3:$A$202,0)),"미등록"))</f>
        <v/>
      </c>
      <c r="F37" s="11" t="str">
        <f aca="false">IF($D37="","",IFERROR(INDEX(품목목록!$D$3:$D$202,MATCH($D37,품목목록!$A$3:$A$202,0)),""))</f>
        <v/>
      </c>
      <c r="G37" s="9"/>
      <c r="H37" s="12" t="str">
        <f aca="false">IF($D37="","",IFERROR(INDEX(품목목록!$E$3:$E$202,MATCH($D37,품목목록!$A$3:$A$202,0)),0))</f>
        <v/>
      </c>
      <c r="I37" s="8"/>
      <c r="J37" s="8"/>
      <c r="K37" s="13"/>
      <c r="L37" s="14"/>
      <c r="M37" s="8"/>
    </row>
    <row r="38" customFormat="false" ht="15" hidden="false" customHeight="true" outlineLevel="0" collapsed="false">
      <c r="A38" s="11" t="str">
        <f aca="false">IF($B38="","",ROW()-2)</f>
        <v/>
      </c>
      <c r="B38" s="7"/>
      <c r="C38" s="11" t="str">
        <f aca="false">IF($B38="","",IFERROR(INDEX(거래처목록!$B$3:$B$302,MATCH($B38,거래처목록!$A$3:$A$302,0)),"미등록"))</f>
        <v/>
      </c>
      <c r="D38" s="7"/>
      <c r="E38" s="11" t="str">
        <f aca="false">IF($D38="","",IFERROR(INDEX(품목목록!$B$3:$B$202,MATCH($D38,품목목록!$A$3:$A$202,0)),"미등록"))</f>
        <v/>
      </c>
      <c r="F38" s="11" t="str">
        <f aca="false">IF($D38="","",IFERROR(INDEX(품목목록!$D$3:$D$202,MATCH($D38,품목목록!$A$3:$A$202,0)),""))</f>
        <v/>
      </c>
      <c r="G38" s="9"/>
      <c r="H38" s="12" t="str">
        <f aca="false">IF($D38="","",IFERROR(INDEX(품목목록!$E$3:$E$202,MATCH($D38,품목목록!$A$3:$A$202,0)),0))</f>
        <v/>
      </c>
      <c r="I38" s="8"/>
      <c r="J38" s="8"/>
      <c r="K38" s="13"/>
      <c r="L38" s="14"/>
      <c r="M38" s="8"/>
    </row>
    <row r="39" customFormat="false" ht="15" hidden="false" customHeight="true" outlineLevel="0" collapsed="false">
      <c r="A39" s="11" t="str">
        <f aca="false">IF($B39="","",ROW()-2)</f>
        <v/>
      </c>
      <c r="B39" s="7"/>
      <c r="C39" s="11" t="str">
        <f aca="false">IF($B39="","",IFERROR(INDEX(거래처목록!$B$3:$B$302,MATCH($B39,거래처목록!$A$3:$A$302,0)),"미등록"))</f>
        <v/>
      </c>
      <c r="D39" s="7"/>
      <c r="E39" s="11" t="str">
        <f aca="false">IF($D39="","",IFERROR(INDEX(품목목록!$B$3:$B$202,MATCH($D39,품목목록!$A$3:$A$202,0)),"미등록"))</f>
        <v/>
      </c>
      <c r="F39" s="11" t="str">
        <f aca="false">IF($D39="","",IFERROR(INDEX(품목목록!$D$3:$D$202,MATCH($D39,품목목록!$A$3:$A$202,0)),""))</f>
        <v/>
      </c>
      <c r="G39" s="9"/>
      <c r="H39" s="12" t="str">
        <f aca="false">IF($D39="","",IFERROR(INDEX(품목목록!$E$3:$E$202,MATCH($D39,품목목록!$A$3:$A$202,0)),0))</f>
        <v/>
      </c>
      <c r="I39" s="8"/>
      <c r="J39" s="8"/>
      <c r="K39" s="13"/>
      <c r="L39" s="14"/>
      <c r="M39" s="8"/>
    </row>
    <row r="40" customFormat="false" ht="15" hidden="false" customHeight="true" outlineLevel="0" collapsed="false">
      <c r="A40" s="11" t="str">
        <f aca="false">IF($B40="","",ROW()-2)</f>
        <v/>
      </c>
      <c r="B40" s="7"/>
      <c r="C40" s="11" t="str">
        <f aca="false">IF($B40="","",IFERROR(INDEX(거래처목록!$B$3:$B$302,MATCH($B40,거래처목록!$A$3:$A$302,0)),"미등록"))</f>
        <v/>
      </c>
      <c r="D40" s="7"/>
      <c r="E40" s="11" t="str">
        <f aca="false">IF($D40="","",IFERROR(INDEX(품목목록!$B$3:$B$202,MATCH($D40,품목목록!$A$3:$A$202,0)),"미등록"))</f>
        <v/>
      </c>
      <c r="F40" s="11" t="str">
        <f aca="false">IF($D40="","",IFERROR(INDEX(품목목록!$D$3:$D$202,MATCH($D40,품목목록!$A$3:$A$202,0)),""))</f>
        <v/>
      </c>
      <c r="G40" s="9"/>
      <c r="H40" s="12" t="str">
        <f aca="false">IF($D40="","",IFERROR(INDEX(품목목록!$E$3:$E$202,MATCH($D40,품목목록!$A$3:$A$202,0)),0))</f>
        <v/>
      </c>
      <c r="I40" s="8"/>
      <c r="J40" s="8"/>
      <c r="K40" s="13"/>
      <c r="L40" s="14"/>
      <c r="M40" s="8"/>
    </row>
    <row r="41" customFormat="false" ht="15" hidden="false" customHeight="true" outlineLevel="0" collapsed="false">
      <c r="A41" s="11" t="str">
        <f aca="false">IF($B41="","",ROW()-2)</f>
        <v/>
      </c>
      <c r="B41" s="7"/>
      <c r="C41" s="11" t="str">
        <f aca="false">IF($B41="","",IFERROR(INDEX(거래처목록!$B$3:$B$302,MATCH($B41,거래처목록!$A$3:$A$302,0)),"미등록"))</f>
        <v/>
      </c>
      <c r="D41" s="7"/>
      <c r="E41" s="11" t="str">
        <f aca="false">IF($D41="","",IFERROR(INDEX(품목목록!$B$3:$B$202,MATCH($D41,품목목록!$A$3:$A$202,0)),"미등록"))</f>
        <v/>
      </c>
      <c r="F41" s="11" t="str">
        <f aca="false">IF($D41="","",IFERROR(INDEX(품목목록!$D$3:$D$202,MATCH($D41,품목목록!$A$3:$A$202,0)),""))</f>
        <v/>
      </c>
      <c r="G41" s="9"/>
      <c r="H41" s="12" t="str">
        <f aca="false">IF($D41="","",IFERROR(INDEX(품목목록!$E$3:$E$202,MATCH($D41,품목목록!$A$3:$A$202,0)),0))</f>
        <v/>
      </c>
      <c r="I41" s="8"/>
      <c r="J41" s="8"/>
      <c r="K41" s="13"/>
      <c r="L41" s="14"/>
      <c r="M41" s="8"/>
    </row>
    <row r="42" customFormat="false" ht="15" hidden="false" customHeight="true" outlineLevel="0" collapsed="false">
      <c r="A42" s="11" t="str">
        <f aca="false">IF($B42="","",ROW()-2)</f>
        <v/>
      </c>
      <c r="B42" s="7"/>
      <c r="C42" s="11" t="str">
        <f aca="false">IF($B42="","",IFERROR(INDEX(거래처목록!$B$3:$B$302,MATCH($B42,거래처목록!$A$3:$A$302,0)),"미등록"))</f>
        <v/>
      </c>
      <c r="D42" s="7"/>
      <c r="E42" s="11" t="str">
        <f aca="false">IF($D42="","",IFERROR(INDEX(품목목록!$B$3:$B$202,MATCH($D42,품목목록!$A$3:$A$202,0)),"미등록"))</f>
        <v/>
      </c>
      <c r="F42" s="11" t="str">
        <f aca="false">IF($D42="","",IFERROR(INDEX(품목목록!$D$3:$D$202,MATCH($D42,품목목록!$A$3:$A$202,0)),""))</f>
        <v/>
      </c>
      <c r="G42" s="9"/>
      <c r="H42" s="12" t="str">
        <f aca="false">IF($D42="","",IFERROR(INDEX(품목목록!$E$3:$E$202,MATCH($D42,품목목록!$A$3:$A$202,0)),0))</f>
        <v/>
      </c>
      <c r="I42" s="8"/>
      <c r="J42" s="8"/>
      <c r="K42" s="13"/>
      <c r="L42" s="14"/>
      <c r="M42" s="8"/>
    </row>
    <row r="43" customFormat="false" ht="15" hidden="false" customHeight="true" outlineLevel="0" collapsed="false">
      <c r="A43" s="11" t="str">
        <f aca="false">IF($B43="","",ROW()-2)</f>
        <v/>
      </c>
      <c r="B43" s="7"/>
      <c r="C43" s="11" t="str">
        <f aca="false">IF($B43="","",IFERROR(INDEX(거래처목록!$B$3:$B$302,MATCH($B43,거래처목록!$A$3:$A$302,0)),"미등록"))</f>
        <v/>
      </c>
      <c r="D43" s="7"/>
      <c r="E43" s="11" t="str">
        <f aca="false">IF($D43="","",IFERROR(INDEX(품목목록!$B$3:$B$202,MATCH($D43,품목목록!$A$3:$A$202,0)),"미등록"))</f>
        <v/>
      </c>
      <c r="F43" s="11" t="str">
        <f aca="false">IF($D43="","",IFERROR(INDEX(품목목록!$D$3:$D$202,MATCH($D43,품목목록!$A$3:$A$202,0)),""))</f>
        <v/>
      </c>
      <c r="G43" s="9"/>
      <c r="H43" s="12" t="str">
        <f aca="false">IF($D43="","",IFERROR(INDEX(품목목록!$E$3:$E$202,MATCH($D43,품목목록!$A$3:$A$202,0)),0))</f>
        <v/>
      </c>
      <c r="I43" s="8"/>
      <c r="J43" s="8"/>
      <c r="K43" s="13"/>
      <c r="L43" s="14"/>
      <c r="M43" s="8"/>
    </row>
    <row r="44" customFormat="false" ht="15" hidden="false" customHeight="true" outlineLevel="0" collapsed="false">
      <c r="A44" s="11" t="str">
        <f aca="false">IF($B44="","",ROW()-2)</f>
        <v/>
      </c>
      <c r="B44" s="7"/>
      <c r="C44" s="11" t="str">
        <f aca="false">IF($B44="","",IFERROR(INDEX(거래처목록!$B$3:$B$302,MATCH($B44,거래처목록!$A$3:$A$302,0)),"미등록"))</f>
        <v/>
      </c>
      <c r="D44" s="7"/>
      <c r="E44" s="11" t="str">
        <f aca="false">IF($D44="","",IFERROR(INDEX(품목목록!$B$3:$B$202,MATCH($D44,품목목록!$A$3:$A$202,0)),"미등록"))</f>
        <v/>
      </c>
      <c r="F44" s="11" t="str">
        <f aca="false">IF($D44="","",IFERROR(INDEX(품목목록!$D$3:$D$202,MATCH($D44,품목목록!$A$3:$A$202,0)),""))</f>
        <v/>
      </c>
      <c r="G44" s="9"/>
      <c r="H44" s="12" t="str">
        <f aca="false">IF($D44="","",IFERROR(INDEX(품목목록!$E$3:$E$202,MATCH($D44,품목목록!$A$3:$A$202,0)),0))</f>
        <v/>
      </c>
      <c r="I44" s="8"/>
      <c r="J44" s="8"/>
      <c r="K44" s="13"/>
      <c r="L44" s="14"/>
      <c r="M44" s="8"/>
    </row>
    <row r="45" customFormat="false" ht="15" hidden="false" customHeight="true" outlineLevel="0" collapsed="false">
      <c r="A45" s="11" t="str">
        <f aca="false">IF($B45="","",ROW()-2)</f>
        <v/>
      </c>
      <c r="B45" s="7"/>
      <c r="C45" s="11" t="str">
        <f aca="false">IF($B45="","",IFERROR(INDEX(거래처목록!$B$3:$B$302,MATCH($B45,거래처목록!$A$3:$A$302,0)),"미등록"))</f>
        <v/>
      </c>
      <c r="D45" s="7"/>
      <c r="E45" s="11" t="str">
        <f aca="false">IF($D45="","",IFERROR(INDEX(품목목록!$B$3:$B$202,MATCH($D45,품목목록!$A$3:$A$202,0)),"미등록"))</f>
        <v/>
      </c>
      <c r="F45" s="11" t="str">
        <f aca="false">IF($D45="","",IFERROR(INDEX(품목목록!$D$3:$D$202,MATCH($D45,품목목록!$A$3:$A$202,0)),""))</f>
        <v/>
      </c>
      <c r="G45" s="9"/>
      <c r="H45" s="12" t="str">
        <f aca="false">IF($D45="","",IFERROR(INDEX(품목목록!$E$3:$E$202,MATCH($D45,품목목록!$A$3:$A$202,0)),0))</f>
        <v/>
      </c>
      <c r="I45" s="8"/>
      <c r="J45" s="8"/>
      <c r="K45" s="13"/>
      <c r="L45" s="14"/>
      <c r="M45" s="8"/>
    </row>
    <row r="46" customFormat="false" ht="15" hidden="false" customHeight="true" outlineLevel="0" collapsed="false">
      <c r="A46" s="11" t="str">
        <f aca="false">IF($B46="","",ROW()-2)</f>
        <v/>
      </c>
      <c r="B46" s="7"/>
      <c r="C46" s="11" t="str">
        <f aca="false">IF($B46="","",IFERROR(INDEX(거래처목록!$B$3:$B$302,MATCH($B46,거래처목록!$A$3:$A$302,0)),"미등록"))</f>
        <v/>
      </c>
      <c r="D46" s="7"/>
      <c r="E46" s="11" t="str">
        <f aca="false">IF($D46="","",IFERROR(INDEX(품목목록!$B$3:$B$202,MATCH($D46,품목목록!$A$3:$A$202,0)),"미등록"))</f>
        <v/>
      </c>
      <c r="F46" s="11" t="str">
        <f aca="false">IF($D46="","",IFERROR(INDEX(품목목록!$D$3:$D$202,MATCH($D46,품목목록!$A$3:$A$202,0)),""))</f>
        <v/>
      </c>
      <c r="G46" s="9"/>
      <c r="H46" s="12" t="str">
        <f aca="false">IF($D46="","",IFERROR(INDEX(품목목록!$E$3:$E$202,MATCH($D46,품목목록!$A$3:$A$202,0)),0))</f>
        <v/>
      </c>
      <c r="I46" s="8"/>
      <c r="J46" s="8"/>
      <c r="K46" s="13"/>
      <c r="L46" s="14"/>
      <c r="M46" s="8"/>
    </row>
    <row r="47" customFormat="false" ht="15" hidden="false" customHeight="true" outlineLevel="0" collapsed="false">
      <c r="A47" s="11" t="str">
        <f aca="false">IF($B47="","",ROW()-2)</f>
        <v/>
      </c>
      <c r="B47" s="7"/>
      <c r="C47" s="11" t="str">
        <f aca="false">IF($B47="","",IFERROR(INDEX(거래처목록!$B$3:$B$302,MATCH($B47,거래처목록!$A$3:$A$302,0)),"미등록"))</f>
        <v/>
      </c>
      <c r="D47" s="7"/>
      <c r="E47" s="11" t="str">
        <f aca="false">IF($D47="","",IFERROR(INDEX(품목목록!$B$3:$B$202,MATCH($D47,품목목록!$A$3:$A$202,0)),"미등록"))</f>
        <v/>
      </c>
      <c r="F47" s="11" t="str">
        <f aca="false">IF($D47="","",IFERROR(INDEX(품목목록!$D$3:$D$202,MATCH($D47,품목목록!$A$3:$A$202,0)),""))</f>
        <v/>
      </c>
      <c r="G47" s="9"/>
      <c r="H47" s="12" t="str">
        <f aca="false">IF($D47="","",IFERROR(INDEX(품목목록!$E$3:$E$202,MATCH($D47,품목목록!$A$3:$A$202,0)),0))</f>
        <v/>
      </c>
      <c r="I47" s="8"/>
      <c r="J47" s="8"/>
      <c r="K47" s="13"/>
      <c r="L47" s="14"/>
      <c r="M47" s="8"/>
    </row>
    <row r="48" customFormat="false" ht="15" hidden="false" customHeight="true" outlineLevel="0" collapsed="false">
      <c r="A48" s="11" t="str">
        <f aca="false">IF($B48="","",ROW()-2)</f>
        <v/>
      </c>
      <c r="B48" s="7"/>
      <c r="C48" s="11" t="str">
        <f aca="false">IF($B48="","",IFERROR(INDEX(거래처목록!$B$3:$B$302,MATCH($B48,거래처목록!$A$3:$A$302,0)),"미등록"))</f>
        <v/>
      </c>
      <c r="D48" s="7"/>
      <c r="E48" s="11" t="str">
        <f aca="false">IF($D48="","",IFERROR(INDEX(품목목록!$B$3:$B$202,MATCH($D48,품목목록!$A$3:$A$202,0)),"미등록"))</f>
        <v/>
      </c>
      <c r="F48" s="11" t="str">
        <f aca="false">IF($D48="","",IFERROR(INDEX(품목목록!$D$3:$D$202,MATCH($D48,품목목록!$A$3:$A$202,0)),""))</f>
        <v/>
      </c>
      <c r="G48" s="9"/>
      <c r="H48" s="12" t="str">
        <f aca="false">IF($D48="","",IFERROR(INDEX(품목목록!$E$3:$E$202,MATCH($D48,품목목록!$A$3:$A$202,0)),0))</f>
        <v/>
      </c>
      <c r="I48" s="8"/>
      <c r="J48" s="8"/>
      <c r="K48" s="13"/>
      <c r="L48" s="14"/>
      <c r="M48" s="8"/>
    </row>
    <row r="49" customFormat="false" ht="15" hidden="false" customHeight="true" outlineLevel="0" collapsed="false">
      <c r="A49" s="11" t="str">
        <f aca="false">IF($B49="","",ROW()-2)</f>
        <v/>
      </c>
      <c r="B49" s="7"/>
      <c r="C49" s="11" t="str">
        <f aca="false">IF($B49="","",IFERROR(INDEX(거래처목록!$B$3:$B$302,MATCH($B49,거래처목록!$A$3:$A$302,0)),"미등록"))</f>
        <v/>
      </c>
      <c r="D49" s="7"/>
      <c r="E49" s="11" t="str">
        <f aca="false">IF($D49="","",IFERROR(INDEX(품목목록!$B$3:$B$202,MATCH($D49,품목목록!$A$3:$A$202,0)),"미등록"))</f>
        <v/>
      </c>
      <c r="F49" s="11" t="str">
        <f aca="false">IF($D49="","",IFERROR(INDEX(품목목록!$D$3:$D$202,MATCH($D49,품목목록!$A$3:$A$202,0)),""))</f>
        <v/>
      </c>
      <c r="G49" s="9"/>
      <c r="H49" s="12" t="str">
        <f aca="false">IF($D49="","",IFERROR(INDEX(품목목록!$E$3:$E$202,MATCH($D49,품목목록!$A$3:$A$202,0)),0))</f>
        <v/>
      </c>
      <c r="I49" s="8"/>
      <c r="J49" s="8"/>
      <c r="K49" s="13"/>
      <c r="L49" s="14"/>
      <c r="M49" s="8"/>
    </row>
    <row r="50" customFormat="false" ht="15" hidden="false" customHeight="true" outlineLevel="0" collapsed="false">
      <c r="A50" s="11" t="str">
        <f aca="false">IF($B50="","",ROW()-2)</f>
        <v/>
      </c>
      <c r="B50" s="7"/>
      <c r="C50" s="11" t="str">
        <f aca="false">IF($B50="","",IFERROR(INDEX(거래처목록!$B$3:$B$302,MATCH($B50,거래처목록!$A$3:$A$302,0)),"미등록"))</f>
        <v/>
      </c>
      <c r="D50" s="7"/>
      <c r="E50" s="11" t="str">
        <f aca="false">IF($D50="","",IFERROR(INDEX(품목목록!$B$3:$B$202,MATCH($D50,품목목록!$A$3:$A$202,0)),"미등록"))</f>
        <v/>
      </c>
      <c r="F50" s="11" t="str">
        <f aca="false">IF($D50="","",IFERROR(INDEX(품목목록!$D$3:$D$202,MATCH($D50,품목목록!$A$3:$A$202,0)),""))</f>
        <v/>
      </c>
      <c r="G50" s="9"/>
      <c r="H50" s="12" t="str">
        <f aca="false">IF($D50="","",IFERROR(INDEX(품목목록!$E$3:$E$202,MATCH($D50,품목목록!$A$3:$A$202,0)),0))</f>
        <v/>
      </c>
      <c r="I50" s="8"/>
      <c r="J50" s="8"/>
      <c r="K50" s="13"/>
      <c r="L50" s="14"/>
      <c r="M50" s="8"/>
    </row>
    <row r="51" customFormat="false" ht="15" hidden="false" customHeight="true" outlineLevel="0" collapsed="false">
      <c r="A51" s="11" t="str">
        <f aca="false">IF($B51="","",ROW()-2)</f>
        <v/>
      </c>
      <c r="B51" s="7"/>
      <c r="C51" s="11" t="str">
        <f aca="false">IF($B51="","",IFERROR(INDEX(거래처목록!$B$3:$B$302,MATCH($B51,거래처목록!$A$3:$A$302,0)),"미등록"))</f>
        <v/>
      </c>
      <c r="D51" s="7"/>
      <c r="E51" s="11" t="str">
        <f aca="false">IF($D51="","",IFERROR(INDEX(품목목록!$B$3:$B$202,MATCH($D51,품목목록!$A$3:$A$202,0)),"미등록"))</f>
        <v/>
      </c>
      <c r="F51" s="11" t="str">
        <f aca="false">IF($D51="","",IFERROR(INDEX(품목목록!$D$3:$D$202,MATCH($D51,품목목록!$A$3:$A$202,0)),""))</f>
        <v/>
      </c>
      <c r="G51" s="9"/>
      <c r="H51" s="12" t="str">
        <f aca="false">IF($D51="","",IFERROR(INDEX(품목목록!$E$3:$E$202,MATCH($D51,품목목록!$A$3:$A$202,0)),0))</f>
        <v/>
      </c>
      <c r="I51" s="8"/>
      <c r="J51" s="8"/>
      <c r="K51" s="13"/>
      <c r="L51" s="14"/>
      <c r="M51" s="8"/>
    </row>
    <row r="52" customFormat="false" ht="15" hidden="false" customHeight="true" outlineLevel="0" collapsed="false">
      <c r="A52" s="11" t="str">
        <f aca="false">IF($B52="","",ROW()-2)</f>
        <v/>
      </c>
      <c r="B52" s="7"/>
      <c r="C52" s="11" t="str">
        <f aca="false">IF($B52="","",IFERROR(INDEX(거래처목록!$B$3:$B$302,MATCH($B52,거래처목록!$A$3:$A$302,0)),"미등록"))</f>
        <v/>
      </c>
      <c r="D52" s="7"/>
      <c r="E52" s="11" t="str">
        <f aca="false">IF($D52="","",IFERROR(INDEX(품목목록!$B$3:$B$202,MATCH($D52,품목목록!$A$3:$A$202,0)),"미등록"))</f>
        <v/>
      </c>
      <c r="F52" s="11" t="str">
        <f aca="false">IF($D52="","",IFERROR(INDEX(품목목록!$D$3:$D$202,MATCH($D52,품목목록!$A$3:$A$202,0)),""))</f>
        <v/>
      </c>
      <c r="G52" s="9"/>
      <c r="H52" s="12" t="str">
        <f aca="false">IF($D52="","",IFERROR(INDEX(품목목록!$E$3:$E$202,MATCH($D52,품목목록!$A$3:$A$202,0)),0))</f>
        <v/>
      </c>
      <c r="I52" s="8"/>
      <c r="J52" s="8"/>
      <c r="K52" s="13"/>
      <c r="L52" s="14"/>
      <c r="M52" s="8"/>
    </row>
    <row r="53" customFormat="false" ht="15" hidden="false" customHeight="true" outlineLevel="0" collapsed="false">
      <c r="A53" s="11" t="str">
        <f aca="false">IF($B53="","",ROW()-2)</f>
        <v/>
      </c>
      <c r="B53" s="7"/>
      <c r="C53" s="11" t="str">
        <f aca="false">IF($B53="","",IFERROR(INDEX(거래처목록!$B$3:$B$302,MATCH($B53,거래처목록!$A$3:$A$302,0)),"미등록"))</f>
        <v/>
      </c>
      <c r="D53" s="7"/>
      <c r="E53" s="11" t="str">
        <f aca="false">IF($D53="","",IFERROR(INDEX(품목목록!$B$3:$B$202,MATCH($D53,품목목록!$A$3:$A$202,0)),"미등록"))</f>
        <v/>
      </c>
      <c r="F53" s="11" t="str">
        <f aca="false">IF($D53="","",IFERROR(INDEX(품목목록!$D$3:$D$202,MATCH($D53,품목목록!$A$3:$A$202,0)),""))</f>
        <v/>
      </c>
      <c r="G53" s="9"/>
      <c r="H53" s="12" t="str">
        <f aca="false">IF($D53="","",IFERROR(INDEX(품목목록!$E$3:$E$202,MATCH($D53,품목목록!$A$3:$A$202,0)),0))</f>
        <v/>
      </c>
      <c r="I53" s="8"/>
      <c r="J53" s="8"/>
      <c r="K53" s="13"/>
      <c r="L53" s="14"/>
      <c r="M53" s="8"/>
    </row>
    <row r="54" customFormat="false" ht="15" hidden="false" customHeight="true" outlineLevel="0" collapsed="false">
      <c r="A54" s="11" t="str">
        <f aca="false">IF($B54="","",ROW()-2)</f>
        <v/>
      </c>
      <c r="B54" s="7"/>
      <c r="C54" s="11" t="str">
        <f aca="false">IF($B54="","",IFERROR(INDEX(거래처목록!$B$3:$B$302,MATCH($B54,거래처목록!$A$3:$A$302,0)),"미등록"))</f>
        <v/>
      </c>
      <c r="D54" s="7"/>
      <c r="E54" s="11" t="str">
        <f aca="false">IF($D54="","",IFERROR(INDEX(품목목록!$B$3:$B$202,MATCH($D54,품목목록!$A$3:$A$202,0)),"미등록"))</f>
        <v/>
      </c>
      <c r="F54" s="11" t="str">
        <f aca="false">IF($D54="","",IFERROR(INDEX(품목목록!$D$3:$D$202,MATCH($D54,품목목록!$A$3:$A$202,0)),""))</f>
        <v/>
      </c>
      <c r="G54" s="9"/>
      <c r="H54" s="12" t="str">
        <f aca="false">IF($D54="","",IFERROR(INDEX(품목목록!$E$3:$E$202,MATCH($D54,품목목록!$A$3:$A$202,0)),0))</f>
        <v/>
      </c>
      <c r="I54" s="8"/>
      <c r="J54" s="8"/>
      <c r="K54" s="13"/>
      <c r="L54" s="14"/>
      <c r="M54" s="8"/>
    </row>
    <row r="55" customFormat="false" ht="15" hidden="false" customHeight="true" outlineLevel="0" collapsed="false">
      <c r="A55" s="11" t="str">
        <f aca="false">IF($B55="","",ROW()-2)</f>
        <v/>
      </c>
      <c r="B55" s="7"/>
      <c r="C55" s="11" t="str">
        <f aca="false">IF($B55="","",IFERROR(INDEX(거래처목록!$B$3:$B$302,MATCH($B55,거래처목록!$A$3:$A$302,0)),"미등록"))</f>
        <v/>
      </c>
      <c r="D55" s="7"/>
      <c r="E55" s="11" t="str">
        <f aca="false">IF($D55="","",IFERROR(INDEX(품목목록!$B$3:$B$202,MATCH($D55,품목목록!$A$3:$A$202,0)),"미등록"))</f>
        <v/>
      </c>
      <c r="F55" s="11" t="str">
        <f aca="false">IF($D55="","",IFERROR(INDEX(품목목록!$D$3:$D$202,MATCH($D55,품목목록!$A$3:$A$202,0)),""))</f>
        <v/>
      </c>
      <c r="G55" s="9"/>
      <c r="H55" s="12" t="str">
        <f aca="false">IF($D55="","",IFERROR(INDEX(품목목록!$E$3:$E$202,MATCH($D55,품목목록!$A$3:$A$202,0)),0))</f>
        <v/>
      </c>
      <c r="I55" s="8"/>
      <c r="J55" s="8"/>
      <c r="K55" s="13"/>
      <c r="L55" s="14"/>
      <c r="M55" s="8"/>
    </row>
    <row r="56" customFormat="false" ht="15" hidden="false" customHeight="true" outlineLevel="0" collapsed="false">
      <c r="A56" s="11" t="str">
        <f aca="false">IF($B56="","",ROW()-2)</f>
        <v/>
      </c>
      <c r="B56" s="7"/>
      <c r="C56" s="11" t="str">
        <f aca="false">IF($B56="","",IFERROR(INDEX(거래처목록!$B$3:$B$302,MATCH($B56,거래처목록!$A$3:$A$302,0)),"미등록"))</f>
        <v/>
      </c>
      <c r="D56" s="7"/>
      <c r="E56" s="11" t="str">
        <f aca="false">IF($D56="","",IFERROR(INDEX(품목목록!$B$3:$B$202,MATCH($D56,품목목록!$A$3:$A$202,0)),"미등록"))</f>
        <v/>
      </c>
      <c r="F56" s="11" t="str">
        <f aca="false">IF($D56="","",IFERROR(INDEX(품목목록!$D$3:$D$202,MATCH($D56,품목목록!$A$3:$A$202,0)),""))</f>
        <v/>
      </c>
      <c r="G56" s="9"/>
      <c r="H56" s="12" t="str">
        <f aca="false">IF($D56="","",IFERROR(INDEX(품목목록!$E$3:$E$202,MATCH($D56,품목목록!$A$3:$A$202,0)),0))</f>
        <v/>
      </c>
      <c r="I56" s="8"/>
      <c r="J56" s="8"/>
      <c r="K56" s="13"/>
      <c r="L56" s="14"/>
      <c r="M56" s="8"/>
    </row>
    <row r="57" customFormat="false" ht="15" hidden="false" customHeight="true" outlineLevel="0" collapsed="false">
      <c r="A57" s="11" t="str">
        <f aca="false">IF($B57="","",ROW()-2)</f>
        <v/>
      </c>
      <c r="B57" s="7"/>
      <c r="C57" s="11" t="str">
        <f aca="false">IF($B57="","",IFERROR(INDEX(거래처목록!$B$3:$B$302,MATCH($B57,거래처목록!$A$3:$A$302,0)),"미등록"))</f>
        <v/>
      </c>
      <c r="D57" s="7"/>
      <c r="E57" s="11" t="str">
        <f aca="false">IF($D57="","",IFERROR(INDEX(품목목록!$B$3:$B$202,MATCH($D57,품목목록!$A$3:$A$202,0)),"미등록"))</f>
        <v/>
      </c>
      <c r="F57" s="11" t="str">
        <f aca="false">IF($D57="","",IFERROR(INDEX(품목목록!$D$3:$D$202,MATCH($D57,품목목록!$A$3:$A$202,0)),""))</f>
        <v/>
      </c>
      <c r="G57" s="9"/>
      <c r="H57" s="12" t="str">
        <f aca="false">IF($D57="","",IFERROR(INDEX(품목목록!$E$3:$E$202,MATCH($D57,품목목록!$A$3:$A$202,0)),0))</f>
        <v/>
      </c>
      <c r="I57" s="8"/>
      <c r="J57" s="8"/>
      <c r="K57" s="13"/>
      <c r="L57" s="14"/>
      <c r="M57" s="8"/>
    </row>
    <row r="58" customFormat="false" ht="15" hidden="false" customHeight="true" outlineLevel="0" collapsed="false">
      <c r="A58" s="11" t="str">
        <f aca="false">IF($B58="","",ROW()-2)</f>
        <v/>
      </c>
      <c r="B58" s="7"/>
      <c r="C58" s="11" t="str">
        <f aca="false">IF($B58="","",IFERROR(INDEX(거래처목록!$B$3:$B$302,MATCH($B58,거래처목록!$A$3:$A$302,0)),"미등록"))</f>
        <v/>
      </c>
      <c r="D58" s="7"/>
      <c r="E58" s="11" t="str">
        <f aca="false">IF($D58="","",IFERROR(INDEX(품목목록!$B$3:$B$202,MATCH($D58,품목목록!$A$3:$A$202,0)),"미등록"))</f>
        <v/>
      </c>
      <c r="F58" s="11" t="str">
        <f aca="false">IF($D58="","",IFERROR(INDEX(품목목록!$D$3:$D$202,MATCH($D58,품목목록!$A$3:$A$202,0)),""))</f>
        <v/>
      </c>
      <c r="G58" s="9"/>
      <c r="H58" s="12" t="str">
        <f aca="false">IF($D58="","",IFERROR(INDEX(품목목록!$E$3:$E$202,MATCH($D58,품목목록!$A$3:$A$202,0)),0))</f>
        <v/>
      </c>
      <c r="I58" s="8"/>
      <c r="J58" s="8"/>
      <c r="K58" s="13"/>
      <c r="L58" s="14"/>
      <c r="M58" s="8"/>
    </row>
    <row r="59" customFormat="false" ht="15" hidden="false" customHeight="true" outlineLevel="0" collapsed="false">
      <c r="A59" s="11" t="str">
        <f aca="false">IF($B59="","",ROW()-2)</f>
        <v/>
      </c>
      <c r="B59" s="7"/>
      <c r="C59" s="11" t="str">
        <f aca="false">IF($B59="","",IFERROR(INDEX(거래처목록!$B$3:$B$302,MATCH($B59,거래처목록!$A$3:$A$302,0)),"미등록"))</f>
        <v/>
      </c>
      <c r="D59" s="7"/>
      <c r="E59" s="11" t="str">
        <f aca="false">IF($D59="","",IFERROR(INDEX(품목목록!$B$3:$B$202,MATCH($D59,품목목록!$A$3:$A$202,0)),"미등록"))</f>
        <v/>
      </c>
      <c r="F59" s="11" t="str">
        <f aca="false">IF($D59="","",IFERROR(INDEX(품목목록!$D$3:$D$202,MATCH($D59,품목목록!$A$3:$A$202,0)),""))</f>
        <v/>
      </c>
      <c r="G59" s="9"/>
      <c r="H59" s="12" t="str">
        <f aca="false">IF($D59="","",IFERROR(INDEX(품목목록!$E$3:$E$202,MATCH($D59,품목목록!$A$3:$A$202,0)),0))</f>
        <v/>
      </c>
      <c r="I59" s="8"/>
      <c r="J59" s="8"/>
      <c r="K59" s="13"/>
      <c r="L59" s="14"/>
      <c r="M59" s="8"/>
    </row>
    <row r="60" customFormat="false" ht="15" hidden="false" customHeight="true" outlineLevel="0" collapsed="false">
      <c r="A60" s="11" t="str">
        <f aca="false">IF($B60="","",ROW()-2)</f>
        <v/>
      </c>
      <c r="B60" s="7"/>
      <c r="C60" s="11" t="str">
        <f aca="false">IF($B60="","",IFERROR(INDEX(거래처목록!$B$3:$B$302,MATCH($B60,거래처목록!$A$3:$A$302,0)),"미등록"))</f>
        <v/>
      </c>
      <c r="D60" s="7"/>
      <c r="E60" s="11" t="str">
        <f aca="false">IF($D60="","",IFERROR(INDEX(품목목록!$B$3:$B$202,MATCH($D60,품목목록!$A$3:$A$202,0)),"미등록"))</f>
        <v/>
      </c>
      <c r="F60" s="11" t="str">
        <f aca="false">IF($D60="","",IFERROR(INDEX(품목목록!$D$3:$D$202,MATCH($D60,품목목록!$A$3:$A$202,0)),""))</f>
        <v/>
      </c>
      <c r="G60" s="9"/>
      <c r="H60" s="12" t="str">
        <f aca="false">IF($D60="","",IFERROR(INDEX(품목목록!$E$3:$E$202,MATCH($D60,품목목록!$A$3:$A$202,0)),0))</f>
        <v/>
      </c>
      <c r="I60" s="8"/>
      <c r="J60" s="8"/>
      <c r="K60" s="13"/>
      <c r="L60" s="14"/>
      <c r="M60" s="8"/>
    </row>
    <row r="61" customFormat="false" ht="15" hidden="false" customHeight="true" outlineLevel="0" collapsed="false">
      <c r="A61" s="11" t="str">
        <f aca="false">IF($B61="","",ROW()-2)</f>
        <v/>
      </c>
      <c r="B61" s="7"/>
      <c r="C61" s="11" t="str">
        <f aca="false">IF($B61="","",IFERROR(INDEX(거래처목록!$B$3:$B$302,MATCH($B61,거래처목록!$A$3:$A$302,0)),"미등록"))</f>
        <v/>
      </c>
      <c r="D61" s="7"/>
      <c r="E61" s="11" t="str">
        <f aca="false">IF($D61="","",IFERROR(INDEX(품목목록!$B$3:$B$202,MATCH($D61,품목목록!$A$3:$A$202,0)),"미등록"))</f>
        <v/>
      </c>
      <c r="F61" s="11" t="str">
        <f aca="false">IF($D61="","",IFERROR(INDEX(품목목록!$D$3:$D$202,MATCH($D61,품목목록!$A$3:$A$202,0)),""))</f>
        <v/>
      </c>
      <c r="G61" s="9"/>
      <c r="H61" s="12" t="str">
        <f aca="false">IF($D61="","",IFERROR(INDEX(품목목록!$E$3:$E$202,MATCH($D61,품목목록!$A$3:$A$202,0)),0))</f>
        <v/>
      </c>
      <c r="I61" s="8"/>
      <c r="J61" s="8"/>
      <c r="K61" s="13"/>
      <c r="L61" s="14"/>
      <c r="M61" s="8"/>
    </row>
    <row r="62" customFormat="false" ht="15" hidden="false" customHeight="true" outlineLevel="0" collapsed="false">
      <c r="A62" s="11" t="str">
        <f aca="false">IF($B62="","",ROW()-2)</f>
        <v/>
      </c>
      <c r="B62" s="7"/>
      <c r="C62" s="11" t="str">
        <f aca="false">IF($B62="","",IFERROR(INDEX(거래처목록!$B$3:$B$302,MATCH($B62,거래처목록!$A$3:$A$302,0)),"미등록"))</f>
        <v/>
      </c>
      <c r="D62" s="7"/>
      <c r="E62" s="11" t="str">
        <f aca="false">IF($D62="","",IFERROR(INDEX(품목목록!$B$3:$B$202,MATCH($D62,품목목록!$A$3:$A$202,0)),"미등록"))</f>
        <v/>
      </c>
      <c r="F62" s="11" t="str">
        <f aca="false">IF($D62="","",IFERROR(INDEX(품목목록!$D$3:$D$202,MATCH($D62,품목목록!$A$3:$A$202,0)),""))</f>
        <v/>
      </c>
      <c r="G62" s="9"/>
      <c r="H62" s="12" t="str">
        <f aca="false">IF($D62="","",IFERROR(INDEX(품목목록!$E$3:$E$202,MATCH($D62,품목목록!$A$3:$A$202,0)),0))</f>
        <v/>
      </c>
      <c r="I62" s="8"/>
      <c r="J62" s="8"/>
      <c r="K62" s="13"/>
      <c r="L62" s="14"/>
      <c r="M62" s="8"/>
    </row>
    <row r="63" customFormat="false" ht="15" hidden="false" customHeight="true" outlineLevel="0" collapsed="false">
      <c r="A63" s="11" t="str">
        <f aca="false">IF($B63="","",ROW()-2)</f>
        <v/>
      </c>
      <c r="B63" s="7"/>
      <c r="C63" s="11" t="str">
        <f aca="false">IF($B63="","",IFERROR(INDEX(거래처목록!$B$3:$B$302,MATCH($B63,거래처목록!$A$3:$A$302,0)),"미등록"))</f>
        <v/>
      </c>
      <c r="D63" s="7"/>
      <c r="E63" s="11" t="str">
        <f aca="false">IF($D63="","",IFERROR(INDEX(품목목록!$B$3:$B$202,MATCH($D63,품목목록!$A$3:$A$202,0)),"미등록"))</f>
        <v/>
      </c>
      <c r="F63" s="11" t="str">
        <f aca="false">IF($D63="","",IFERROR(INDEX(품목목록!$D$3:$D$202,MATCH($D63,품목목록!$A$3:$A$202,0)),""))</f>
        <v/>
      </c>
      <c r="G63" s="9"/>
      <c r="H63" s="12" t="str">
        <f aca="false">IF($D63="","",IFERROR(INDEX(품목목록!$E$3:$E$202,MATCH($D63,품목목록!$A$3:$A$202,0)),0))</f>
        <v/>
      </c>
      <c r="I63" s="8"/>
      <c r="J63" s="8"/>
      <c r="K63" s="13"/>
      <c r="L63" s="14"/>
      <c r="M63" s="8"/>
    </row>
    <row r="64" customFormat="false" ht="15" hidden="false" customHeight="true" outlineLevel="0" collapsed="false">
      <c r="A64" s="11" t="str">
        <f aca="false">IF($B64="","",ROW()-2)</f>
        <v/>
      </c>
      <c r="B64" s="7"/>
      <c r="C64" s="11" t="str">
        <f aca="false">IF($B64="","",IFERROR(INDEX(거래처목록!$B$3:$B$302,MATCH($B64,거래처목록!$A$3:$A$302,0)),"미등록"))</f>
        <v/>
      </c>
      <c r="D64" s="7"/>
      <c r="E64" s="11" t="str">
        <f aca="false">IF($D64="","",IFERROR(INDEX(품목목록!$B$3:$B$202,MATCH($D64,품목목록!$A$3:$A$202,0)),"미등록"))</f>
        <v/>
      </c>
      <c r="F64" s="11" t="str">
        <f aca="false">IF($D64="","",IFERROR(INDEX(품목목록!$D$3:$D$202,MATCH($D64,품목목록!$A$3:$A$202,0)),""))</f>
        <v/>
      </c>
      <c r="G64" s="9"/>
      <c r="H64" s="12" t="str">
        <f aca="false">IF($D64="","",IFERROR(INDEX(품목목록!$E$3:$E$202,MATCH($D64,품목목록!$A$3:$A$202,0)),0))</f>
        <v/>
      </c>
      <c r="I64" s="8"/>
      <c r="J64" s="8"/>
      <c r="K64" s="13"/>
      <c r="L64" s="14"/>
      <c r="M64" s="8"/>
    </row>
    <row r="65" customFormat="false" ht="15" hidden="false" customHeight="true" outlineLevel="0" collapsed="false">
      <c r="A65" s="11" t="str">
        <f aca="false">IF($B65="","",ROW()-2)</f>
        <v/>
      </c>
      <c r="B65" s="7"/>
      <c r="C65" s="11" t="str">
        <f aca="false">IF($B65="","",IFERROR(INDEX(거래처목록!$B$3:$B$302,MATCH($B65,거래처목록!$A$3:$A$302,0)),"미등록"))</f>
        <v/>
      </c>
      <c r="D65" s="7"/>
      <c r="E65" s="11" t="str">
        <f aca="false">IF($D65="","",IFERROR(INDEX(품목목록!$B$3:$B$202,MATCH($D65,품목목록!$A$3:$A$202,0)),"미등록"))</f>
        <v/>
      </c>
      <c r="F65" s="11" t="str">
        <f aca="false">IF($D65="","",IFERROR(INDEX(품목목록!$D$3:$D$202,MATCH($D65,품목목록!$A$3:$A$202,0)),""))</f>
        <v/>
      </c>
      <c r="G65" s="9"/>
      <c r="H65" s="12" t="str">
        <f aca="false">IF($D65="","",IFERROR(INDEX(품목목록!$E$3:$E$202,MATCH($D65,품목목록!$A$3:$A$202,0)),0))</f>
        <v/>
      </c>
      <c r="I65" s="8"/>
      <c r="J65" s="8"/>
      <c r="K65" s="13"/>
      <c r="L65" s="14"/>
      <c r="M65" s="8"/>
    </row>
    <row r="66" customFormat="false" ht="15" hidden="false" customHeight="true" outlineLevel="0" collapsed="false">
      <c r="A66" s="11" t="str">
        <f aca="false">IF($B66="","",ROW()-2)</f>
        <v/>
      </c>
      <c r="B66" s="7"/>
      <c r="C66" s="11" t="str">
        <f aca="false">IF($B66="","",IFERROR(INDEX(거래처목록!$B$3:$B$302,MATCH($B66,거래처목록!$A$3:$A$302,0)),"미등록"))</f>
        <v/>
      </c>
      <c r="D66" s="7"/>
      <c r="E66" s="11" t="str">
        <f aca="false">IF($D66="","",IFERROR(INDEX(품목목록!$B$3:$B$202,MATCH($D66,품목목록!$A$3:$A$202,0)),"미등록"))</f>
        <v/>
      </c>
      <c r="F66" s="11" t="str">
        <f aca="false">IF($D66="","",IFERROR(INDEX(품목목록!$D$3:$D$202,MATCH($D66,품목목록!$A$3:$A$202,0)),""))</f>
        <v/>
      </c>
      <c r="G66" s="9"/>
      <c r="H66" s="12" t="str">
        <f aca="false">IF($D66="","",IFERROR(INDEX(품목목록!$E$3:$E$202,MATCH($D66,품목목록!$A$3:$A$202,0)),0))</f>
        <v/>
      </c>
      <c r="I66" s="8"/>
      <c r="J66" s="8"/>
      <c r="K66" s="13"/>
      <c r="L66" s="14"/>
      <c r="M66" s="8"/>
    </row>
    <row r="67" customFormat="false" ht="15" hidden="false" customHeight="true" outlineLevel="0" collapsed="false">
      <c r="A67" s="11" t="str">
        <f aca="false">IF($B67="","",ROW()-2)</f>
        <v/>
      </c>
      <c r="B67" s="7"/>
      <c r="C67" s="11" t="str">
        <f aca="false">IF($B67="","",IFERROR(INDEX(거래처목록!$B$3:$B$302,MATCH($B67,거래처목록!$A$3:$A$302,0)),"미등록"))</f>
        <v/>
      </c>
      <c r="D67" s="7"/>
      <c r="E67" s="11" t="str">
        <f aca="false">IF($D67="","",IFERROR(INDEX(품목목록!$B$3:$B$202,MATCH($D67,품목목록!$A$3:$A$202,0)),"미등록"))</f>
        <v/>
      </c>
      <c r="F67" s="11" t="str">
        <f aca="false">IF($D67="","",IFERROR(INDEX(품목목록!$D$3:$D$202,MATCH($D67,품목목록!$A$3:$A$202,0)),""))</f>
        <v/>
      </c>
      <c r="G67" s="9"/>
      <c r="H67" s="12" t="str">
        <f aca="false">IF($D67="","",IFERROR(INDEX(품목목록!$E$3:$E$202,MATCH($D67,품목목록!$A$3:$A$202,0)),0))</f>
        <v/>
      </c>
      <c r="I67" s="8"/>
      <c r="J67" s="8"/>
      <c r="K67" s="13"/>
      <c r="L67" s="14"/>
      <c r="M67" s="8"/>
    </row>
    <row r="68" customFormat="false" ht="15" hidden="false" customHeight="true" outlineLevel="0" collapsed="false">
      <c r="A68" s="11" t="str">
        <f aca="false">IF($B68="","",ROW()-2)</f>
        <v/>
      </c>
      <c r="B68" s="7"/>
      <c r="C68" s="11" t="str">
        <f aca="false">IF($B68="","",IFERROR(INDEX(거래처목록!$B$3:$B$302,MATCH($B68,거래처목록!$A$3:$A$302,0)),"미등록"))</f>
        <v/>
      </c>
      <c r="D68" s="7"/>
      <c r="E68" s="11" t="str">
        <f aca="false">IF($D68="","",IFERROR(INDEX(품목목록!$B$3:$B$202,MATCH($D68,품목목록!$A$3:$A$202,0)),"미등록"))</f>
        <v/>
      </c>
      <c r="F68" s="11" t="str">
        <f aca="false">IF($D68="","",IFERROR(INDEX(품목목록!$D$3:$D$202,MATCH($D68,품목목록!$A$3:$A$202,0)),""))</f>
        <v/>
      </c>
      <c r="G68" s="9"/>
      <c r="H68" s="12" t="str">
        <f aca="false">IF($D68="","",IFERROR(INDEX(품목목록!$E$3:$E$202,MATCH($D68,품목목록!$A$3:$A$202,0)),0))</f>
        <v/>
      </c>
      <c r="I68" s="8"/>
      <c r="J68" s="8"/>
      <c r="K68" s="13"/>
      <c r="L68" s="14"/>
      <c r="M68" s="8"/>
    </row>
    <row r="69" customFormat="false" ht="15" hidden="false" customHeight="true" outlineLevel="0" collapsed="false">
      <c r="A69" s="11" t="str">
        <f aca="false">IF($B69="","",ROW()-2)</f>
        <v/>
      </c>
      <c r="B69" s="7"/>
      <c r="C69" s="11" t="str">
        <f aca="false">IF($B69="","",IFERROR(INDEX(거래처목록!$B$3:$B$302,MATCH($B69,거래처목록!$A$3:$A$302,0)),"미등록"))</f>
        <v/>
      </c>
      <c r="D69" s="7"/>
      <c r="E69" s="11" t="str">
        <f aca="false">IF($D69="","",IFERROR(INDEX(품목목록!$B$3:$B$202,MATCH($D69,품목목록!$A$3:$A$202,0)),"미등록"))</f>
        <v/>
      </c>
      <c r="F69" s="11" t="str">
        <f aca="false">IF($D69="","",IFERROR(INDEX(품목목록!$D$3:$D$202,MATCH($D69,품목목록!$A$3:$A$202,0)),""))</f>
        <v/>
      </c>
      <c r="G69" s="9"/>
      <c r="H69" s="12" t="str">
        <f aca="false">IF($D69="","",IFERROR(INDEX(품목목록!$E$3:$E$202,MATCH($D69,품목목록!$A$3:$A$202,0)),0))</f>
        <v/>
      </c>
      <c r="I69" s="8"/>
      <c r="J69" s="8"/>
      <c r="K69" s="13"/>
      <c r="L69" s="14"/>
      <c r="M69" s="8"/>
    </row>
    <row r="70" customFormat="false" ht="15" hidden="false" customHeight="true" outlineLevel="0" collapsed="false">
      <c r="A70" s="11" t="str">
        <f aca="false">IF($B70="","",ROW()-2)</f>
        <v/>
      </c>
      <c r="B70" s="7"/>
      <c r="C70" s="11" t="str">
        <f aca="false">IF($B70="","",IFERROR(INDEX(거래처목록!$B$3:$B$302,MATCH($B70,거래처목록!$A$3:$A$302,0)),"미등록"))</f>
        <v/>
      </c>
      <c r="D70" s="7"/>
      <c r="E70" s="11" t="str">
        <f aca="false">IF($D70="","",IFERROR(INDEX(품목목록!$B$3:$B$202,MATCH($D70,품목목록!$A$3:$A$202,0)),"미등록"))</f>
        <v/>
      </c>
      <c r="F70" s="11" t="str">
        <f aca="false">IF($D70="","",IFERROR(INDEX(품목목록!$D$3:$D$202,MATCH($D70,품목목록!$A$3:$A$202,0)),""))</f>
        <v/>
      </c>
      <c r="G70" s="9"/>
      <c r="H70" s="12" t="str">
        <f aca="false">IF($D70="","",IFERROR(INDEX(품목목록!$E$3:$E$202,MATCH($D70,품목목록!$A$3:$A$202,0)),0))</f>
        <v/>
      </c>
      <c r="I70" s="8"/>
      <c r="J70" s="8"/>
      <c r="K70" s="13"/>
      <c r="L70" s="14"/>
      <c r="M70" s="8"/>
    </row>
    <row r="71" customFormat="false" ht="15" hidden="false" customHeight="true" outlineLevel="0" collapsed="false">
      <c r="A71" s="11" t="str">
        <f aca="false">IF($B71="","",ROW()-2)</f>
        <v/>
      </c>
      <c r="B71" s="7"/>
      <c r="C71" s="11" t="str">
        <f aca="false">IF($B71="","",IFERROR(INDEX(거래처목록!$B$3:$B$302,MATCH($B71,거래처목록!$A$3:$A$302,0)),"미등록"))</f>
        <v/>
      </c>
      <c r="D71" s="7"/>
      <c r="E71" s="11" t="str">
        <f aca="false">IF($D71="","",IFERROR(INDEX(품목목록!$B$3:$B$202,MATCH($D71,품목목록!$A$3:$A$202,0)),"미등록"))</f>
        <v/>
      </c>
      <c r="F71" s="11" t="str">
        <f aca="false">IF($D71="","",IFERROR(INDEX(품목목록!$D$3:$D$202,MATCH($D71,품목목록!$A$3:$A$202,0)),""))</f>
        <v/>
      </c>
      <c r="G71" s="9"/>
      <c r="H71" s="12" t="str">
        <f aca="false">IF($D71="","",IFERROR(INDEX(품목목록!$E$3:$E$202,MATCH($D71,품목목록!$A$3:$A$202,0)),0))</f>
        <v/>
      </c>
      <c r="I71" s="8"/>
      <c r="J71" s="8"/>
      <c r="K71" s="13"/>
      <c r="L71" s="14"/>
      <c r="M71" s="8"/>
    </row>
    <row r="72" customFormat="false" ht="15" hidden="false" customHeight="true" outlineLevel="0" collapsed="false">
      <c r="A72" s="11" t="str">
        <f aca="false">IF($B72="","",ROW()-2)</f>
        <v/>
      </c>
      <c r="B72" s="7"/>
      <c r="C72" s="11" t="str">
        <f aca="false">IF($B72="","",IFERROR(INDEX(거래처목록!$B$3:$B$302,MATCH($B72,거래처목록!$A$3:$A$302,0)),"미등록"))</f>
        <v/>
      </c>
      <c r="D72" s="7"/>
      <c r="E72" s="11" t="str">
        <f aca="false">IF($D72="","",IFERROR(INDEX(품목목록!$B$3:$B$202,MATCH($D72,품목목록!$A$3:$A$202,0)),"미등록"))</f>
        <v/>
      </c>
      <c r="F72" s="11" t="str">
        <f aca="false">IF($D72="","",IFERROR(INDEX(품목목록!$D$3:$D$202,MATCH($D72,품목목록!$A$3:$A$202,0)),""))</f>
        <v/>
      </c>
      <c r="G72" s="9"/>
      <c r="H72" s="12" t="str">
        <f aca="false">IF($D72="","",IFERROR(INDEX(품목목록!$E$3:$E$202,MATCH($D72,품목목록!$A$3:$A$202,0)),0))</f>
        <v/>
      </c>
      <c r="I72" s="8"/>
      <c r="J72" s="8"/>
      <c r="K72" s="13"/>
      <c r="L72" s="14"/>
      <c r="M72" s="8"/>
    </row>
    <row r="73" customFormat="false" ht="15" hidden="false" customHeight="true" outlineLevel="0" collapsed="false">
      <c r="A73" s="11" t="str">
        <f aca="false">IF($B73="","",ROW()-2)</f>
        <v/>
      </c>
      <c r="B73" s="7"/>
      <c r="C73" s="11" t="str">
        <f aca="false">IF($B73="","",IFERROR(INDEX(거래처목록!$B$3:$B$302,MATCH($B73,거래처목록!$A$3:$A$302,0)),"미등록"))</f>
        <v/>
      </c>
      <c r="D73" s="7"/>
      <c r="E73" s="11" t="str">
        <f aca="false">IF($D73="","",IFERROR(INDEX(품목목록!$B$3:$B$202,MATCH($D73,품목목록!$A$3:$A$202,0)),"미등록"))</f>
        <v/>
      </c>
      <c r="F73" s="11" t="str">
        <f aca="false">IF($D73="","",IFERROR(INDEX(품목목록!$D$3:$D$202,MATCH($D73,품목목록!$A$3:$A$202,0)),""))</f>
        <v/>
      </c>
      <c r="G73" s="9"/>
      <c r="H73" s="12" t="str">
        <f aca="false">IF($D73="","",IFERROR(INDEX(품목목록!$E$3:$E$202,MATCH($D73,품목목록!$A$3:$A$202,0)),0))</f>
        <v/>
      </c>
      <c r="I73" s="8"/>
      <c r="J73" s="8"/>
      <c r="K73" s="13"/>
      <c r="L73" s="14"/>
      <c r="M73" s="8"/>
    </row>
    <row r="74" customFormat="false" ht="15" hidden="false" customHeight="true" outlineLevel="0" collapsed="false">
      <c r="A74" s="11" t="str">
        <f aca="false">IF($B74="","",ROW()-2)</f>
        <v/>
      </c>
      <c r="B74" s="7"/>
      <c r="C74" s="11" t="str">
        <f aca="false">IF($B74="","",IFERROR(INDEX(거래처목록!$B$3:$B$302,MATCH($B74,거래처목록!$A$3:$A$302,0)),"미등록"))</f>
        <v/>
      </c>
      <c r="D74" s="7"/>
      <c r="E74" s="11" t="str">
        <f aca="false">IF($D74="","",IFERROR(INDEX(품목목록!$B$3:$B$202,MATCH($D74,품목목록!$A$3:$A$202,0)),"미등록"))</f>
        <v/>
      </c>
      <c r="F74" s="11" t="str">
        <f aca="false">IF($D74="","",IFERROR(INDEX(품목목록!$D$3:$D$202,MATCH($D74,품목목록!$A$3:$A$202,0)),""))</f>
        <v/>
      </c>
      <c r="G74" s="9"/>
      <c r="H74" s="12" t="str">
        <f aca="false">IF($D74="","",IFERROR(INDEX(품목목록!$E$3:$E$202,MATCH($D74,품목목록!$A$3:$A$202,0)),0))</f>
        <v/>
      </c>
      <c r="I74" s="8"/>
      <c r="J74" s="8"/>
      <c r="K74" s="13"/>
      <c r="L74" s="14"/>
      <c r="M74" s="8"/>
    </row>
    <row r="75" customFormat="false" ht="15" hidden="false" customHeight="true" outlineLevel="0" collapsed="false">
      <c r="A75" s="11" t="str">
        <f aca="false">IF($B75="","",ROW()-2)</f>
        <v/>
      </c>
      <c r="B75" s="7"/>
      <c r="C75" s="11" t="str">
        <f aca="false">IF($B75="","",IFERROR(INDEX(거래처목록!$B$3:$B$302,MATCH($B75,거래처목록!$A$3:$A$302,0)),"미등록"))</f>
        <v/>
      </c>
      <c r="D75" s="7"/>
      <c r="E75" s="11" t="str">
        <f aca="false">IF($D75="","",IFERROR(INDEX(품목목록!$B$3:$B$202,MATCH($D75,품목목록!$A$3:$A$202,0)),"미등록"))</f>
        <v/>
      </c>
      <c r="F75" s="11" t="str">
        <f aca="false">IF($D75="","",IFERROR(INDEX(품목목록!$D$3:$D$202,MATCH($D75,품목목록!$A$3:$A$202,0)),""))</f>
        <v/>
      </c>
      <c r="G75" s="9"/>
      <c r="H75" s="12" t="str">
        <f aca="false">IF($D75="","",IFERROR(INDEX(품목목록!$E$3:$E$202,MATCH($D75,품목목록!$A$3:$A$202,0)),0))</f>
        <v/>
      </c>
      <c r="I75" s="8"/>
      <c r="J75" s="8"/>
      <c r="K75" s="13"/>
      <c r="L75" s="14"/>
      <c r="M75" s="8"/>
    </row>
    <row r="76" customFormat="false" ht="15" hidden="false" customHeight="true" outlineLevel="0" collapsed="false">
      <c r="A76" s="11" t="str">
        <f aca="false">IF($B76="","",ROW()-2)</f>
        <v/>
      </c>
      <c r="B76" s="7"/>
      <c r="C76" s="11" t="str">
        <f aca="false">IF($B76="","",IFERROR(INDEX(거래처목록!$B$3:$B$302,MATCH($B76,거래처목록!$A$3:$A$302,0)),"미등록"))</f>
        <v/>
      </c>
      <c r="D76" s="7"/>
      <c r="E76" s="11" t="str">
        <f aca="false">IF($D76="","",IFERROR(INDEX(품목목록!$B$3:$B$202,MATCH($D76,품목목록!$A$3:$A$202,0)),"미등록"))</f>
        <v/>
      </c>
      <c r="F76" s="11" t="str">
        <f aca="false">IF($D76="","",IFERROR(INDEX(품목목록!$D$3:$D$202,MATCH($D76,품목목록!$A$3:$A$202,0)),""))</f>
        <v/>
      </c>
      <c r="G76" s="9"/>
      <c r="H76" s="12" t="str">
        <f aca="false">IF($D76="","",IFERROR(INDEX(품목목록!$E$3:$E$202,MATCH($D76,품목목록!$A$3:$A$202,0)),0))</f>
        <v/>
      </c>
      <c r="I76" s="8"/>
      <c r="J76" s="8"/>
      <c r="K76" s="13"/>
      <c r="L76" s="14"/>
      <c r="M76" s="8"/>
    </row>
    <row r="77" customFormat="false" ht="15" hidden="false" customHeight="true" outlineLevel="0" collapsed="false">
      <c r="A77" s="11" t="str">
        <f aca="false">IF($B77="","",ROW()-2)</f>
        <v/>
      </c>
      <c r="B77" s="7"/>
      <c r="C77" s="11" t="str">
        <f aca="false">IF($B77="","",IFERROR(INDEX(거래처목록!$B$3:$B$302,MATCH($B77,거래처목록!$A$3:$A$302,0)),"미등록"))</f>
        <v/>
      </c>
      <c r="D77" s="7"/>
      <c r="E77" s="11" t="str">
        <f aca="false">IF($D77="","",IFERROR(INDEX(품목목록!$B$3:$B$202,MATCH($D77,품목목록!$A$3:$A$202,0)),"미등록"))</f>
        <v/>
      </c>
      <c r="F77" s="11" t="str">
        <f aca="false">IF($D77="","",IFERROR(INDEX(품목목록!$D$3:$D$202,MATCH($D77,품목목록!$A$3:$A$202,0)),""))</f>
        <v/>
      </c>
      <c r="G77" s="9"/>
      <c r="H77" s="12" t="str">
        <f aca="false">IF($D77="","",IFERROR(INDEX(품목목록!$E$3:$E$202,MATCH($D77,품목목록!$A$3:$A$202,0)),0))</f>
        <v/>
      </c>
      <c r="I77" s="8"/>
      <c r="J77" s="8"/>
      <c r="K77" s="13"/>
      <c r="L77" s="14"/>
      <c r="M77" s="8"/>
    </row>
    <row r="78" customFormat="false" ht="15" hidden="false" customHeight="true" outlineLevel="0" collapsed="false">
      <c r="A78" s="11" t="str">
        <f aca="false">IF($B78="","",ROW()-2)</f>
        <v/>
      </c>
      <c r="B78" s="7"/>
      <c r="C78" s="11" t="str">
        <f aca="false">IF($B78="","",IFERROR(INDEX(거래처목록!$B$3:$B$302,MATCH($B78,거래처목록!$A$3:$A$302,0)),"미등록"))</f>
        <v/>
      </c>
      <c r="D78" s="7"/>
      <c r="E78" s="11" t="str">
        <f aca="false">IF($D78="","",IFERROR(INDEX(품목목록!$B$3:$B$202,MATCH($D78,품목목록!$A$3:$A$202,0)),"미등록"))</f>
        <v/>
      </c>
      <c r="F78" s="11" t="str">
        <f aca="false">IF($D78="","",IFERROR(INDEX(품목목록!$D$3:$D$202,MATCH($D78,품목목록!$A$3:$A$202,0)),""))</f>
        <v/>
      </c>
      <c r="G78" s="9"/>
      <c r="H78" s="12" t="str">
        <f aca="false">IF($D78="","",IFERROR(INDEX(품목목록!$E$3:$E$202,MATCH($D78,품목목록!$A$3:$A$202,0)),0))</f>
        <v/>
      </c>
      <c r="I78" s="8"/>
      <c r="J78" s="8"/>
      <c r="K78" s="13"/>
      <c r="L78" s="14"/>
      <c r="M78" s="8"/>
    </row>
    <row r="79" customFormat="false" ht="15" hidden="false" customHeight="true" outlineLevel="0" collapsed="false">
      <c r="A79" s="11" t="str">
        <f aca="false">IF($B79="","",ROW()-2)</f>
        <v/>
      </c>
      <c r="B79" s="7"/>
      <c r="C79" s="11" t="str">
        <f aca="false">IF($B79="","",IFERROR(INDEX(거래처목록!$B$3:$B$302,MATCH($B79,거래처목록!$A$3:$A$302,0)),"미등록"))</f>
        <v/>
      </c>
      <c r="D79" s="7"/>
      <c r="E79" s="11" t="str">
        <f aca="false">IF($D79="","",IFERROR(INDEX(품목목록!$B$3:$B$202,MATCH($D79,품목목록!$A$3:$A$202,0)),"미등록"))</f>
        <v/>
      </c>
      <c r="F79" s="11" t="str">
        <f aca="false">IF($D79="","",IFERROR(INDEX(품목목록!$D$3:$D$202,MATCH($D79,품목목록!$A$3:$A$202,0)),""))</f>
        <v/>
      </c>
      <c r="G79" s="9"/>
      <c r="H79" s="12" t="str">
        <f aca="false">IF($D79="","",IFERROR(INDEX(품목목록!$E$3:$E$202,MATCH($D79,품목목록!$A$3:$A$202,0)),0))</f>
        <v/>
      </c>
      <c r="I79" s="8"/>
      <c r="J79" s="8"/>
      <c r="K79" s="13"/>
      <c r="L79" s="14"/>
      <c r="M79" s="8"/>
    </row>
    <row r="80" customFormat="false" ht="15" hidden="false" customHeight="true" outlineLevel="0" collapsed="false">
      <c r="A80" s="11" t="str">
        <f aca="false">IF($B80="","",ROW()-2)</f>
        <v/>
      </c>
      <c r="B80" s="7"/>
      <c r="C80" s="11" t="str">
        <f aca="false">IF($B80="","",IFERROR(INDEX(거래처목록!$B$3:$B$302,MATCH($B80,거래처목록!$A$3:$A$302,0)),"미등록"))</f>
        <v/>
      </c>
      <c r="D80" s="7"/>
      <c r="E80" s="11" t="str">
        <f aca="false">IF($D80="","",IFERROR(INDEX(품목목록!$B$3:$B$202,MATCH($D80,품목목록!$A$3:$A$202,0)),"미등록"))</f>
        <v/>
      </c>
      <c r="F80" s="11" t="str">
        <f aca="false">IF($D80="","",IFERROR(INDEX(품목목록!$D$3:$D$202,MATCH($D80,품목목록!$A$3:$A$202,0)),""))</f>
        <v/>
      </c>
      <c r="G80" s="9"/>
      <c r="H80" s="12" t="str">
        <f aca="false">IF($D80="","",IFERROR(INDEX(품목목록!$E$3:$E$202,MATCH($D80,품목목록!$A$3:$A$202,0)),0))</f>
        <v/>
      </c>
      <c r="I80" s="8"/>
      <c r="J80" s="8"/>
      <c r="K80" s="13"/>
      <c r="L80" s="14"/>
      <c r="M80" s="8"/>
    </row>
    <row r="81" customFormat="false" ht="15" hidden="false" customHeight="true" outlineLevel="0" collapsed="false">
      <c r="A81" s="11" t="str">
        <f aca="false">IF($B81="","",ROW()-2)</f>
        <v/>
      </c>
      <c r="B81" s="7"/>
      <c r="C81" s="11" t="str">
        <f aca="false">IF($B81="","",IFERROR(INDEX(거래처목록!$B$3:$B$302,MATCH($B81,거래처목록!$A$3:$A$302,0)),"미등록"))</f>
        <v/>
      </c>
      <c r="D81" s="7"/>
      <c r="E81" s="11" t="str">
        <f aca="false">IF($D81="","",IFERROR(INDEX(품목목록!$B$3:$B$202,MATCH($D81,품목목록!$A$3:$A$202,0)),"미등록"))</f>
        <v/>
      </c>
      <c r="F81" s="11" t="str">
        <f aca="false">IF($D81="","",IFERROR(INDEX(품목목록!$D$3:$D$202,MATCH($D81,품목목록!$A$3:$A$202,0)),""))</f>
        <v/>
      </c>
      <c r="G81" s="9"/>
      <c r="H81" s="12" t="str">
        <f aca="false">IF($D81="","",IFERROR(INDEX(품목목록!$E$3:$E$202,MATCH($D81,품목목록!$A$3:$A$202,0)),0))</f>
        <v/>
      </c>
      <c r="I81" s="8"/>
      <c r="J81" s="8"/>
      <c r="K81" s="13"/>
      <c r="L81" s="14"/>
      <c r="M81" s="8"/>
    </row>
    <row r="82" customFormat="false" ht="15" hidden="false" customHeight="true" outlineLevel="0" collapsed="false">
      <c r="A82" s="11" t="str">
        <f aca="false">IF($B82="","",ROW()-2)</f>
        <v/>
      </c>
      <c r="B82" s="7"/>
      <c r="C82" s="11" t="str">
        <f aca="false">IF($B82="","",IFERROR(INDEX(거래처목록!$B$3:$B$302,MATCH($B82,거래처목록!$A$3:$A$302,0)),"미등록"))</f>
        <v/>
      </c>
      <c r="D82" s="7"/>
      <c r="E82" s="11" t="str">
        <f aca="false">IF($D82="","",IFERROR(INDEX(품목목록!$B$3:$B$202,MATCH($D82,품목목록!$A$3:$A$202,0)),"미등록"))</f>
        <v/>
      </c>
      <c r="F82" s="11" t="str">
        <f aca="false">IF($D82="","",IFERROR(INDEX(품목목록!$D$3:$D$202,MATCH($D82,품목목록!$A$3:$A$202,0)),""))</f>
        <v/>
      </c>
      <c r="G82" s="9"/>
      <c r="H82" s="12" t="str">
        <f aca="false">IF($D82="","",IFERROR(INDEX(품목목록!$E$3:$E$202,MATCH($D82,품목목록!$A$3:$A$202,0)),0))</f>
        <v/>
      </c>
      <c r="I82" s="8"/>
      <c r="J82" s="8"/>
      <c r="K82" s="13"/>
      <c r="L82" s="14"/>
      <c r="M82" s="8"/>
    </row>
    <row r="83" customFormat="false" ht="15" hidden="false" customHeight="true" outlineLevel="0" collapsed="false">
      <c r="A83" s="11" t="str">
        <f aca="false">IF($B83="","",ROW()-2)</f>
        <v/>
      </c>
      <c r="B83" s="7"/>
      <c r="C83" s="11" t="str">
        <f aca="false">IF($B83="","",IFERROR(INDEX(거래처목록!$B$3:$B$302,MATCH($B83,거래처목록!$A$3:$A$302,0)),"미등록"))</f>
        <v/>
      </c>
      <c r="D83" s="7"/>
      <c r="E83" s="11" t="str">
        <f aca="false">IF($D83="","",IFERROR(INDEX(품목목록!$B$3:$B$202,MATCH($D83,품목목록!$A$3:$A$202,0)),"미등록"))</f>
        <v/>
      </c>
      <c r="F83" s="11" t="str">
        <f aca="false">IF($D83="","",IFERROR(INDEX(품목목록!$D$3:$D$202,MATCH($D83,품목목록!$A$3:$A$202,0)),""))</f>
        <v/>
      </c>
      <c r="G83" s="9"/>
      <c r="H83" s="12" t="str">
        <f aca="false">IF($D83="","",IFERROR(INDEX(품목목록!$E$3:$E$202,MATCH($D83,품목목록!$A$3:$A$202,0)),0))</f>
        <v/>
      </c>
      <c r="I83" s="8"/>
      <c r="J83" s="8"/>
      <c r="K83" s="13"/>
      <c r="L83" s="14"/>
      <c r="M83" s="8"/>
    </row>
    <row r="84" customFormat="false" ht="15" hidden="false" customHeight="true" outlineLevel="0" collapsed="false">
      <c r="A84" s="11" t="str">
        <f aca="false">IF($B84="","",ROW()-2)</f>
        <v/>
      </c>
      <c r="B84" s="7"/>
      <c r="C84" s="11" t="str">
        <f aca="false">IF($B84="","",IFERROR(INDEX(거래처목록!$B$3:$B$302,MATCH($B84,거래처목록!$A$3:$A$302,0)),"미등록"))</f>
        <v/>
      </c>
      <c r="D84" s="7"/>
      <c r="E84" s="11" t="str">
        <f aca="false">IF($D84="","",IFERROR(INDEX(품목목록!$B$3:$B$202,MATCH($D84,품목목록!$A$3:$A$202,0)),"미등록"))</f>
        <v/>
      </c>
      <c r="F84" s="11" t="str">
        <f aca="false">IF($D84="","",IFERROR(INDEX(품목목록!$D$3:$D$202,MATCH($D84,품목목록!$A$3:$A$202,0)),""))</f>
        <v/>
      </c>
      <c r="G84" s="9"/>
      <c r="H84" s="12" t="str">
        <f aca="false">IF($D84="","",IFERROR(INDEX(품목목록!$E$3:$E$202,MATCH($D84,품목목록!$A$3:$A$202,0)),0))</f>
        <v/>
      </c>
      <c r="I84" s="8"/>
      <c r="J84" s="8"/>
      <c r="K84" s="13"/>
      <c r="L84" s="14"/>
      <c r="M84" s="8"/>
    </row>
    <row r="85" customFormat="false" ht="15" hidden="false" customHeight="true" outlineLevel="0" collapsed="false">
      <c r="A85" s="11" t="str">
        <f aca="false">IF($B85="","",ROW()-2)</f>
        <v/>
      </c>
      <c r="B85" s="7"/>
      <c r="C85" s="11" t="str">
        <f aca="false">IF($B85="","",IFERROR(INDEX(거래처목록!$B$3:$B$302,MATCH($B85,거래처목록!$A$3:$A$302,0)),"미등록"))</f>
        <v/>
      </c>
      <c r="D85" s="7"/>
      <c r="E85" s="11" t="str">
        <f aca="false">IF($D85="","",IFERROR(INDEX(품목목록!$B$3:$B$202,MATCH($D85,품목목록!$A$3:$A$202,0)),"미등록"))</f>
        <v/>
      </c>
      <c r="F85" s="11" t="str">
        <f aca="false">IF($D85="","",IFERROR(INDEX(품목목록!$D$3:$D$202,MATCH($D85,품목목록!$A$3:$A$202,0)),""))</f>
        <v/>
      </c>
      <c r="G85" s="9"/>
      <c r="H85" s="12" t="str">
        <f aca="false">IF($D85="","",IFERROR(INDEX(품목목록!$E$3:$E$202,MATCH($D85,품목목록!$A$3:$A$202,0)),0))</f>
        <v/>
      </c>
      <c r="I85" s="8"/>
      <c r="J85" s="8"/>
      <c r="K85" s="13"/>
      <c r="L85" s="14"/>
      <c r="M85" s="8"/>
    </row>
    <row r="86" customFormat="false" ht="15" hidden="false" customHeight="true" outlineLevel="0" collapsed="false">
      <c r="A86" s="11" t="str">
        <f aca="false">IF($B86="","",ROW()-2)</f>
        <v/>
      </c>
      <c r="B86" s="7"/>
      <c r="C86" s="11" t="str">
        <f aca="false">IF($B86="","",IFERROR(INDEX(거래처목록!$B$3:$B$302,MATCH($B86,거래처목록!$A$3:$A$302,0)),"미등록"))</f>
        <v/>
      </c>
      <c r="D86" s="7"/>
      <c r="E86" s="11" t="str">
        <f aca="false">IF($D86="","",IFERROR(INDEX(품목목록!$B$3:$B$202,MATCH($D86,품목목록!$A$3:$A$202,0)),"미등록"))</f>
        <v/>
      </c>
      <c r="F86" s="11" t="str">
        <f aca="false">IF($D86="","",IFERROR(INDEX(품목목록!$D$3:$D$202,MATCH($D86,품목목록!$A$3:$A$202,0)),""))</f>
        <v/>
      </c>
      <c r="G86" s="9"/>
      <c r="H86" s="12" t="str">
        <f aca="false">IF($D86="","",IFERROR(INDEX(품목목록!$E$3:$E$202,MATCH($D86,품목목록!$A$3:$A$202,0)),0))</f>
        <v/>
      </c>
      <c r="I86" s="8"/>
      <c r="J86" s="8"/>
      <c r="K86" s="13"/>
      <c r="L86" s="14"/>
      <c r="M86" s="8"/>
    </row>
    <row r="87" customFormat="false" ht="15" hidden="false" customHeight="true" outlineLevel="0" collapsed="false">
      <c r="A87" s="11" t="str">
        <f aca="false">IF($B87="","",ROW()-2)</f>
        <v/>
      </c>
      <c r="B87" s="7"/>
      <c r="C87" s="11" t="str">
        <f aca="false">IF($B87="","",IFERROR(INDEX(거래처목록!$B$3:$B$302,MATCH($B87,거래처목록!$A$3:$A$302,0)),"미등록"))</f>
        <v/>
      </c>
      <c r="D87" s="7"/>
      <c r="E87" s="11" t="str">
        <f aca="false">IF($D87="","",IFERROR(INDEX(품목목록!$B$3:$B$202,MATCH($D87,품목목록!$A$3:$A$202,0)),"미등록"))</f>
        <v/>
      </c>
      <c r="F87" s="11" t="str">
        <f aca="false">IF($D87="","",IFERROR(INDEX(품목목록!$D$3:$D$202,MATCH($D87,품목목록!$A$3:$A$202,0)),""))</f>
        <v/>
      </c>
      <c r="G87" s="9"/>
      <c r="H87" s="12" t="str">
        <f aca="false">IF($D87="","",IFERROR(INDEX(품목목록!$E$3:$E$202,MATCH($D87,품목목록!$A$3:$A$202,0)),0))</f>
        <v/>
      </c>
      <c r="I87" s="8"/>
      <c r="J87" s="8"/>
      <c r="K87" s="13"/>
      <c r="L87" s="14"/>
      <c r="M87" s="8"/>
    </row>
    <row r="88" customFormat="false" ht="15" hidden="false" customHeight="true" outlineLevel="0" collapsed="false">
      <c r="A88" s="11" t="str">
        <f aca="false">IF($B88="","",ROW()-2)</f>
        <v/>
      </c>
      <c r="B88" s="7"/>
      <c r="C88" s="11" t="str">
        <f aca="false">IF($B88="","",IFERROR(INDEX(거래처목록!$B$3:$B$302,MATCH($B88,거래처목록!$A$3:$A$302,0)),"미등록"))</f>
        <v/>
      </c>
      <c r="D88" s="7"/>
      <c r="E88" s="11" t="str">
        <f aca="false">IF($D88="","",IFERROR(INDEX(품목목록!$B$3:$B$202,MATCH($D88,품목목록!$A$3:$A$202,0)),"미등록"))</f>
        <v/>
      </c>
      <c r="F88" s="11" t="str">
        <f aca="false">IF($D88="","",IFERROR(INDEX(품목목록!$D$3:$D$202,MATCH($D88,품목목록!$A$3:$A$202,0)),""))</f>
        <v/>
      </c>
      <c r="G88" s="9"/>
      <c r="H88" s="12" t="str">
        <f aca="false">IF($D88="","",IFERROR(INDEX(품목목록!$E$3:$E$202,MATCH($D88,품목목록!$A$3:$A$202,0)),0))</f>
        <v/>
      </c>
      <c r="I88" s="8"/>
      <c r="J88" s="8"/>
      <c r="K88" s="13"/>
      <c r="L88" s="14"/>
      <c r="M88" s="8"/>
    </row>
    <row r="89" customFormat="false" ht="15" hidden="false" customHeight="true" outlineLevel="0" collapsed="false">
      <c r="A89" s="11" t="str">
        <f aca="false">IF($B89="","",ROW()-2)</f>
        <v/>
      </c>
      <c r="B89" s="7"/>
      <c r="C89" s="11" t="str">
        <f aca="false">IF($B89="","",IFERROR(INDEX(거래처목록!$B$3:$B$302,MATCH($B89,거래처목록!$A$3:$A$302,0)),"미등록"))</f>
        <v/>
      </c>
      <c r="D89" s="7"/>
      <c r="E89" s="11" t="str">
        <f aca="false">IF($D89="","",IFERROR(INDEX(품목목록!$B$3:$B$202,MATCH($D89,품목목록!$A$3:$A$202,0)),"미등록"))</f>
        <v/>
      </c>
      <c r="F89" s="11" t="str">
        <f aca="false">IF($D89="","",IFERROR(INDEX(품목목록!$D$3:$D$202,MATCH($D89,품목목록!$A$3:$A$202,0)),""))</f>
        <v/>
      </c>
      <c r="G89" s="9"/>
      <c r="H89" s="12" t="str">
        <f aca="false">IF($D89="","",IFERROR(INDEX(품목목록!$E$3:$E$202,MATCH($D89,품목목록!$A$3:$A$202,0)),0))</f>
        <v/>
      </c>
      <c r="I89" s="8"/>
      <c r="J89" s="8"/>
      <c r="K89" s="13"/>
      <c r="L89" s="14"/>
      <c r="M89" s="8"/>
    </row>
    <row r="90" customFormat="false" ht="15" hidden="false" customHeight="true" outlineLevel="0" collapsed="false">
      <c r="A90" s="11" t="str">
        <f aca="false">IF($B90="","",ROW()-2)</f>
        <v/>
      </c>
      <c r="B90" s="7"/>
      <c r="C90" s="11" t="str">
        <f aca="false">IF($B90="","",IFERROR(INDEX(거래처목록!$B$3:$B$302,MATCH($B90,거래처목록!$A$3:$A$302,0)),"미등록"))</f>
        <v/>
      </c>
      <c r="D90" s="7"/>
      <c r="E90" s="11" t="str">
        <f aca="false">IF($D90="","",IFERROR(INDEX(품목목록!$B$3:$B$202,MATCH($D90,품목목록!$A$3:$A$202,0)),"미등록"))</f>
        <v/>
      </c>
      <c r="F90" s="11" t="str">
        <f aca="false">IF($D90="","",IFERROR(INDEX(품목목록!$D$3:$D$202,MATCH($D90,품목목록!$A$3:$A$202,0)),""))</f>
        <v/>
      </c>
      <c r="G90" s="9"/>
      <c r="H90" s="12" t="str">
        <f aca="false">IF($D90="","",IFERROR(INDEX(품목목록!$E$3:$E$202,MATCH($D90,품목목록!$A$3:$A$202,0)),0))</f>
        <v/>
      </c>
      <c r="I90" s="8"/>
      <c r="J90" s="8"/>
      <c r="K90" s="13"/>
      <c r="L90" s="14"/>
      <c r="M90" s="8"/>
    </row>
    <row r="91" customFormat="false" ht="15" hidden="false" customHeight="true" outlineLevel="0" collapsed="false">
      <c r="A91" s="11" t="str">
        <f aca="false">IF($B91="","",ROW()-2)</f>
        <v/>
      </c>
      <c r="B91" s="7"/>
      <c r="C91" s="11" t="str">
        <f aca="false">IF($B91="","",IFERROR(INDEX(거래처목록!$B$3:$B$302,MATCH($B91,거래처목록!$A$3:$A$302,0)),"미등록"))</f>
        <v/>
      </c>
      <c r="D91" s="7"/>
      <c r="E91" s="11" t="str">
        <f aca="false">IF($D91="","",IFERROR(INDEX(품목목록!$B$3:$B$202,MATCH($D91,품목목록!$A$3:$A$202,0)),"미등록"))</f>
        <v/>
      </c>
      <c r="F91" s="11" t="str">
        <f aca="false">IF($D91="","",IFERROR(INDEX(품목목록!$D$3:$D$202,MATCH($D91,품목목록!$A$3:$A$202,0)),""))</f>
        <v/>
      </c>
      <c r="G91" s="9"/>
      <c r="H91" s="12" t="str">
        <f aca="false">IF($D91="","",IFERROR(INDEX(품목목록!$E$3:$E$202,MATCH($D91,품목목록!$A$3:$A$202,0)),0))</f>
        <v/>
      </c>
      <c r="I91" s="8"/>
      <c r="J91" s="8"/>
      <c r="K91" s="13"/>
      <c r="L91" s="14"/>
      <c r="M91" s="8"/>
    </row>
    <row r="92" customFormat="false" ht="15" hidden="false" customHeight="true" outlineLevel="0" collapsed="false">
      <c r="A92" s="11" t="str">
        <f aca="false">IF($B92="","",ROW()-2)</f>
        <v/>
      </c>
      <c r="B92" s="7"/>
      <c r="C92" s="11" t="str">
        <f aca="false">IF($B92="","",IFERROR(INDEX(거래처목록!$B$3:$B$302,MATCH($B92,거래처목록!$A$3:$A$302,0)),"미등록"))</f>
        <v/>
      </c>
      <c r="D92" s="7"/>
      <c r="E92" s="11" t="str">
        <f aca="false">IF($D92="","",IFERROR(INDEX(품목목록!$B$3:$B$202,MATCH($D92,품목목록!$A$3:$A$202,0)),"미등록"))</f>
        <v/>
      </c>
      <c r="F92" s="11" t="str">
        <f aca="false">IF($D92="","",IFERROR(INDEX(품목목록!$D$3:$D$202,MATCH($D92,품목목록!$A$3:$A$202,0)),""))</f>
        <v/>
      </c>
      <c r="G92" s="9"/>
      <c r="H92" s="12" t="str">
        <f aca="false">IF($D92="","",IFERROR(INDEX(품목목록!$E$3:$E$202,MATCH($D92,품목목록!$A$3:$A$202,0)),0))</f>
        <v/>
      </c>
      <c r="I92" s="8"/>
      <c r="J92" s="8"/>
      <c r="K92" s="13"/>
      <c r="L92" s="14"/>
      <c r="M92" s="8"/>
    </row>
    <row r="93" customFormat="false" ht="15" hidden="false" customHeight="true" outlineLevel="0" collapsed="false">
      <c r="A93" s="11" t="str">
        <f aca="false">IF($B93="","",ROW()-2)</f>
        <v/>
      </c>
      <c r="B93" s="7"/>
      <c r="C93" s="11" t="str">
        <f aca="false">IF($B93="","",IFERROR(INDEX(거래처목록!$B$3:$B$302,MATCH($B93,거래처목록!$A$3:$A$302,0)),"미등록"))</f>
        <v/>
      </c>
      <c r="D93" s="7"/>
      <c r="E93" s="11" t="str">
        <f aca="false">IF($D93="","",IFERROR(INDEX(품목목록!$B$3:$B$202,MATCH($D93,품목목록!$A$3:$A$202,0)),"미등록"))</f>
        <v/>
      </c>
      <c r="F93" s="11" t="str">
        <f aca="false">IF($D93="","",IFERROR(INDEX(품목목록!$D$3:$D$202,MATCH($D93,품목목록!$A$3:$A$202,0)),""))</f>
        <v/>
      </c>
      <c r="G93" s="9"/>
      <c r="H93" s="12" t="str">
        <f aca="false">IF($D93="","",IFERROR(INDEX(품목목록!$E$3:$E$202,MATCH($D93,품목목록!$A$3:$A$202,0)),0))</f>
        <v/>
      </c>
      <c r="I93" s="8"/>
      <c r="J93" s="8"/>
      <c r="K93" s="13"/>
      <c r="L93" s="14"/>
      <c r="M93" s="8"/>
    </row>
    <row r="94" customFormat="false" ht="15" hidden="false" customHeight="true" outlineLevel="0" collapsed="false">
      <c r="A94" s="11" t="str">
        <f aca="false">IF($B94="","",ROW()-2)</f>
        <v/>
      </c>
      <c r="B94" s="7"/>
      <c r="C94" s="11" t="str">
        <f aca="false">IF($B94="","",IFERROR(INDEX(거래처목록!$B$3:$B$302,MATCH($B94,거래처목록!$A$3:$A$302,0)),"미등록"))</f>
        <v/>
      </c>
      <c r="D94" s="7"/>
      <c r="E94" s="11" t="str">
        <f aca="false">IF($D94="","",IFERROR(INDEX(품목목록!$B$3:$B$202,MATCH($D94,품목목록!$A$3:$A$202,0)),"미등록"))</f>
        <v/>
      </c>
      <c r="F94" s="11" t="str">
        <f aca="false">IF($D94="","",IFERROR(INDEX(품목목록!$D$3:$D$202,MATCH($D94,품목목록!$A$3:$A$202,0)),""))</f>
        <v/>
      </c>
      <c r="G94" s="9"/>
      <c r="H94" s="12" t="str">
        <f aca="false">IF($D94="","",IFERROR(INDEX(품목목록!$E$3:$E$202,MATCH($D94,품목목록!$A$3:$A$202,0)),0))</f>
        <v/>
      </c>
      <c r="I94" s="8"/>
      <c r="J94" s="8"/>
      <c r="K94" s="13"/>
      <c r="L94" s="14"/>
      <c r="M94" s="8"/>
    </row>
    <row r="95" customFormat="false" ht="15" hidden="false" customHeight="true" outlineLevel="0" collapsed="false">
      <c r="A95" s="11" t="str">
        <f aca="false">IF($B95="","",ROW()-2)</f>
        <v/>
      </c>
      <c r="B95" s="7"/>
      <c r="C95" s="11" t="str">
        <f aca="false">IF($B95="","",IFERROR(INDEX(거래처목록!$B$3:$B$302,MATCH($B95,거래처목록!$A$3:$A$302,0)),"미등록"))</f>
        <v/>
      </c>
      <c r="D95" s="7"/>
      <c r="E95" s="11" t="str">
        <f aca="false">IF($D95="","",IFERROR(INDEX(품목목록!$B$3:$B$202,MATCH($D95,품목목록!$A$3:$A$202,0)),"미등록"))</f>
        <v/>
      </c>
      <c r="F95" s="11" t="str">
        <f aca="false">IF($D95="","",IFERROR(INDEX(품목목록!$D$3:$D$202,MATCH($D95,품목목록!$A$3:$A$202,0)),""))</f>
        <v/>
      </c>
      <c r="G95" s="9"/>
      <c r="H95" s="12" t="str">
        <f aca="false">IF($D95="","",IFERROR(INDEX(품목목록!$E$3:$E$202,MATCH($D95,품목목록!$A$3:$A$202,0)),0))</f>
        <v/>
      </c>
      <c r="I95" s="8"/>
      <c r="J95" s="8"/>
      <c r="K95" s="13"/>
      <c r="L95" s="14"/>
      <c r="M95" s="8"/>
    </row>
    <row r="96" customFormat="false" ht="15" hidden="false" customHeight="true" outlineLevel="0" collapsed="false">
      <c r="A96" s="11" t="str">
        <f aca="false">IF($B96="","",ROW()-2)</f>
        <v/>
      </c>
      <c r="B96" s="7"/>
      <c r="C96" s="11" t="str">
        <f aca="false">IF($B96="","",IFERROR(INDEX(거래처목록!$B$3:$B$302,MATCH($B96,거래처목록!$A$3:$A$302,0)),"미등록"))</f>
        <v/>
      </c>
      <c r="D96" s="7"/>
      <c r="E96" s="11" t="str">
        <f aca="false">IF($D96="","",IFERROR(INDEX(품목목록!$B$3:$B$202,MATCH($D96,품목목록!$A$3:$A$202,0)),"미등록"))</f>
        <v/>
      </c>
      <c r="F96" s="11" t="str">
        <f aca="false">IF($D96="","",IFERROR(INDEX(품목목록!$D$3:$D$202,MATCH($D96,품목목록!$A$3:$A$202,0)),""))</f>
        <v/>
      </c>
      <c r="G96" s="9"/>
      <c r="H96" s="12" t="str">
        <f aca="false">IF($D96="","",IFERROR(INDEX(품목목록!$E$3:$E$202,MATCH($D96,품목목록!$A$3:$A$202,0)),0))</f>
        <v/>
      </c>
      <c r="I96" s="8"/>
      <c r="J96" s="8"/>
      <c r="K96" s="13"/>
      <c r="L96" s="14"/>
      <c r="M96" s="8"/>
    </row>
    <row r="97" customFormat="false" ht="15" hidden="false" customHeight="true" outlineLevel="0" collapsed="false">
      <c r="A97" s="11" t="str">
        <f aca="false">IF($B97="","",ROW()-2)</f>
        <v/>
      </c>
      <c r="B97" s="7"/>
      <c r="C97" s="11" t="str">
        <f aca="false">IF($B97="","",IFERROR(INDEX(거래처목록!$B$3:$B$302,MATCH($B97,거래처목록!$A$3:$A$302,0)),"미등록"))</f>
        <v/>
      </c>
      <c r="D97" s="7"/>
      <c r="E97" s="11" t="str">
        <f aca="false">IF($D97="","",IFERROR(INDEX(품목목록!$B$3:$B$202,MATCH($D97,품목목록!$A$3:$A$202,0)),"미등록"))</f>
        <v/>
      </c>
      <c r="F97" s="11" t="str">
        <f aca="false">IF($D97="","",IFERROR(INDEX(품목목록!$D$3:$D$202,MATCH($D97,품목목록!$A$3:$A$202,0)),""))</f>
        <v/>
      </c>
      <c r="G97" s="9"/>
      <c r="H97" s="12" t="str">
        <f aca="false">IF($D97="","",IFERROR(INDEX(품목목록!$E$3:$E$202,MATCH($D97,품목목록!$A$3:$A$202,0)),0))</f>
        <v/>
      </c>
      <c r="I97" s="8"/>
      <c r="J97" s="8"/>
      <c r="K97" s="13"/>
      <c r="L97" s="14"/>
      <c r="M97" s="8"/>
    </row>
    <row r="98" customFormat="false" ht="15" hidden="false" customHeight="true" outlineLevel="0" collapsed="false">
      <c r="A98" s="11" t="str">
        <f aca="false">IF($B98="","",ROW()-2)</f>
        <v/>
      </c>
      <c r="B98" s="7"/>
      <c r="C98" s="11" t="str">
        <f aca="false">IF($B98="","",IFERROR(INDEX(거래처목록!$B$3:$B$302,MATCH($B98,거래처목록!$A$3:$A$302,0)),"미등록"))</f>
        <v/>
      </c>
      <c r="D98" s="7"/>
      <c r="E98" s="11" t="str">
        <f aca="false">IF($D98="","",IFERROR(INDEX(품목목록!$B$3:$B$202,MATCH($D98,품목목록!$A$3:$A$202,0)),"미등록"))</f>
        <v/>
      </c>
      <c r="F98" s="11" t="str">
        <f aca="false">IF($D98="","",IFERROR(INDEX(품목목록!$D$3:$D$202,MATCH($D98,품목목록!$A$3:$A$202,0)),""))</f>
        <v/>
      </c>
      <c r="G98" s="9"/>
      <c r="H98" s="12" t="str">
        <f aca="false">IF($D98="","",IFERROR(INDEX(품목목록!$E$3:$E$202,MATCH($D98,품목목록!$A$3:$A$202,0)),0))</f>
        <v/>
      </c>
      <c r="I98" s="8"/>
      <c r="J98" s="8"/>
      <c r="K98" s="13"/>
      <c r="L98" s="14"/>
      <c r="M98" s="8"/>
    </row>
    <row r="99" customFormat="false" ht="15" hidden="false" customHeight="true" outlineLevel="0" collapsed="false">
      <c r="A99" s="11" t="str">
        <f aca="false">IF($B99="","",ROW()-2)</f>
        <v/>
      </c>
      <c r="B99" s="7"/>
      <c r="C99" s="11" t="str">
        <f aca="false">IF($B99="","",IFERROR(INDEX(거래처목록!$B$3:$B$302,MATCH($B99,거래처목록!$A$3:$A$302,0)),"미등록"))</f>
        <v/>
      </c>
      <c r="D99" s="7"/>
      <c r="E99" s="11" t="str">
        <f aca="false">IF($D99="","",IFERROR(INDEX(품목목록!$B$3:$B$202,MATCH($D99,품목목록!$A$3:$A$202,0)),"미등록"))</f>
        <v/>
      </c>
      <c r="F99" s="11" t="str">
        <f aca="false">IF($D99="","",IFERROR(INDEX(품목목록!$D$3:$D$202,MATCH($D99,품목목록!$A$3:$A$202,0)),""))</f>
        <v/>
      </c>
      <c r="G99" s="9"/>
      <c r="H99" s="12" t="str">
        <f aca="false">IF($D99="","",IFERROR(INDEX(품목목록!$E$3:$E$202,MATCH($D99,품목목록!$A$3:$A$202,0)),0))</f>
        <v/>
      </c>
      <c r="I99" s="8"/>
      <c r="J99" s="8"/>
      <c r="K99" s="13"/>
      <c r="L99" s="14"/>
      <c r="M99" s="8"/>
    </row>
    <row r="100" customFormat="false" ht="15" hidden="false" customHeight="true" outlineLevel="0" collapsed="false">
      <c r="A100" s="11" t="str">
        <f aca="false">IF($B100="","",ROW()-2)</f>
        <v/>
      </c>
      <c r="B100" s="7"/>
      <c r="C100" s="11" t="str">
        <f aca="false">IF($B100="","",IFERROR(INDEX(거래처목록!$B$3:$B$302,MATCH($B100,거래처목록!$A$3:$A$302,0)),"미등록"))</f>
        <v/>
      </c>
      <c r="D100" s="7"/>
      <c r="E100" s="11" t="str">
        <f aca="false">IF($D100="","",IFERROR(INDEX(품목목록!$B$3:$B$202,MATCH($D100,품목목록!$A$3:$A$202,0)),"미등록"))</f>
        <v/>
      </c>
      <c r="F100" s="11" t="str">
        <f aca="false">IF($D100="","",IFERROR(INDEX(품목목록!$D$3:$D$202,MATCH($D100,품목목록!$A$3:$A$202,0)),""))</f>
        <v/>
      </c>
      <c r="G100" s="9"/>
      <c r="H100" s="12" t="str">
        <f aca="false">IF($D100="","",IFERROR(INDEX(품목목록!$E$3:$E$202,MATCH($D100,품목목록!$A$3:$A$202,0)),0))</f>
        <v/>
      </c>
      <c r="I100" s="8"/>
      <c r="J100" s="8"/>
      <c r="K100" s="13"/>
      <c r="L100" s="14"/>
      <c r="M100" s="8"/>
    </row>
    <row r="101" customFormat="false" ht="15" hidden="false" customHeight="true" outlineLevel="0" collapsed="false">
      <c r="A101" s="11" t="str">
        <f aca="false">IF($B101="","",ROW()-2)</f>
        <v/>
      </c>
      <c r="B101" s="7"/>
      <c r="C101" s="11" t="str">
        <f aca="false">IF($B101="","",IFERROR(INDEX(거래처목록!$B$3:$B$302,MATCH($B101,거래처목록!$A$3:$A$302,0)),"미등록"))</f>
        <v/>
      </c>
      <c r="D101" s="7"/>
      <c r="E101" s="11" t="str">
        <f aca="false">IF($D101="","",IFERROR(INDEX(품목목록!$B$3:$B$202,MATCH($D101,품목목록!$A$3:$A$202,0)),"미등록"))</f>
        <v/>
      </c>
      <c r="F101" s="11" t="str">
        <f aca="false">IF($D101="","",IFERROR(INDEX(품목목록!$D$3:$D$202,MATCH($D101,품목목록!$A$3:$A$202,0)),""))</f>
        <v/>
      </c>
      <c r="G101" s="9"/>
      <c r="H101" s="12" t="str">
        <f aca="false">IF($D101="","",IFERROR(INDEX(품목목록!$E$3:$E$202,MATCH($D101,품목목록!$A$3:$A$202,0)),0))</f>
        <v/>
      </c>
      <c r="I101" s="8"/>
      <c r="J101" s="8"/>
      <c r="K101" s="13"/>
      <c r="L101" s="14"/>
      <c r="M101" s="8"/>
    </row>
    <row r="102" customFormat="false" ht="15" hidden="false" customHeight="true" outlineLevel="0" collapsed="false">
      <c r="A102" s="11" t="str">
        <f aca="false">IF($B102="","",ROW()-2)</f>
        <v/>
      </c>
      <c r="B102" s="7"/>
      <c r="C102" s="11" t="str">
        <f aca="false">IF($B102="","",IFERROR(INDEX(거래처목록!$B$3:$B$302,MATCH($B102,거래처목록!$A$3:$A$302,0)),"미등록"))</f>
        <v/>
      </c>
      <c r="D102" s="7"/>
      <c r="E102" s="11" t="str">
        <f aca="false">IF($D102="","",IFERROR(INDEX(품목목록!$B$3:$B$202,MATCH($D102,품목목록!$A$3:$A$202,0)),"미등록"))</f>
        <v/>
      </c>
      <c r="F102" s="11" t="str">
        <f aca="false">IF($D102="","",IFERROR(INDEX(품목목록!$D$3:$D$202,MATCH($D102,품목목록!$A$3:$A$202,0)),""))</f>
        <v/>
      </c>
      <c r="G102" s="9"/>
      <c r="H102" s="12" t="str">
        <f aca="false">IF($D102="","",IFERROR(INDEX(품목목록!$E$3:$E$202,MATCH($D102,품목목록!$A$3:$A$202,0)),0))</f>
        <v/>
      </c>
      <c r="I102" s="8"/>
      <c r="J102" s="8"/>
      <c r="K102" s="13"/>
      <c r="L102" s="14"/>
      <c r="M102" s="8"/>
    </row>
    <row r="103" customFormat="false" ht="15" hidden="false" customHeight="true" outlineLevel="0" collapsed="false">
      <c r="A103" s="11" t="str">
        <f aca="false">IF($B103="","",ROW()-2)</f>
        <v/>
      </c>
      <c r="B103" s="7"/>
      <c r="C103" s="11" t="str">
        <f aca="false">IF($B103="","",IFERROR(INDEX(거래처목록!$B$3:$B$302,MATCH($B103,거래처목록!$A$3:$A$302,0)),"미등록"))</f>
        <v/>
      </c>
      <c r="D103" s="7"/>
      <c r="E103" s="11" t="str">
        <f aca="false">IF($D103="","",IFERROR(INDEX(품목목록!$B$3:$B$202,MATCH($D103,품목목록!$A$3:$A$202,0)),"미등록"))</f>
        <v/>
      </c>
      <c r="F103" s="11" t="str">
        <f aca="false">IF($D103="","",IFERROR(INDEX(품목목록!$D$3:$D$202,MATCH($D103,품목목록!$A$3:$A$202,0)),""))</f>
        <v/>
      </c>
      <c r="G103" s="9"/>
      <c r="H103" s="12" t="str">
        <f aca="false">IF($D103="","",IFERROR(INDEX(품목목록!$E$3:$E$202,MATCH($D103,품목목록!$A$3:$A$202,0)),0))</f>
        <v/>
      </c>
      <c r="I103" s="8"/>
      <c r="J103" s="8"/>
      <c r="K103" s="13"/>
      <c r="L103" s="14"/>
      <c r="M103" s="8"/>
    </row>
    <row r="104" customFormat="false" ht="15" hidden="false" customHeight="true" outlineLevel="0" collapsed="false">
      <c r="A104" s="11" t="str">
        <f aca="false">IF($B104="","",ROW()-2)</f>
        <v/>
      </c>
      <c r="B104" s="7"/>
      <c r="C104" s="11" t="str">
        <f aca="false">IF($B104="","",IFERROR(INDEX(거래처목록!$B$3:$B$302,MATCH($B104,거래처목록!$A$3:$A$302,0)),"미등록"))</f>
        <v/>
      </c>
      <c r="D104" s="7"/>
      <c r="E104" s="11" t="str">
        <f aca="false">IF($D104="","",IFERROR(INDEX(품목목록!$B$3:$B$202,MATCH($D104,품목목록!$A$3:$A$202,0)),"미등록"))</f>
        <v/>
      </c>
      <c r="F104" s="11" t="str">
        <f aca="false">IF($D104="","",IFERROR(INDEX(품목목록!$D$3:$D$202,MATCH($D104,품목목록!$A$3:$A$202,0)),""))</f>
        <v/>
      </c>
      <c r="G104" s="9"/>
      <c r="H104" s="12" t="str">
        <f aca="false">IF($D104="","",IFERROR(INDEX(품목목록!$E$3:$E$202,MATCH($D104,품목목록!$A$3:$A$202,0)),0))</f>
        <v/>
      </c>
      <c r="I104" s="8"/>
      <c r="J104" s="8"/>
      <c r="K104" s="13"/>
      <c r="L104" s="14"/>
      <c r="M104" s="8"/>
    </row>
    <row r="105" customFormat="false" ht="15" hidden="false" customHeight="true" outlineLevel="0" collapsed="false">
      <c r="A105" s="11" t="str">
        <f aca="false">IF($B105="","",ROW()-2)</f>
        <v/>
      </c>
      <c r="B105" s="7"/>
      <c r="C105" s="11" t="str">
        <f aca="false">IF($B105="","",IFERROR(INDEX(거래처목록!$B$3:$B$302,MATCH($B105,거래처목록!$A$3:$A$302,0)),"미등록"))</f>
        <v/>
      </c>
      <c r="D105" s="7"/>
      <c r="E105" s="11" t="str">
        <f aca="false">IF($D105="","",IFERROR(INDEX(품목목록!$B$3:$B$202,MATCH($D105,품목목록!$A$3:$A$202,0)),"미등록"))</f>
        <v/>
      </c>
      <c r="F105" s="11" t="str">
        <f aca="false">IF($D105="","",IFERROR(INDEX(품목목록!$D$3:$D$202,MATCH($D105,품목목록!$A$3:$A$202,0)),""))</f>
        <v/>
      </c>
      <c r="G105" s="9"/>
      <c r="H105" s="12" t="str">
        <f aca="false">IF($D105="","",IFERROR(INDEX(품목목록!$E$3:$E$202,MATCH($D105,품목목록!$A$3:$A$202,0)),0))</f>
        <v/>
      </c>
      <c r="I105" s="8"/>
      <c r="J105" s="8"/>
      <c r="K105" s="13"/>
      <c r="L105" s="14"/>
      <c r="M105" s="8"/>
    </row>
    <row r="106" customFormat="false" ht="15" hidden="false" customHeight="true" outlineLevel="0" collapsed="false">
      <c r="A106" s="11" t="str">
        <f aca="false">IF($B106="","",ROW()-2)</f>
        <v/>
      </c>
      <c r="B106" s="7"/>
      <c r="C106" s="11" t="str">
        <f aca="false">IF($B106="","",IFERROR(INDEX(거래처목록!$B$3:$B$302,MATCH($B106,거래처목록!$A$3:$A$302,0)),"미등록"))</f>
        <v/>
      </c>
      <c r="D106" s="7"/>
      <c r="E106" s="11" t="str">
        <f aca="false">IF($D106="","",IFERROR(INDEX(품목목록!$B$3:$B$202,MATCH($D106,품목목록!$A$3:$A$202,0)),"미등록"))</f>
        <v/>
      </c>
      <c r="F106" s="11" t="str">
        <f aca="false">IF($D106="","",IFERROR(INDEX(품목목록!$D$3:$D$202,MATCH($D106,품목목록!$A$3:$A$202,0)),""))</f>
        <v/>
      </c>
      <c r="G106" s="9"/>
      <c r="H106" s="12" t="str">
        <f aca="false">IF($D106="","",IFERROR(INDEX(품목목록!$E$3:$E$202,MATCH($D106,품목목록!$A$3:$A$202,0)),0))</f>
        <v/>
      </c>
      <c r="I106" s="8"/>
      <c r="J106" s="8"/>
      <c r="K106" s="13"/>
      <c r="L106" s="14"/>
      <c r="M106" s="8"/>
    </row>
    <row r="107" customFormat="false" ht="15" hidden="false" customHeight="true" outlineLevel="0" collapsed="false">
      <c r="A107" s="11" t="str">
        <f aca="false">IF($B107="","",ROW()-2)</f>
        <v/>
      </c>
      <c r="B107" s="7"/>
      <c r="C107" s="11" t="str">
        <f aca="false">IF($B107="","",IFERROR(INDEX(거래처목록!$B$3:$B$302,MATCH($B107,거래처목록!$A$3:$A$302,0)),"미등록"))</f>
        <v/>
      </c>
      <c r="D107" s="7"/>
      <c r="E107" s="11" t="str">
        <f aca="false">IF($D107="","",IFERROR(INDEX(품목목록!$B$3:$B$202,MATCH($D107,품목목록!$A$3:$A$202,0)),"미등록"))</f>
        <v/>
      </c>
      <c r="F107" s="11" t="str">
        <f aca="false">IF($D107="","",IFERROR(INDEX(품목목록!$D$3:$D$202,MATCH($D107,품목목록!$A$3:$A$202,0)),""))</f>
        <v/>
      </c>
      <c r="G107" s="9"/>
      <c r="H107" s="12" t="str">
        <f aca="false">IF($D107="","",IFERROR(INDEX(품목목록!$E$3:$E$202,MATCH($D107,품목목록!$A$3:$A$202,0)),0))</f>
        <v/>
      </c>
      <c r="I107" s="8"/>
      <c r="J107" s="8"/>
      <c r="K107" s="13"/>
      <c r="L107" s="14"/>
      <c r="M107" s="8"/>
    </row>
    <row r="108" customFormat="false" ht="15" hidden="false" customHeight="true" outlineLevel="0" collapsed="false">
      <c r="A108" s="11" t="str">
        <f aca="false">IF($B108="","",ROW()-2)</f>
        <v/>
      </c>
      <c r="B108" s="7"/>
      <c r="C108" s="11" t="str">
        <f aca="false">IF($B108="","",IFERROR(INDEX(거래처목록!$B$3:$B$302,MATCH($B108,거래처목록!$A$3:$A$302,0)),"미등록"))</f>
        <v/>
      </c>
      <c r="D108" s="7"/>
      <c r="E108" s="11" t="str">
        <f aca="false">IF($D108="","",IFERROR(INDEX(품목목록!$B$3:$B$202,MATCH($D108,품목목록!$A$3:$A$202,0)),"미등록"))</f>
        <v/>
      </c>
      <c r="F108" s="11" t="str">
        <f aca="false">IF($D108="","",IFERROR(INDEX(품목목록!$D$3:$D$202,MATCH($D108,품목목록!$A$3:$A$202,0)),""))</f>
        <v/>
      </c>
      <c r="G108" s="9"/>
      <c r="H108" s="12" t="str">
        <f aca="false">IF($D108="","",IFERROR(INDEX(품목목록!$E$3:$E$202,MATCH($D108,품목목록!$A$3:$A$202,0)),0))</f>
        <v/>
      </c>
      <c r="I108" s="8"/>
      <c r="J108" s="8"/>
      <c r="K108" s="13"/>
      <c r="L108" s="14"/>
      <c r="M108" s="8"/>
    </row>
    <row r="109" customFormat="false" ht="15" hidden="false" customHeight="true" outlineLevel="0" collapsed="false">
      <c r="A109" s="11" t="str">
        <f aca="false">IF($B109="","",ROW()-2)</f>
        <v/>
      </c>
      <c r="B109" s="7"/>
      <c r="C109" s="11" t="str">
        <f aca="false">IF($B109="","",IFERROR(INDEX(거래처목록!$B$3:$B$302,MATCH($B109,거래처목록!$A$3:$A$302,0)),"미등록"))</f>
        <v/>
      </c>
      <c r="D109" s="7"/>
      <c r="E109" s="11" t="str">
        <f aca="false">IF($D109="","",IFERROR(INDEX(품목목록!$B$3:$B$202,MATCH($D109,품목목록!$A$3:$A$202,0)),"미등록"))</f>
        <v/>
      </c>
      <c r="F109" s="11" t="str">
        <f aca="false">IF($D109="","",IFERROR(INDEX(품목목록!$D$3:$D$202,MATCH($D109,품목목록!$A$3:$A$202,0)),""))</f>
        <v/>
      </c>
      <c r="G109" s="9"/>
      <c r="H109" s="12" t="str">
        <f aca="false">IF($D109="","",IFERROR(INDEX(품목목록!$E$3:$E$202,MATCH($D109,품목목록!$A$3:$A$202,0)),0))</f>
        <v/>
      </c>
      <c r="I109" s="8"/>
      <c r="J109" s="8"/>
      <c r="K109" s="13"/>
      <c r="L109" s="14"/>
      <c r="M109" s="8"/>
    </row>
    <row r="110" customFormat="false" ht="15" hidden="false" customHeight="true" outlineLevel="0" collapsed="false">
      <c r="A110" s="11" t="str">
        <f aca="false">IF($B110="","",ROW()-2)</f>
        <v/>
      </c>
      <c r="B110" s="7"/>
      <c r="C110" s="11" t="str">
        <f aca="false">IF($B110="","",IFERROR(INDEX(거래처목록!$B$3:$B$302,MATCH($B110,거래처목록!$A$3:$A$302,0)),"미등록"))</f>
        <v/>
      </c>
      <c r="D110" s="7"/>
      <c r="E110" s="11" t="str">
        <f aca="false">IF($D110="","",IFERROR(INDEX(품목목록!$B$3:$B$202,MATCH($D110,품목목록!$A$3:$A$202,0)),"미등록"))</f>
        <v/>
      </c>
      <c r="F110" s="11" t="str">
        <f aca="false">IF($D110="","",IFERROR(INDEX(품목목록!$D$3:$D$202,MATCH($D110,품목목록!$A$3:$A$202,0)),""))</f>
        <v/>
      </c>
      <c r="G110" s="9"/>
      <c r="H110" s="12" t="str">
        <f aca="false">IF($D110="","",IFERROR(INDEX(품목목록!$E$3:$E$202,MATCH($D110,품목목록!$A$3:$A$202,0)),0))</f>
        <v/>
      </c>
      <c r="I110" s="8"/>
      <c r="J110" s="8"/>
      <c r="K110" s="13"/>
      <c r="L110" s="14"/>
      <c r="M110" s="8"/>
    </row>
    <row r="111" customFormat="false" ht="15" hidden="false" customHeight="true" outlineLevel="0" collapsed="false">
      <c r="A111" s="11" t="str">
        <f aca="false">IF($B111="","",ROW()-2)</f>
        <v/>
      </c>
      <c r="B111" s="7"/>
      <c r="C111" s="11" t="str">
        <f aca="false">IF($B111="","",IFERROR(INDEX(거래처목록!$B$3:$B$302,MATCH($B111,거래처목록!$A$3:$A$302,0)),"미등록"))</f>
        <v/>
      </c>
      <c r="D111" s="7"/>
      <c r="E111" s="11" t="str">
        <f aca="false">IF($D111="","",IFERROR(INDEX(품목목록!$B$3:$B$202,MATCH($D111,품목목록!$A$3:$A$202,0)),"미등록"))</f>
        <v/>
      </c>
      <c r="F111" s="11" t="str">
        <f aca="false">IF($D111="","",IFERROR(INDEX(품목목록!$D$3:$D$202,MATCH($D111,품목목록!$A$3:$A$202,0)),""))</f>
        <v/>
      </c>
      <c r="G111" s="9"/>
      <c r="H111" s="12" t="str">
        <f aca="false">IF($D111="","",IFERROR(INDEX(품목목록!$E$3:$E$202,MATCH($D111,품목목록!$A$3:$A$202,0)),0))</f>
        <v/>
      </c>
      <c r="I111" s="8"/>
      <c r="J111" s="8"/>
      <c r="K111" s="13"/>
      <c r="L111" s="14"/>
      <c r="M111" s="8"/>
    </row>
    <row r="112" customFormat="false" ht="15" hidden="false" customHeight="true" outlineLevel="0" collapsed="false">
      <c r="A112" s="11" t="str">
        <f aca="false">IF($B112="","",ROW()-2)</f>
        <v/>
      </c>
      <c r="B112" s="7"/>
      <c r="C112" s="11" t="str">
        <f aca="false">IF($B112="","",IFERROR(INDEX(거래처목록!$B$3:$B$302,MATCH($B112,거래처목록!$A$3:$A$302,0)),"미등록"))</f>
        <v/>
      </c>
      <c r="D112" s="7"/>
      <c r="E112" s="11" t="str">
        <f aca="false">IF($D112="","",IFERROR(INDEX(품목목록!$B$3:$B$202,MATCH($D112,품목목록!$A$3:$A$202,0)),"미등록"))</f>
        <v/>
      </c>
      <c r="F112" s="11" t="str">
        <f aca="false">IF($D112="","",IFERROR(INDEX(품목목록!$D$3:$D$202,MATCH($D112,품목목록!$A$3:$A$202,0)),""))</f>
        <v/>
      </c>
      <c r="G112" s="9"/>
      <c r="H112" s="12" t="str">
        <f aca="false">IF($D112="","",IFERROR(INDEX(품목목록!$E$3:$E$202,MATCH($D112,품목목록!$A$3:$A$202,0)),0))</f>
        <v/>
      </c>
      <c r="I112" s="8"/>
      <c r="J112" s="8"/>
      <c r="K112" s="13"/>
      <c r="L112" s="14"/>
      <c r="M112" s="8"/>
    </row>
    <row r="113" customFormat="false" ht="15" hidden="false" customHeight="true" outlineLevel="0" collapsed="false">
      <c r="A113" s="11" t="str">
        <f aca="false">IF($B113="","",ROW()-2)</f>
        <v/>
      </c>
      <c r="B113" s="7"/>
      <c r="C113" s="11" t="str">
        <f aca="false">IF($B113="","",IFERROR(INDEX(거래처목록!$B$3:$B$302,MATCH($B113,거래처목록!$A$3:$A$302,0)),"미등록"))</f>
        <v/>
      </c>
      <c r="D113" s="7"/>
      <c r="E113" s="11" t="str">
        <f aca="false">IF($D113="","",IFERROR(INDEX(품목목록!$B$3:$B$202,MATCH($D113,품목목록!$A$3:$A$202,0)),"미등록"))</f>
        <v/>
      </c>
      <c r="F113" s="11" t="str">
        <f aca="false">IF($D113="","",IFERROR(INDEX(품목목록!$D$3:$D$202,MATCH($D113,품목목록!$A$3:$A$202,0)),""))</f>
        <v/>
      </c>
      <c r="G113" s="9"/>
      <c r="H113" s="12" t="str">
        <f aca="false">IF($D113="","",IFERROR(INDEX(품목목록!$E$3:$E$202,MATCH($D113,품목목록!$A$3:$A$202,0)),0))</f>
        <v/>
      </c>
      <c r="I113" s="8"/>
      <c r="J113" s="8"/>
      <c r="K113" s="13"/>
      <c r="L113" s="14"/>
      <c r="M113" s="8"/>
    </row>
    <row r="114" customFormat="false" ht="15" hidden="false" customHeight="true" outlineLevel="0" collapsed="false">
      <c r="A114" s="11" t="str">
        <f aca="false">IF($B114="","",ROW()-2)</f>
        <v/>
      </c>
      <c r="B114" s="7"/>
      <c r="C114" s="11" t="str">
        <f aca="false">IF($B114="","",IFERROR(INDEX(거래처목록!$B$3:$B$302,MATCH($B114,거래처목록!$A$3:$A$302,0)),"미등록"))</f>
        <v/>
      </c>
      <c r="D114" s="7"/>
      <c r="E114" s="11" t="str">
        <f aca="false">IF($D114="","",IFERROR(INDEX(품목목록!$B$3:$B$202,MATCH($D114,품목목록!$A$3:$A$202,0)),"미등록"))</f>
        <v/>
      </c>
      <c r="F114" s="11" t="str">
        <f aca="false">IF($D114="","",IFERROR(INDEX(품목목록!$D$3:$D$202,MATCH($D114,품목목록!$A$3:$A$202,0)),""))</f>
        <v/>
      </c>
      <c r="G114" s="9"/>
      <c r="H114" s="12" t="str">
        <f aca="false">IF($D114="","",IFERROR(INDEX(품목목록!$E$3:$E$202,MATCH($D114,품목목록!$A$3:$A$202,0)),0))</f>
        <v/>
      </c>
      <c r="I114" s="8"/>
      <c r="J114" s="8"/>
      <c r="K114" s="13"/>
      <c r="L114" s="14"/>
      <c r="M114" s="8"/>
    </row>
    <row r="115" customFormat="false" ht="15" hidden="false" customHeight="true" outlineLevel="0" collapsed="false">
      <c r="A115" s="11" t="str">
        <f aca="false">IF($B115="","",ROW()-2)</f>
        <v/>
      </c>
      <c r="B115" s="7"/>
      <c r="C115" s="11" t="str">
        <f aca="false">IF($B115="","",IFERROR(INDEX(거래처목록!$B$3:$B$302,MATCH($B115,거래처목록!$A$3:$A$302,0)),"미등록"))</f>
        <v/>
      </c>
      <c r="D115" s="7"/>
      <c r="E115" s="11" t="str">
        <f aca="false">IF($D115="","",IFERROR(INDEX(품목목록!$B$3:$B$202,MATCH($D115,품목목록!$A$3:$A$202,0)),"미등록"))</f>
        <v/>
      </c>
      <c r="F115" s="11" t="str">
        <f aca="false">IF($D115="","",IFERROR(INDEX(품목목록!$D$3:$D$202,MATCH($D115,품목목록!$A$3:$A$202,0)),""))</f>
        <v/>
      </c>
      <c r="G115" s="9"/>
      <c r="H115" s="12" t="str">
        <f aca="false">IF($D115="","",IFERROR(INDEX(품목목록!$E$3:$E$202,MATCH($D115,품목목록!$A$3:$A$202,0)),0))</f>
        <v/>
      </c>
      <c r="I115" s="8"/>
      <c r="J115" s="8"/>
      <c r="K115" s="13"/>
      <c r="L115" s="14"/>
      <c r="M115" s="8"/>
    </row>
    <row r="116" customFormat="false" ht="15" hidden="false" customHeight="true" outlineLevel="0" collapsed="false">
      <c r="A116" s="11" t="str">
        <f aca="false">IF($B116="","",ROW()-2)</f>
        <v/>
      </c>
      <c r="B116" s="7"/>
      <c r="C116" s="11" t="str">
        <f aca="false">IF($B116="","",IFERROR(INDEX(거래처목록!$B$3:$B$302,MATCH($B116,거래처목록!$A$3:$A$302,0)),"미등록"))</f>
        <v/>
      </c>
      <c r="D116" s="7"/>
      <c r="E116" s="11" t="str">
        <f aca="false">IF($D116="","",IFERROR(INDEX(품목목록!$B$3:$B$202,MATCH($D116,품목목록!$A$3:$A$202,0)),"미등록"))</f>
        <v/>
      </c>
      <c r="F116" s="11" t="str">
        <f aca="false">IF($D116="","",IFERROR(INDEX(품목목록!$D$3:$D$202,MATCH($D116,품목목록!$A$3:$A$202,0)),""))</f>
        <v/>
      </c>
      <c r="G116" s="9"/>
      <c r="H116" s="12" t="str">
        <f aca="false">IF($D116="","",IFERROR(INDEX(품목목록!$E$3:$E$202,MATCH($D116,품목목록!$A$3:$A$202,0)),0))</f>
        <v/>
      </c>
      <c r="I116" s="8"/>
      <c r="J116" s="8"/>
      <c r="K116" s="13"/>
      <c r="L116" s="14"/>
      <c r="M116" s="8"/>
    </row>
    <row r="117" customFormat="false" ht="15" hidden="false" customHeight="true" outlineLevel="0" collapsed="false">
      <c r="A117" s="11" t="str">
        <f aca="false">IF($B117="","",ROW()-2)</f>
        <v/>
      </c>
      <c r="B117" s="7"/>
      <c r="C117" s="11" t="str">
        <f aca="false">IF($B117="","",IFERROR(INDEX(거래처목록!$B$3:$B$302,MATCH($B117,거래처목록!$A$3:$A$302,0)),"미등록"))</f>
        <v/>
      </c>
      <c r="D117" s="7"/>
      <c r="E117" s="11" t="str">
        <f aca="false">IF($D117="","",IFERROR(INDEX(품목목록!$B$3:$B$202,MATCH($D117,품목목록!$A$3:$A$202,0)),"미등록"))</f>
        <v/>
      </c>
      <c r="F117" s="11" t="str">
        <f aca="false">IF($D117="","",IFERROR(INDEX(품목목록!$D$3:$D$202,MATCH($D117,품목목록!$A$3:$A$202,0)),""))</f>
        <v/>
      </c>
      <c r="G117" s="9"/>
      <c r="H117" s="12" t="str">
        <f aca="false">IF($D117="","",IFERROR(INDEX(품목목록!$E$3:$E$202,MATCH($D117,품목목록!$A$3:$A$202,0)),0))</f>
        <v/>
      </c>
      <c r="I117" s="8"/>
      <c r="J117" s="8"/>
      <c r="K117" s="13"/>
      <c r="L117" s="14"/>
      <c r="M117" s="8"/>
    </row>
    <row r="118" customFormat="false" ht="15" hidden="false" customHeight="true" outlineLevel="0" collapsed="false">
      <c r="A118" s="11" t="str">
        <f aca="false">IF($B118="","",ROW()-2)</f>
        <v/>
      </c>
      <c r="B118" s="7"/>
      <c r="C118" s="11" t="str">
        <f aca="false">IF($B118="","",IFERROR(INDEX(거래처목록!$B$3:$B$302,MATCH($B118,거래처목록!$A$3:$A$302,0)),"미등록"))</f>
        <v/>
      </c>
      <c r="D118" s="7"/>
      <c r="E118" s="11" t="str">
        <f aca="false">IF($D118="","",IFERROR(INDEX(품목목록!$B$3:$B$202,MATCH($D118,품목목록!$A$3:$A$202,0)),"미등록"))</f>
        <v/>
      </c>
      <c r="F118" s="11" t="str">
        <f aca="false">IF($D118="","",IFERROR(INDEX(품목목록!$D$3:$D$202,MATCH($D118,품목목록!$A$3:$A$202,0)),""))</f>
        <v/>
      </c>
      <c r="G118" s="9"/>
      <c r="H118" s="12" t="str">
        <f aca="false">IF($D118="","",IFERROR(INDEX(품목목록!$E$3:$E$202,MATCH($D118,품목목록!$A$3:$A$202,0)),0))</f>
        <v/>
      </c>
      <c r="I118" s="8"/>
      <c r="J118" s="8"/>
      <c r="K118" s="13"/>
      <c r="L118" s="14"/>
      <c r="M118" s="8"/>
    </row>
    <row r="119" customFormat="false" ht="15" hidden="false" customHeight="true" outlineLevel="0" collapsed="false">
      <c r="A119" s="11" t="str">
        <f aca="false">IF($B119="","",ROW()-2)</f>
        <v/>
      </c>
      <c r="B119" s="7"/>
      <c r="C119" s="11" t="str">
        <f aca="false">IF($B119="","",IFERROR(INDEX(거래처목록!$B$3:$B$302,MATCH($B119,거래처목록!$A$3:$A$302,0)),"미등록"))</f>
        <v/>
      </c>
      <c r="D119" s="7"/>
      <c r="E119" s="11" t="str">
        <f aca="false">IF($D119="","",IFERROR(INDEX(품목목록!$B$3:$B$202,MATCH($D119,품목목록!$A$3:$A$202,0)),"미등록"))</f>
        <v/>
      </c>
      <c r="F119" s="11" t="str">
        <f aca="false">IF($D119="","",IFERROR(INDEX(품목목록!$D$3:$D$202,MATCH($D119,품목목록!$A$3:$A$202,0)),""))</f>
        <v/>
      </c>
      <c r="G119" s="9"/>
      <c r="H119" s="12" t="str">
        <f aca="false">IF($D119="","",IFERROR(INDEX(품목목록!$E$3:$E$202,MATCH($D119,품목목록!$A$3:$A$202,0)),0))</f>
        <v/>
      </c>
      <c r="I119" s="8"/>
      <c r="J119" s="8"/>
      <c r="K119" s="13"/>
      <c r="L119" s="14"/>
      <c r="M119" s="8"/>
    </row>
    <row r="120" customFormat="false" ht="15" hidden="false" customHeight="true" outlineLevel="0" collapsed="false">
      <c r="A120" s="11" t="str">
        <f aca="false">IF($B120="","",ROW()-2)</f>
        <v/>
      </c>
      <c r="B120" s="7"/>
      <c r="C120" s="11" t="str">
        <f aca="false">IF($B120="","",IFERROR(INDEX(거래처목록!$B$3:$B$302,MATCH($B120,거래처목록!$A$3:$A$302,0)),"미등록"))</f>
        <v/>
      </c>
      <c r="D120" s="7"/>
      <c r="E120" s="11" t="str">
        <f aca="false">IF($D120="","",IFERROR(INDEX(품목목록!$B$3:$B$202,MATCH($D120,품목목록!$A$3:$A$202,0)),"미등록"))</f>
        <v/>
      </c>
      <c r="F120" s="11" t="str">
        <f aca="false">IF($D120="","",IFERROR(INDEX(품목목록!$D$3:$D$202,MATCH($D120,품목목록!$A$3:$A$202,0)),""))</f>
        <v/>
      </c>
      <c r="G120" s="9"/>
      <c r="H120" s="12" t="str">
        <f aca="false">IF($D120="","",IFERROR(INDEX(품목목록!$E$3:$E$202,MATCH($D120,품목목록!$A$3:$A$202,0)),0))</f>
        <v/>
      </c>
      <c r="I120" s="8"/>
      <c r="J120" s="8"/>
      <c r="K120" s="13"/>
      <c r="L120" s="14"/>
      <c r="M120" s="8"/>
    </row>
    <row r="121" customFormat="false" ht="15" hidden="false" customHeight="true" outlineLevel="0" collapsed="false">
      <c r="A121" s="11" t="str">
        <f aca="false">IF($B121="","",ROW()-2)</f>
        <v/>
      </c>
      <c r="B121" s="7"/>
      <c r="C121" s="11" t="str">
        <f aca="false">IF($B121="","",IFERROR(INDEX(거래처목록!$B$3:$B$302,MATCH($B121,거래처목록!$A$3:$A$302,0)),"미등록"))</f>
        <v/>
      </c>
      <c r="D121" s="7"/>
      <c r="E121" s="11" t="str">
        <f aca="false">IF($D121="","",IFERROR(INDEX(품목목록!$B$3:$B$202,MATCH($D121,품목목록!$A$3:$A$202,0)),"미등록"))</f>
        <v/>
      </c>
      <c r="F121" s="11" t="str">
        <f aca="false">IF($D121="","",IFERROR(INDEX(품목목록!$D$3:$D$202,MATCH($D121,품목목록!$A$3:$A$202,0)),""))</f>
        <v/>
      </c>
      <c r="G121" s="9"/>
      <c r="H121" s="12" t="str">
        <f aca="false">IF($D121="","",IFERROR(INDEX(품목목록!$E$3:$E$202,MATCH($D121,품목목록!$A$3:$A$202,0)),0))</f>
        <v/>
      </c>
      <c r="I121" s="8"/>
      <c r="J121" s="8"/>
      <c r="K121" s="13"/>
      <c r="L121" s="14"/>
      <c r="M121" s="8"/>
    </row>
    <row r="122" customFormat="false" ht="15" hidden="false" customHeight="true" outlineLevel="0" collapsed="false">
      <c r="A122" s="11" t="str">
        <f aca="false">IF($B122="","",ROW()-2)</f>
        <v/>
      </c>
      <c r="B122" s="7"/>
      <c r="C122" s="11" t="str">
        <f aca="false">IF($B122="","",IFERROR(INDEX(거래처목록!$B$3:$B$302,MATCH($B122,거래처목록!$A$3:$A$302,0)),"미등록"))</f>
        <v/>
      </c>
      <c r="D122" s="7"/>
      <c r="E122" s="11" t="str">
        <f aca="false">IF($D122="","",IFERROR(INDEX(품목목록!$B$3:$B$202,MATCH($D122,품목목록!$A$3:$A$202,0)),"미등록"))</f>
        <v/>
      </c>
      <c r="F122" s="11" t="str">
        <f aca="false">IF($D122="","",IFERROR(INDEX(품목목록!$D$3:$D$202,MATCH($D122,품목목록!$A$3:$A$202,0)),""))</f>
        <v/>
      </c>
      <c r="G122" s="9"/>
      <c r="H122" s="12" t="str">
        <f aca="false">IF($D122="","",IFERROR(INDEX(품목목록!$E$3:$E$202,MATCH($D122,품목목록!$A$3:$A$202,0)),0))</f>
        <v/>
      </c>
      <c r="I122" s="8"/>
      <c r="J122" s="8"/>
      <c r="K122" s="13"/>
      <c r="L122" s="14"/>
      <c r="M122" s="8"/>
    </row>
    <row r="123" customFormat="false" ht="15" hidden="false" customHeight="true" outlineLevel="0" collapsed="false">
      <c r="A123" s="11" t="str">
        <f aca="false">IF($B123="","",ROW()-2)</f>
        <v/>
      </c>
      <c r="B123" s="7"/>
      <c r="C123" s="11" t="str">
        <f aca="false">IF($B123="","",IFERROR(INDEX(거래처목록!$B$3:$B$302,MATCH($B123,거래처목록!$A$3:$A$302,0)),"미등록"))</f>
        <v/>
      </c>
      <c r="D123" s="7"/>
      <c r="E123" s="11" t="str">
        <f aca="false">IF($D123="","",IFERROR(INDEX(품목목록!$B$3:$B$202,MATCH($D123,품목목록!$A$3:$A$202,0)),"미등록"))</f>
        <v/>
      </c>
      <c r="F123" s="11" t="str">
        <f aca="false">IF($D123="","",IFERROR(INDEX(품목목록!$D$3:$D$202,MATCH($D123,품목목록!$A$3:$A$202,0)),""))</f>
        <v/>
      </c>
      <c r="G123" s="9"/>
      <c r="H123" s="12" t="str">
        <f aca="false">IF($D123="","",IFERROR(INDEX(품목목록!$E$3:$E$202,MATCH($D123,품목목록!$A$3:$A$202,0)),0))</f>
        <v/>
      </c>
      <c r="I123" s="8"/>
      <c r="J123" s="8"/>
      <c r="K123" s="13"/>
      <c r="L123" s="14"/>
      <c r="M123" s="8"/>
    </row>
    <row r="124" customFormat="false" ht="15" hidden="false" customHeight="true" outlineLevel="0" collapsed="false">
      <c r="A124" s="11" t="str">
        <f aca="false">IF($B124="","",ROW()-2)</f>
        <v/>
      </c>
      <c r="B124" s="7"/>
      <c r="C124" s="11" t="str">
        <f aca="false">IF($B124="","",IFERROR(INDEX(거래처목록!$B$3:$B$302,MATCH($B124,거래처목록!$A$3:$A$302,0)),"미등록"))</f>
        <v/>
      </c>
      <c r="D124" s="7"/>
      <c r="E124" s="11" t="str">
        <f aca="false">IF($D124="","",IFERROR(INDEX(품목목록!$B$3:$B$202,MATCH($D124,품목목록!$A$3:$A$202,0)),"미등록"))</f>
        <v/>
      </c>
      <c r="F124" s="11" t="str">
        <f aca="false">IF($D124="","",IFERROR(INDEX(품목목록!$D$3:$D$202,MATCH($D124,품목목록!$A$3:$A$202,0)),""))</f>
        <v/>
      </c>
      <c r="G124" s="9"/>
      <c r="H124" s="12" t="str">
        <f aca="false">IF($D124="","",IFERROR(INDEX(품목목록!$E$3:$E$202,MATCH($D124,품목목록!$A$3:$A$202,0)),0))</f>
        <v/>
      </c>
      <c r="I124" s="8"/>
      <c r="J124" s="8"/>
      <c r="K124" s="13"/>
      <c r="L124" s="14"/>
      <c r="M124" s="8"/>
    </row>
    <row r="125" customFormat="false" ht="15" hidden="false" customHeight="true" outlineLevel="0" collapsed="false">
      <c r="A125" s="11" t="str">
        <f aca="false">IF($B125="","",ROW()-2)</f>
        <v/>
      </c>
      <c r="B125" s="7"/>
      <c r="C125" s="11" t="str">
        <f aca="false">IF($B125="","",IFERROR(INDEX(거래처목록!$B$3:$B$302,MATCH($B125,거래처목록!$A$3:$A$302,0)),"미등록"))</f>
        <v/>
      </c>
      <c r="D125" s="7"/>
      <c r="E125" s="11" t="str">
        <f aca="false">IF($D125="","",IFERROR(INDEX(품목목록!$B$3:$B$202,MATCH($D125,품목목록!$A$3:$A$202,0)),"미등록"))</f>
        <v/>
      </c>
      <c r="F125" s="11" t="str">
        <f aca="false">IF($D125="","",IFERROR(INDEX(품목목록!$D$3:$D$202,MATCH($D125,품목목록!$A$3:$A$202,0)),""))</f>
        <v/>
      </c>
      <c r="G125" s="9"/>
      <c r="H125" s="12" t="str">
        <f aca="false">IF($D125="","",IFERROR(INDEX(품목목록!$E$3:$E$202,MATCH($D125,품목목록!$A$3:$A$202,0)),0))</f>
        <v/>
      </c>
      <c r="I125" s="8"/>
      <c r="J125" s="8"/>
      <c r="K125" s="13"/>
      <c r="L125" s="14"/>
      <c r="M125" s="8"/>
    </row>
    <row r="126" customFormat="false" ht="15" hidden="false" customHeight="true" outlineLevel="0" collapsed="false">
      <c r="A126" s="11" t="str">
        <f aca="false">IF($B126="","",ROW()-2)</f>
        <v/>
      </c>
      <c r="B126" s="7"/>
      <c r="C126" s="11" t="str">
        <f aca="false">IF($B126="","",IFERROR(INDEX(거래처목록!$B$3:$B$302,MATCH($B126,거래처목록!$A$3:$A$302,0)),"미등록"))</f>
        <v/>
      </c>
      <c r="D126" s="7"/>
      <c r="E126" s="11" t="str">
        <f aca="false">IF($D126="","",IFERROR(INDEX(품목목록!$B$3:$B$202,MATCH($D126,품목목록!$A$3:$A$202,0)),"미등록"))</f>
        <v/>
      </c>
      <c r="F126" s="11" t="str">
        <f aca="false">IF($D126="","",IFERROR(INDEX(품목목록!$D$3:$D$202,MATCH($D126,품목목록!$A$3:$A$202,0)),""))</f>
        <v/>
      </c>
      <c r="G126" s="9"/>
      <c r="H126" s="12" t="str">
        <f aca="false">IF($D126="","",IFERROR(INDEX(품목목록!$E$3:$E$202,MATCH($D126,품목목록!$A$3:$A$202,0)),0))</f>
        <v/>
      </c>
      <c r="I126" s="8"/>
      <c r="J126" s="8"/>
      <c r="K126" s="13"/>
      <c r="L126" s="14"/>
      <c r="M126" s="8"/>
    </row>
    <row r="127" customFormat="false" ht="15" hidden="false" customHeight="true" outlineLevel="0" collapsed="false">
      <c r="A127" s="11" t="str">
        <f aca="false">IF($B127="","",ROW()-2)</f>
        <v/>
      </c>
      <c r="B127" s="7"/>
      <c r="C127" s="11" t="str">
        <f aca="false">IF($B127="","",IFERROR(INDEX(거래처목록!$B$3:$B$302,MATCH($B127,거래처목록!$A$3:$A$302,0)),"미등록"))</f>
        <v/>
      </c>
      <c r="D127" s="7"/>
      <c r="E127" s="11" t="str">
        <f aca="false">IF($D127="","",IFERROR(INDEX(품목목록!$B$3:$B$202,MATCH($D127,품목목록!$A$3:$A$202,0)),"미등록"))</f>
        <v/>
      </c>
      <c r="F127" s="11" t="str">
        <f aca="false">IF($D127="","",IFERROR(INDEX(품목목록!$D$3:$D$202,MATCH($D127,품목목록!$A$3:$A$202,0)),""))</f>
        <v/>
      </c>
      <c r="G127" s="9"/>
      <c r="H127" s="12" t="str">
        <f aca="false">IF($D127="","",IFERROR(INDEX(품목목록!$E$3:$E$202,MATCH($D127,품목목록!$A$3:$A$202,0)),0))</f>
        <v/>
      </c>
      <c r="I127" s="8"/>
      <c r="J127" s="8"/>
      <c r="K127" s="13"/>
      <c r="L127" s="14"/>
      <c r="M127" s="8"/>
    </row>
    <row r="128" customFormat="false" ht="15" hidden="false" customHeight="true" outlineLevel="0" collapsed="false">
      <c r="A128" s="11" t="str">
        <f aca="false">IF($B128="","",ROW()-2)</f>
        <v/>
      </c>
      <c r="B128" s="7"/>
      <c r="C128" s="11" t="str">
        <f aca="false">IF($B128="","",IFERROR(INDEX(거래처목록!$B$3:$B$302,MATCH($B128,거래처목록!$A$3:$A$302,0)),"미등록"))</f>
        <v/>
      </c>
      <c r="D128" s="7"/>
      <c r="E128" s="11" t="str">
        <f aca="false">IF($D128="","",IFERROR(INDEX(품목목록!$B$3:$B$202,MATCH($D128,품목목록!$A$3:$A$202,0)),"미등록"))</f>
        <v/>
      </c>
      <c r="F128" s="11" t="str">
        <f aca="false">IF($D128="","",IFERROR(INDEX(품목목록!$D$3:$D$202,MATCH($D128,품목목록!$A$3:$A$202,0)),""))</f>
        <v/>
      </c>
      <c r="G128" s="9"/>
      <c r="H128" s="12" t="str">
        <f aca="false">IF($D128="","",IFERROR(INDEX(품목목록!$E$3:$E$202,MATCH($D128,품목목록!$A$3:$A$202,0)),0))</f>
        <v/>
      </c>
      <c r="I128" s="8"/>
      <c r="J128" s="8"/>
      <c r="K128" s="13"/>
      <c r="L128" s="14"/>
      <c r="M128" s="8"/>
    </row>
    <row r="129" customFormat="false" ht="15" hidden="false" customHeight="true" outlineLevel="0" collapsed="false">
      <c r="A129" s="11" t="str">
        <f aca="false">IF($B129="","",ROW()-2)</f>
        <v/>
      </c>
      <c r="B129" s="7"/>
      <c r="C129" s="11" t="str">
        <f aca="false">IF($B129="","",IFERROR(INDEX(거래처목록!$B$3:$B$302,MATCH($B129,거래처목록!$A$3:$A$302,0)),"미등록"))</f>
        <v/>
      </c>
      <c r="D129" s="7"/>
      <c r="E129" s="11" t="str">
        <f aca="false">IF($D129="","",IFERROR(INDEX(품목목록!$B$3:$B$202,MATCH($D129,품목목록!$A$3:$A$202,0)),"미등록"))</f>
        <v/>
      </c>
      <c r="F129" s="11" t="str">
        <f aca="false">IF($D129="","",IFERROR(INDEX(품목목록!$D$3:$D$202,MATCH($D129,품목목록!$A$3:$A$202,0)),""))</f>
        <v/>
      </c>
      <c r="G129" s="9"/>
      <c r="H129" s="12" t="str">
        <f aca="false">IF($D129="","",IFERROR(INDEX(품목목록!$E$3:$E$202,MATCH($D129,품목목록!$A$3:$A$202,0)),0))</f>
        <v/>
      </c>
      <c r="I129" s="8"/>
      <c r="J129" s="8"/>
      <c r="K129" s="13"/>
      <c r="L129" s="14"/>
      <c r="M129" s="8"/>
    </row>
    <row r="130" customFormat="false" ht="15" hidden="false" customHeight="true" outlineLevel="0" collapsed="false">
      <c r="A130" s="11" t="str">
        <f aca="false">IF($B130="","",ROW()-2)</f>
        <v/>
      </c>
      <c r="B130" s="7"/>
      <c r="C130" s="11" t="str">
        <f aca="false">IF($B130="","",IFERROR(INDEX(거래처목록!$B$3:$B$302,MATCH($B130,거래처목록!$A$3:$A$302,0)),"미등록"))</f>
        <v/>
      </c>
      <c r="D130" s="7"/>
      <c r="E130" s="11" t="str">
        <f aca="false">IF($D130="","",IFERROR(INDEX(품목목록!$B$3:$B$202,MATCH($D130,품목목록!$A$3:$A$202,0)),"미등록"))</f>
        <v/>
      </c>
      <c r="F130" s="11" t="str">
        <f aca="false">IF($D130="","",IFERROR(INDEX(품목목록!$D$3:$D$202,MATCH($D130,품목목록!$A$3:$A$202,0)),""))</f>
        <v/>
      </c>
      <c r="G130" s="9"/>
      <c r="H130" s="12" t="str">
        <f aca="false">IF($D130="","",IFERROR(INDEX(품목목록!$E$3:$E$202,MATCH($D130,품목목록!$A$3:$A$202,0)),0))</f>
        <v/>
      </c>
      <c r="I130" s="8"/>
      <c r="J130" s="8"/>
      <c r="K130" s="13"/>
      <c r="L130" s="14"/>
      <c r="M130" s="8"/>
    </row>
    <row r="131" customFormat="false" ht="15" hidden="false" customHeight="true" outlineLevel="0" collapsed="false">
      <c r="A131" s="11" t="str">
        <f aca="false">IF($B131="","",ROW()-2)</f>
        <v/>
      </c>
      <c r="B131" s="7"/>
      <c r="C131" s="11" t="str">
        <f aca="false">IF($B131="","",IFERROR(INDEX(거래처목록!$B$3:$B$302,MATCH($B131,거래처목록!$A$3:$A$302,0)),"미등록"))</f>
        <v/>
      </c>
      <c r="D131" s="7"/>
      <c r="E131" s="11" t="str">
        <f aca="false">IF($D131="","",IFERROR(INDEX(품목목록!$B$3:$B$202,MATCH($D131,품목목록!$A$3:$A$202,0)),"미등록"))</f>
        <v/>
      </c>
      <c r="F131" s="11" t="str">
        <f aca="false">IF($D131="","",IFERROR(INDEX(품목목록!$D$3:$D$202,MATCH($D131,품목목록!$A$3:$A$202,0)),""))</f>
        <v/>
      </c>
      <c r="G131" s="9"/>
      <c r="H131" s="12" t="str">
        <f aca="false">IF($D131="","",IFERROR(INDEX(품목목록!$E$3:$E$202,MATCH($D131,품목목록!$A$3:$A$202,0)),0))</f>
        <v/>
      </c>
      <c r="I131" s="8"/>
      <c r="J131" s="8"/>
      <c r="K131" s="13"/>
      <c r="L131" s="14"/>
      <c r="M131" s="8"/>
    </row>
    <row r="132" customFormat="false" ht="15" hidden="false" customHeight="true" outlineLevel="0" collapsed="false">
      <c r="A132" s="11" t="str">
        <f aca="false">IF($B132="","",ROW()-2)</f>
        <v/>
      </c>
      <c r="B132" s="7"/>
      <c r="C132" s="11" t="str">
        <f aca="false">IF($B132="","",IFERROR(INDEX(거래처목록!$B$3:$B$302,MATCH($B132,거래처목록!$A$3:$A$302,0)),"미등록"))</f>
        <v/>
      </c>
      <c r="D132" s="7"/>
      <c r="E132" s="11" t="str">
        <f aca="false">IF($D132="","",IFERROR(INDEX(품목목록!$B$3:$B$202,MATCH($D132,품목목록!$A$3:$A$202,0)),"미등록"))</f>
        <v/>
      </c>
      <c r="F132" s="11" t="str">
        <f aca="false">IF($D132="","",IFERROR(INDEX(품목목록!$D$3:$D$202,MATCH($D132,품목목록!$A$3:$A$202,0)),""))</f>
        <v/>
      </c>
      <c r="G132" s="9"/>
      <c r="H132" s="12" t="str">
        <f aca="false">IF($D132="","",IFERROR(INDEX(품목목록!$E$3:$E$202,MATCH($D132,품목목록!$A$3:$A$202,0)),0))</f>
        <v/>
      </c>
      <c r="I132" s="8"/>
      <c r="J132" s="8"/>
      <c r="K132" s="13"/>
      <c r="L132" s="14"/>
      <c r="M132" s="8"/>
    </row>
    <row r="133" customFormat="false" ht="15" hidden="false" customHeight="true" outlineLevel="0" collapsed="false">
      <c r="A133" s="11" t="str">
        <f aca="false">IF($B133="","",ROW()-2)</f>
        <v/>
      </c>
      <c r="B133" s="7"/>
      <c r="C133" s="11" t="str">
        <f aca="false">IF($B133="","",IFERROR(INDEX(거래처목록!$B$3:$B$302,MATCH($B133,거래처목록!$A$3:$A$302,0)),"미등록"))</f>
        <v/>
      </c>
      <c r="D133" s="7"/>
      <c r="E133" s="11" t="str">
        <f aca="false">IF($D133="","",IFERROR(INDEX(품목목록!$B$3:$B$202,MATCH($D133,품목목록!$A$3:$A$202,0)),"미등록"))</f>
        <v/>
      </c>
      <c r="F133" s="11" t="str">
        <f aca="false">IF($D133="","",IFERROR(INDEX(품목목록!$D$3:$D$202,MATCH($D133,품목목록!$A$3:$A$202,0)),""))</f>
        <v/>
      </c>
      <c r="G133" s="9"/>
      <c r="H133" s="12" t="str">
        <f aca="false">IF($D133="","",IFERROR(INDEX(품목목록!$E$3:$E$202,MATCH($D133,품목목록!$A$3:$A$202,0)),0))</f>
        <v/>
      </c>
      <c r="I133" s="8"/>
      <c r="J133" s="8"/>
      <c r="K133" s="13"/>
      <c r="L133" s="14"/>
      <c r="M133" s="8"/>
    </row>
    <row r="134" customFormat="false" ht="15" hidden="false" customHeight="true" outlineLevel="0" collapsed="false">
      <c r="A134" s="11" t="str">
        <f aca="false">IF($B134="","",ROW()-2)</f>
        <v/>
      </c>
      <c r="B134" s="7"/>
      <c r="C134" s="11" t="str">
        <f aca="false">IF($B134="","",IFERROR(INDEX(거래처목록!$B$3:$B$302,MATCH($B134,거래처목록!$A$3:$A$302,0)),"미등록"))</f>
        <v/>
      </c>
      <c r="D134" s="7"/>
      <c r="E134" s="11" t="str">
        <f aca="false">IF($D134="","",IFERROR(INDEX(품목목록!$B$3:$B$202,MATCH($D134,품목목록!$A$3:$A$202,0)),"미등록"))</f>
        <v/>
      </c>
      <c r="F134" s="11" t="str">
        <f aca="false">IF($D134="","",IFERROR(INDEX(품목목록!$D$3:$D$202,MATCH($D134,품목목록!$A$3:$A$202,0)),""))</f>
        <v/>
      </c>
      <c r="G134" s="9"/>
      <c r="H134" s="12" t="str">
        <f aca="false">IF($D134="","",IFERROR(INDEX(품목목록!$E$3:$E$202,MATCH($D134,품목목록!$A$3:$A$202,0)),0))</f>
        <v/>
      </c>
      <c r="I134" s="8"/>
      <c r="J134" s="8"/>
      <c r="K134" s="13"/>
      <c r="L134" s="14"/>
      <c r="M134" s="8"/>
    </row>
    <row r="135" customFormat="false" ht="15" hidden="false" customHeight="true" outlineLevel="0" collapsed="false">
      <c r="A135" s="11" t="str">
        <f aca="false">IF($B135="","",ROW()-2)</f>
        <v/>
      </c>
      <c r="B135" s="7"/>
      <c r="C135" s="11" t="str">
        <f aca="false">IF($B135="","",IFERROR(INDEX(거래처목록!$B$3:$B$302,MATCH($B135,거래처목록!$A$3:$A$302,0)),"미등록"))</f>
        <v/>
      </c>
      <c r="D135" s="7"/>
      <c r="E135" s="11" t="str">
        <f aca="false">IF($D135="","",IFERROR(INDEX(품목목록!$B$3:$B$202,MATCH($D135,품목목록!$A$3:$A$202,0)),"미등록"))</f>
        <v/>
      </c>
      <c r="F135" s="11" t="str">
        <f aca="false">IF($D135="","",IFERROR(INDEX(품목목록!$D$3:$D$202,MATCH($D135,품목목록!$A$3:$A$202,0)),""))</f>
        <v/>
      </c>
      <c r="G135" s="9"/>
      <c r="H135" s="12" t="str">
        <f aca="false">IF($D135="","",IFERROR(INDEX(품목목록!$E$3:$E$202,MATCH($D135,품목목록!$A$3:$A$202,0)),0))</f>
        <v/>
      </c>
      <c r="I135" s="8"/>
      <c r="J135" s="8"/>
      <c r="K135" s="13"/>
      <c r="L135" s="14"/>
      <c r="M135" s="8"/>
    </row>
    <row r="136" customFormat="false" ht="15" hidden="false" customHeight="true" outlineLevel="0" collapsed="false">
      <c r="A136" s="11" t="str">
        <f aca="false">IF($B136="","",ROW()-2)</f>
        <v/>
      </c>
      <c r="B136" s="7"/>
      <c r="C136" s="11" t="str">
        <f aca="false">IF($B136="","",IFERROR(INDEX(거래처목록!$B$3:$B$302,MATCH($B136,거래처목록!$A$3:$A$302,0)),"미등록"))</f>
        <v/>
      </c>
      <c r="D136" s="7"/>
      <c r="E136" s="11" t="str">
        <f aca="false">IF($D136="","",IFERROR(INDEX(품목목록!$B$3:$B$202,MATCH($D136,품목목록!$A$3:$A$202,0)),"미등록"))</f>
        <v/>
      </c>
      <c r="F136" s="11" t="str">
        <f aca="false">IF($D136="","",IFERROR(INDEX(품목목록!$D$3:$D$202,MATCH($D136,품목목록!$A$3:$A$202,0)),""))</f>
        <v/>
      </c>
      <c r="G136" s="9"/>
      <c r="H136" s="12" t="str">
        <f aca="false">IF($D136="","",IFERROR(INDEX(품목목록!$E$3:$E$202,MATCH($D136,품목목록!$A$3:$A$202,0)),0))</f>
        <v/>
      </c>
      <c r="I136" s="8"/>
      <c r="J136" s="8"/>
      <c r="K136" s="13"/>
      <c r="L136" s="14"/>
      <c r="M136" s="8"/>
    </row>
    <row r="137" customFormat="false" ht="15" hidden="false" customHeight="true" outlineLevel="0" collapsed="false">
      <c r="A137" s="11" t="str">
        <f aca="false">IF($B137="","",ROW()-2)</f>
        <v/>
      </c>
      <c r="B137" s="7"/>
      <c r="C137" s="11" t="str">
        <f aca="false">IF($B137="","",IFERROR(INDEX(거래처목록!$B$3:$B$302,MATCH($B137,거래처목록!$A$3:$A$302,0)),"미등록"))</f>
        <v/>
      </c>
      <c r="D137" s="7"/>
      <c r="E137" s="11" t="str">
        <f aca="false">IF($D137="","",IFERROR(INDEX(품목목록!$B$3:$B$202,MATCH($D137,품목목록!$A$3:$A$202,0)),"미등록"))</f>
        <v/>
      </c>
      <c r="F137" s="11" t="str">
        <f aca="false">IF($D137="","",IFERROR(INDEX(품목목록!$D$3:$D$202,MATCH($D137,품목목록!$A$3:$A$202,0)),""))</f>
        <v/>
      </c>
      <c r="G137" s="9"/>
      <c r="H137" s="12" t="str">
        <f aca="false">IF($D137="","",IFERROR(INDEX(품목목록!$E$3:$E$202,MATCH($D137,품목목록!$A$3:$A$202,0)),0))</f>
        <v/>
      </c>
      <c r="I137" s="8"/>
      <c r="J137" s="8"/>
      <c r="K137" s="13"/>
      <c r="L137" s="14"/>
      <c r="M137" s="8"/>
    </row>
    <row r="138" customFormat="false" ht="15" hidden="false" customHeight="true" outlineLevel="0" collapsed="false">
      <c r="A138" s="11" t="str">
        <f aca="false">IF($B138="","",ROW()-2)</f>
        <v/>
      </c>
      <c r="B138" s="7"/>
      <c r="C138" s="11" t="str">
        <f aca="false">IF($B138="","",IFERROR(INDEX(거래처목록!$B$3:$B$302,MATCH($B138,거래처목록!$A$3:$A$302,0)),"미등록"))</f>
        <v/>
      </c>
      <c r="D138" s="7"/>
      <c r="E138" s="11" t="str">
        <f aca="false">IF($D138="","",IFERROR(INDEX(품목목록!$B$3:$B$202,MATCH($D138,품목목록!$A$3:$A$202,0)),"미등록"))</f>
        <v/>
      </c>
      <c r="F138" s="11" t="str">
        <f aca="false">IF($D138="","",IFERROR(INDEX(품목목록!$D$3:$D$202,MATCH($D138,품목목록!$A$3:$A$202,0)),""))</f>
        <v/>
      </c>
      <c r="G138" s="9"/>
      <c r="H138" s="12" t="str">
        <f aca="false">IF($D138="","",IFERROR(INDEX(품목목록!$E$3:$E$202,MATCH($D138,품목목록!$A$3:$A$202,0)),0))</f>
        <v/>
      </c>
      <c r="I138" s="8"/>
      <c r="J138" s="8"/>
      <c r="K138" s="13"/>
      <c r="L138" s="14"/>
      <c r="M138" s="8"/>
    </row>
    <row r="139" customFormat="false" ht="15" hidden="false" customHeight="true" outlineLevel="0" collapsed="false">
      <c r="A139" s="11" t="str">
        <f aca="false">IF($B139="","",ROW()-2)</f>
        <v/>
      </c>
      <c r="B139" s="7"/>
      <c r="C139" s="11" t="str">
        <f aca="false">IF($B139="","",IFERROR(INDEX(거래처목록!$B$3:$B$302,MATCH($B139,거래처목록!$A$3:$A$302,0)),"미등록"))</f>
        <v/>
      </c>
      <c r="D139" s="7"/>
      <c r="E139" s="11" t="str">
        <f aca="false">IF($D139="","",IFERROR(INDEX(품목목록!$B$3:$B$202,MATCH($D139,품목목록!$A$3:$A$202,0)),"미등록"))</f>
        <v/>
      </c>
      <c r="F139" s="11" t="str">
        <f aca="false">IF($D139="","",IFERROR(INDEX(품목목록!$D$3:$D$202,MATCH($D139,품목목록!$A$3:$A$202,0)),""))</f>
        <v/>
      </c>
      <c r="G139" s="9"/>
      <c r="H139" s="12" t="str">
        <f aca="false">IF($D139="","",IFERROR(INDEX(품목목록!$E$3:$E$202,MATCH($D139,품목목록!$A$3:$A$202,0)),0))</f>
        <v/>
      </c>
      <c r="I139" s="8"/>
      <c r="J139" s="8"/>
      <c r="K139" s="13"/>
      <c r="L139" s="14"/>
      <c r="M139" s="8"/>
    </row>
    <row r="140" customFormat="false" ht="15" hidden="false" customHeight="true" outlineLevel="0" collapsed="false">
      <c r="A140" s="11" t="str">
        <f aca="false">IF($B140="","",ROW()-2)</f>
        <v/>
      </c>
      <c r="B140" s="7"/>
      <c r="C140" s="11" t="str">
        <f aca="false">IF($B140="","",IFERROR(INDEX(거래처목록!$B$3:$B$302,MATCH($B140,거래처목록!$A$3:$A$302,0)),"미등록"))</f>
        <v/>
      </c>
      <c r="D140" s="7"/>
      <c r="E140" s="11" t="str">
        <f aca="false">IF($D140="","",IFERROR(INDEX(품목목록!$B$3:$B$202,MATCH($D140,품목목록!$A$3:$A$202,0)),"미등록"))</f>
        <v/>
      </c>
      <c r="F140" s="11" t="str">
        <f aca="false">IF($D140="","",IFERROR(INDEX(품목목록!$D$3:$D$202,MATCH($D140,품목목록!$A$3:$A$202,0)),""))</f>
        <v/>
      </c>
      <c r="G140" s="9"/>
      <c r="H140" s="12" t="str">
        <f aca="false">IF($D140="","",IFERROR(INDEX(품목목록!$E$3:$E$202,MATCH($D140,품목목록!$A$3:$A$202,0)),0))</f>
        <v/>
      </c>
      <c r="I140" s="8"/>
      <c r="J140" s="8"/>
      <c r="K140" s="13"/>
      <c r="L140" s="14"/>
      <c r="M140" s="8"/>
    </row>
    <row r="141" customFormat="false" ht="15" hidden="false" customHeight="true" outlineLevel="0" collapsed="false">
      <c r="A141" s="11" t="str">
        <f aca="false">IF($B141="","",ROW()-2)</f>
        <v/>
      </c>
      <c r="B141" s="7"/>
      <c r="C141" s="11" t="str">
        <f aca="false">IF($B141="","",IFERROR(INDEX(거래처목록!$B$3:$B$302,MATCH($B141,거래처목록!$A$3:$A$302,0)),"미등록"))</f>
        <v/>
      </c>
      <c r="D141" s="7"/>
      <c r="E141" s="11" t="str">
        <f aca="false">IF($D141="","",IFERROR(INDEX(품목목록!$B$3:$B$202,MATCH($D141,품목목록!$A$3:$A$202,0)),"미등록"))</f>
        <v/>
      </c>
      <c r="F141" s="11" t="str">
        <f aca="false">IF($D141="","",IFERROR(INDEX(품목목록!$D$3:$D$202,MATCH($D141,품목목록!$A$3:$A$202,0)),""))</f>
        <v/>
      </c>
      <c r="G141" s="9"/>
      <c r="H141" s="12" t="str">
        <f aca="false">IF($D141="","",IFERROR(INDEX(품목목록!$E$3:$E$202,MATCH($D141,품목목록!$A$3:$A$202,0)),0))</f>
        <v/>
      </c>
      <c r="I141" s="8"/>
      <c r="J141" s="8"/>
      <c r="K141" s="13"/>
      <c r="L141" s="14"/>
      <c r="M141" s="8"/>
    </row>
    <row r="142" customFormat="false" ht="15" hidden="false" customHeight="true" outlineLevel="0" collapsed="false">
      <c r="A142" s="11" t="str">
        <f aca="false">IF($B142="","",ROW()-2)</f>
        <v/>
      </c>
      <c r="B142" s="7"/>
      <c r="C142" s="11" t="str">
        <f aca="false">IF($B142="","",IFERROR(INDEX(거래처목록!$B$3:$B$302,MATCH($B142,거래처목록!$A$3:$A$302,0)),"미등록"))</f>
        <v/>
      </c>
      <c r="D142" s="7"/>
      <c r="E142" s="11" t="str">
        <f aca="false">IF($D142="","",IFERROR(INDEX(품목목록!$B$3:$B$202,MATCH($D142,품목목록!$A$3:$A$202,0)),"미등록"))</f>
        <v/>
      </c>
      <c r="F142" s="11" t="str">
        <f aca="false">IF($D142="","",IFERROR(INDEX(품목목록!$D$3:$D$202,MATCH($D142,품목목록!$A$3:$A$202,0)),""))</f>
        <v/>
      </c>
      <c r="G142" s="9"/>
      <c r="H142" s="12" t="str">
        <f aca="false">IF($D142="","",IFERROR(INDEX(품목목록!$E$3:$E$202,MATCH($D142,품목목록!$A$3:$A$202,0)),0))</f>
        <v/>
      </c>
      <c r="I142" s="8"/>
      <c r="J142" s="8"/>
      <c r="K142" s="13"/>
      <c r="L142" s="14"/>
      <c r="M142" s="8"/>
    </row>
    <row r="143" customFormat="false" ht="15" hidden="false" customHeight="true" outlineLevel="0" collapsed="false">
      <c r="A143" s="11" t="str">
        <f aca="false">IF($B143="","",ROW()-2)</f>
        <v/>
      </c>
      <c r="B143" s="7"/>
      <c r="C143" s="11" t="str">
        <f aca="false">IF($B143="","",IFERROR(INDEX(거래처목록!$B$3:$B$302,MATCH($B143,거래처목록!$A$3:$A$302,0)),"미등록"))</f>
        <v/>
      </c>
      <c r="D143" s="7"/>
      <c r="E143" s="11" t="str">
        <f aca="false">IF($D143="","",IFERROR(INDEX(품목목록!$B$3:$B$202,MATCH($D143,품목목록!$A$3:$A$202,0)),"미등록"))</f>
        <v/>
      </c>
      <c r="F143" s="11" t="str">
        <f aca="false">IF($D143="","",IFERROR(INDEX(품목목록!$D$3:$D$202,MATCH($D143,품목목록!$A$3:$A$202,0)),""))</f>
        <v/>
      </c>
      <c r="G143" s="9"/>
      <c r="H143" s="12" t="str">
        <f aca="false">IF($D143="","",IFERROR(INDEX(품목목록!$E$3:$E$202,MATCH($D143,품목목록!$A$3:$A$202,0)),0))</f>
        <v/>
      </c>
      <c r="I143" s="8"/>
      <c r="J143" s="8"/>
      <c r="K143" s="13"/>
      <c r="L143" s="14"/>
      <c r="M143" s="8"/>
    </row>
    <row r="144" customFormat="false" ht="15" hidden="false" customHeight="true" outlineLevel="0" collapsed="false">
      <c r="A144" s="11" t="str">
        <f aca="false">IF($B144="","",ROW()-2)</f>
        <v/>
      </c>
      <c r="B144" s="7"/>
      <c r="C144" s="11" t="str">
        <f aca="false">IF($B144="","",IFERROR(INDEX(거래처목록!$B$3:$B$302,MATCH($B144,거래처목록!$A$3:$A$302,0)),"미등록"))</f>
        <v/>
      </c>
      <c r="D144" s="7"/>
      <c r="E144" s="11" t="str">
        <f aca="false">IF($D144="","",IFERROR(INDEX(품목목록!$B$3:$B$202,MATCH($D144,품목목록!$A$3:$A$202,0)),"미등록"))</f>
        <v/>
      </c>
      <c r="F144" s="11" t="str">
        <f aca="false">IF($D144="","",IFERROR(INDEX(품목목록!$D$3:$D$202,MATCH($D144,품목목록!$A$3:$A$202,0)),""))</f>
        <v/>
      </c>
      <c r="G144" s="9"/>
      <c r="H144" s="12" t="str">
        <f aca="false">IF($D144="","",IFERROR(INDEX(품목목록!$E$3:$E$202,MATCH($D144,품목목록!$A$3:$A$202,0)),0))</f>
        <v/>
      </c>
      <c r="I144" s="8"/>
      <c r="J144" s="8"/>
      <c r="K144" s="13"/>
      <c r="L144" s="14"/>
      <c r="M144" s="8"/>
    </row>
    <row r="145" customFormat="false" ht="15" hidden="false" customHeight="true" outlineLevel="0" collapsed="false">
      <c r="A145" s="11" t="str">
        <f aca="false">IF($B145="","",ROW()-2)</f>
        <v/>
      </c>
      <c r="B145" s="7"/>
      <c r="C145" s="11" t="str">
        <f aca="false">IF($B145="","",IFERROR(INDEX(거래처목록!$B$3:$B$302,MATCH($B145,거래처목록!$A$3:$A$302,0)),"미등록"))</f>
        <v/>
      </c>
      <c r="D145" s="7"/>
      <c r="E145" s="11" t="str">
        <f aca="false">IF($D145="","",IFERROR(INDEX(품목목록!$B$3:$B$202,MATCH($D145,품목목록!$A$3:$A$202,0)),"미등록"))</f>
        <v/>
      </c>
      <c r="F145" s="11" t="str">
        <f aca="false">IF($D145="","",IFERROR(INDEX(품목목록!$D$3:$D$202,MATCH($D145,품목목록!$A$3:$A$202,0)),""))</f>
        <v/>
      </c>
      <c r="G145" s="9"/>
      <c r="H145" s="12" t="str">
        <f aca="false">IF($D145="","",IFERROR(INDEX(품목목록!$E$3:$E$202,MATCH($D145,품목목록!$A$3:$A$202,0)),0))</f>
        <v/>
      </c>
      <c r="I145" s="8"/>
      <c r="J145" s="8"/>
      <c r="K145" s="13"/>
      <c r="L145" s="14"/>
      <c r="M145" s="8"/>
    </row>
    <row r="146" customFormat="false" ht="15" hidden="false" customHeight="true" outlineLevel="0" collapsed="false">
      <c r="A146" s="11" t="str">
        <f aca="false">IF($B146="","",ROW()-2)</f>
        <v/>
      </c>
      <c r="B146" s="7"/>
      <c r="C146" s="11" t="str">
        <f aca="false">IF($B146="","",IFERROR(INDEX(거래처목록!$B$3:$B$302,MATCH($B146,거래처목록!$A$3:$A$302,0)),"미등록"))</f>
        <v/>
      </c>
      <c r="D146" s="7"/>
      <c r="E146" s="11" t="str">
        <f aca="false">IF($D146="","",IFERROR(INDEX(품목목록!$B$3:$B$202,MATCH($D146,품목목록!$A$3:$A$202,0)),"미등록"))</f>
        <v/>
      </c>
      <c r="F146" s="11" t="str">
        <f aca="false">IF($D146="","",IFERROR(INDEX(품목목록!$D$3:$D$202,MATCH($D146,품목목록!$A$3:$A$202,0)),""))</f>
        <v/>
      </c>
      <c r="G146" s="9"/>
      <c r="H146" s="12" t="str">
        <f aca="false">IF($D146="","",IFERROR(INDEX(품목목록!$E$3:$E$202,MATCH($D146,품목목록!$A$3:$A$202,0)),0))</f>
        <v/>
      </c>
      <c r="I146" s="8"/>
      <c r="J146" s="8"/>
      <c r="K146" s="13"/>
      <c r="L146" s="14"/>
      <c r="M146" s="8"/>
    </row>
    <row r="147" customFormat="false" ht="15" hidden="false" customHeight="true" outlineLevel="0" collapsed="false">
      <c r="A147" s="11" t="str">
        <f aca="false">IF($B147="","",ROW()-2)</f>
        <v/>
      </c>
      <c r="B147" s="7"/>
      <c r="C147" s="11" t="str">
        <f aca="false">IF($B147="","",IFERROR(INDEX(거래처목록!$B$3:$B$302,MATCH($B147,거래처목록!$A$3:$A$302,0)),"미등록"))</f>
        <v/>
      </c>
      <c r="D147" s="7"/>
      <c r="E147" s="11" t="str">
        <f aca="false">IF($D147="","",IFERROR(INDEX(품목목록!$B$3:$B$202,MATCH($D147,품목목록!$A$3:$A$202,0)),"미등록"))</f>
        <v/>
      </c>
      <c r="F147" s="11" t="str">
        <f aca="false">IF($D147="","",IFERROR(INDEX(품목목록!$D$3:$D$202,MATCH($D147,품목목록!$A$3:$A$202,0)),""))</f>
        <v/>
      </c>
      <c r="G147" s="9"/>
      <c r="H147" s="12" t="str">
        <f aca="false">IF($D147="","",IFERROR(INDEX(품목목록!$E$3:$E$202,MATCH($D147,품목목록!$A$3:$A$202,0)),0))</f>
        <v/>
      </c>
      <c r="I147" s="8"/>
      <c r="J147" s="8"/>
      <c r="K147" s="13"/>
      <c r="L147" s="14"/>
      <c r="M147" s="8"/>
    </row>
    <row r="148" customFormat="false" ht="15" hidden="false" customHeight="true" outlineLevel="0" collapsed="false">
      <c r="A148" s="11" t="str">
        <f aca="false">IF($B148="","",ROW()-2)</f>
        <v/>
      </c>
      <c r="B148" s="7"/>
      <c r="C148" s="11" t="str">
        <f aca="false">IF($B148="","",IFERROR(INDEX(거래처목록!$B$3:$B$302,MATCH($B148,거래처목록!$A$3:$A$302,0)),"미등록"))</f>
        <v/>
      </c>
      <c r="D148" s="7"/>
      <c r="E148" s="11" t="str">
        <f aca="false">IF($D148="","",IFERROR(INDEX(품목목록!$B$3:$B$202,MATCH($D148,품목목록!$A$3:$A$202,0)),"미등록"))</f>
        <v/>
      </c>
      <c r="F148" s="11" t="str">
        <f aca="false">IF($D148="","",IFERROR(INDEX(품목목록!$D$3:$D$202,MATCH($D148,품목목록!$A$3:$A$202,0)),""))</f>
        <v/>
      </c>
      <c r="G148" s="9"/>
      <c r="H148" s="12" t="str">
        <f aca="false">IF($D148="","",IFERROR(INDEX(품목목록!$E$3:$E$202,MATCH($D148,품목목록!$A$3:$A$202,0)),0))</f>
        <v/>
      </c>
      <c r="I148" s="8"/>
      <c r="J148" s="8"/>
      <c r="K148" s="13"/>
      <c r="L148" s="14"/>
      <c r="M148" s="8"/>
    </row>
    <row r="149" customFormat="false" ht="15" hidden="false" customHeight="true" outlineLevel="0" collapsed="false">
      <c r="A149" s="11" t="str">
        <f aca="false">IF($B149="","",ROW()-2)</f>
        <v/>
      </c>
      <c r="B149" s="7"/>
      <c r="C149" s="11" t="str">
        <f aca="false">IF($B149="","",IFERROR(INDEX(거래처목록!$B$3:$B$302,MATCH($B149,거래처목록!$A$3:$A$302,0)),"미등록"))</f>
        <v/>
      </c>
      <c r="D149" s="7"/>
      <c r="E149" s="11" t="str">
        <f aca="false">IF($D149="","",IFERROR(INDEX(품목목록!$B$3:$B$202,MATCH($D149,품목목록!$A$3:$A$202,0)),"미등록"))</f>
        <v/>
      </c>
      <c r="F149" s="11" t="str">
        <f aca="false">IF($D149="","",IFERROR(INDEX(품목목록!$D$3:$D$202,MATCH($D149,품목목록!$A$3:$A$202,0)),""))</f>
        <v/>
      </c>
      <c r="G149" s="9"/>
      <c r="H149" s="12" t="str">
        <f aca="false">IF($D149="","",IFERROR(INDEX(품목목록!$E$3:$E$202,MATCH($D149,품목목록!$A$3:$A$202,0)),0))</f>
        <v/>
      </c>
      <c r="I149" s="8"/>
      <c r="J149" s="8"/>
      <c r="K149" s="13"/>
      <c r="L149" s="14"/>
      <c r="M149" s="8"/>
    </row>
    <row r="150" customFormat="false" ht="15" hidden="false" customHeight="true" outlineLevel="0" collapsed="false">
      <c r="A150" s="11" t="str">
        <f aca="false">IF($B150="","",ROW()-2)</f>
        <v/>
      </c>
      <c r="B150" s="7"/>
      <c r="C150" s="11" t="str">
        <f aca="false">IF($B150="","",IFERROR(INDEX(거래처목록!$B$3:$B$302,MATCH($B150,거래처목록!$A$3:$A$302,0)),"미등록"))</f>
        <v/>
      </c>
      <c r="D150" s="7"/>
      <c r="E150" s="11" t="str">
        <f aca="false">IF($D150="","",IFERROR(INDEX(품목목록!$B$3:$B$202,MATCH($D150,품목목록!$A$3:$A$202,0)),"미등록"))</f>
        <v/>
      </c>
      <c r="F150" s="11" t="str">
        <f aca="false">IF($D150="","",IFERROR(INDEX(품목목록!$D$3:$D$202,MATCH($D150,품목목록!$A$3:$A$202,0)),""))</f>
        <v/>
      </c>
      <c r="G150" s="9"/>
      <c r="H150" s="12" t="str">
        <f aca="false">IF($D150="","",IFERROR(INDEX(품목목록!$E$3:$E$202,MATCH($D150,품목목록!$A$3:$A$202,0)),0))</f>
        <v/>
      </c>
      <c r="I150" s="8"/>
      <c r="J150" s="8"/>
      <c r="K150" s="13"/>
      <c r="L150" s="14"/>
      <c r="M150" s="8"/>
    </row>
    <row r="151" customFormat="false" ht="15" hidden="false" customHeight="true" outlineLevel="0" collapsed="false">
      <c r="A151" s="11" t="str">
        <f aca="false">IF($B151="","",ROW()-2)</f>
        <v/>
      </c>
      <c r="B151" s="7"/>
      <c r="C151" s="11" t="str">
        <f aca="false">IF($B151="","",IFERROR(INDEX(거래처목록!$B$3:$B$302,MATCH($B151,거래처목록!$A$3:$A$302,0)),"미등록"))</f>
        <v/>
      </c>
      <c r="D151" s="7"/>
      <c r="E151" s="11" t="str">
        <f aca="false">IF($D151="","",IFERROR(INDEX(품목목록!$B$3:$B$202,MATCH($D151,품목목록!$A$3:$A$202,0)),"미등록"))</f>
        <v/>
      </c>
      <c r="F151" s="11" t="str">
        <f aca="false">IF($D151="","",IFERROR(INDEX(품목목록!$D$3:$D$202,MATCH($D151,품목목록!$A$3:$A$202,0)),""))</f>
        <v/>
      </c>
      <c r="G151" s="9"/>
      <c r="H151" s="12" t="str">
        <f aca="false">IF($D151="","",IFERROR(INDEX(품목목록!$E$3:$E$202,MATCH($D151,품목목록!$A$3:$A$202,0)),0))</f>
        <v/>
      </c>
      <c r="I151" s="8"/>
      <c r="J151" s="8"/>
      <c r="K151" s="13"/>
      <c r="L151" s="14"/>
      <c r="M151" s="8"/>
    </row>
    <row r="152" customFormat="false" ht="15" hidden="false" customHeight="true" outlineLevel="0" collapsed="false">
      <c r="A152" s="11" t="str">
        <f aca="false">IF($B152="","",ROW()-2)</f>
        <v/>
      </c>
      <c r="B152" s="7"/>
      <c r="C152" s="11" t="str">
        <f aca="false">IF($B152="","",IFERROR(INDEX(거래처목록!$B$3:$B$302,MATCH($B152,거래처목록!$A$3:$A$302,0)),"미등록"))</f>
        <v/>
      </c>
      <c r="D152" s="7"/>
      <c r="E152" s="11" t="str">
        <f aca="false">IF($D152="","",IFERROR(INDEX(품목목록!$B$3:$B$202,MATCH($D152,품목목록!$A$3:$A$202,0)),"미등록"))</f>
        <v/>
      </c>
      <c r="F152" s="11" t="str">
        <f aca="false">IF($D152="","",IFERROR(INDEX(품목목록!$D$3:$D$202,MATCH($D152,품목목록!$A$3:$A$202,0)),""))</f>
        <v/>
      </c>
      <c r="G152" s="9"/>
      <c r="H152" s="12" t="str">
        <f aca="false">IF($D152="","",IFERROR(INDEX(품목목록!$E$3:$E$202,MATCH($D152,품목목록!$A$3:$A$202,0)),0))</f>
        <v/>
      </c>
      <c r="I152" s="8"/>
      <c r="J152" s="8"/>
      <c r="K152" s="13"/>
      <c r="L152" s="14"/>
      <c r="M152" s="8"/>
    </row>
    <row r="153" customFormat="false" ht="15" hidden="false" customHeight="true" outlineLevel="0" collapsed="false">
      <c r="A153" s="11" t="str">
        <f aca="false">IF($B153="","",ROW()-2)</f>
        <v/>
      </c>
      <c r="B153" s="7"/>
      <c r="C153" s="11" t="str">
        <f aca="false">IF($B153="","",IFERROR(INDEX(거래처목록!$B$3:$B$302,MATCH($B153,거래처목록!$A$3:$A$302,0)),"미등록"))</f>
        <v/>
      </c>
      <c r="D153" s="7"/>
      <c r="E153" s="11" t="str">
        <f aca="false">IF($D153="","",IFERROR(INDEX(품목목록!$B$3:$B$202,MATCH($D153,품목목록!$A$3:$A$202,0)),"미등록"))</f>
        <v/>
      </c>
      <c r="F153" s="11" t="str">
        <f aca="false">IF($D153="","",IFERROR(INDEX(품목목록!$D$3:$D$202,MATCH($D153,품목목록!$A$3:$A$202,0)),""))</f>
        <v/>
      </c>
      <c r="G153" s="9"/>
      <c r="H153" s="12" t="str">
        <f aca="false">IF($D153="","",IFERROR(INDEX(품목목록!$E$3:$E$202,MATCH($D153,품목목록!$A$3:$A$202,0)),0))</f>
        <v/>
      </c>
      <c r="I153" s="8"/>
      <c r="J153" s="8"/>
      <c r="K153" s="13"/>
      <c r="L153" s="14"/>
      <c r="M153" s="8"/>
    </row>
    <row r="154" customFormat="false" ht="15" hidden="false" customHeight="true" outlineLevel="0" collapsed="false">
      <c r="A154" s="11" t="str">
        <f aca="false">IF($B154="","",ROW()-2)</f>
        <v/>
      </c>
      <c r="B154" s="7"/>
      <c r="C154" s="11" t="str">
        <f aca="false">IF($B154="","",IFERROR(INDEX(거래처목록!$B$3:$B$302,MATCH($B154,거래처목록!$A$3:$A$302,0)),"미등록"))</f>
        <v/>
      </c>
      <c r="D154" s="7"/>
      <c r="E154" s="11" t="str">
        <f aca="false">IF($D154="","",IFERROR(INDEX(품목목록!$B$3:$B$202,MATCH($D154,품목목록!$A$3:$A$202,0)),"미등록"))</f>
        <v/>
      </c>
      <c r="F154" s="11" t="str">
        <f aca="false">IF($D154="","",IFERROR(INDEX(품목목록!$D$3:$D$202,MATCH($D154,품목목록!$A$3:$A$202,0)),""))</f>
        <v/>
      </c>
      <c r="G154" s="9"/>
      <c r="H154" s="12" t="str">
        <f aca="false">IF($D154="","",IFERROR(INDEX(품목목록!$E$3:$E$202,MATCH($D154,품목목록!$A$3:$A$202,0)),0))</f>
        <v/>
      </c>
      <c r="I154" s="8"/>
      <c r="J154" s="8"/>
      <c r="K154" s="13"/>
      <c r="L154" s="14"/>
      <c r="M154" s="8"/>
    </row>
    <row r="155" customFormat="false" ht="15" hidden="false" customHeight="true" outlineLevel="0" collapsed="false">
      <c r="A155" s="11" t="str">
        <f aca="false">IF($B155="","",ROW()-2)</f>
        <v/>
      </c>
      <c r="B155" s="7"/>
      <c r="C155" s="11" t="str">
        <f aca="false">IF($B155="","",IFERROR(INDEX(거래처목록!$B$3:$B$302,MATCH($B155,거래처목록!$A$3:$A$302,0)),"미등록"))</f>
        <v/>
      </c>
      <c r="D155" s="7"/>
      <c r="E155" s="11" t="str">
        <f aca="false">IF($D155="","",IFERROR(INDEX(품목목록!$B$3:$B$202,MATCH($D155,품목목록!$A$3:$A$202,0)),"미등록"))</f>
        <v/>
      </c>
      <c r="F155" s="11" t="str">
        <f aca="false">IF($D155="","",IFERROR(INDEX(품목목록!$D$3:$D$202,MATCH($D155,품목목록!$A$3:$A$202,0)),""))</f>
        <v/>
      </c>
      <c r="G155" s="9"/>
      <c r="H155" s="12" t="str">
        <f aca="false">IF($D155="","",IFERROR(INDEX(품목목록!$E$3:$E$202,MATCH($D155,품목목록!$A$3:$A$202,0)),0))</f>
        <v/>
      </c>
      <c r="I155" s="8"/>
      <c r="J155" s="8"/>
      <c r="K155" s="13"/>
      <c r="L155" s="14"/>
      <c r="M155" s="8"/>
    </row>
    <row r="156" customFormat="false" ht="15" hidden="false" customHeight="true" outlineLevel="0" collapsed="false">
      <c r="A156" s="11" t="str">
        <f aca="false">IF($B156="","",ROW()-2)</f>
        <v/>
      </c>
      <c r="B156" s="7"/>
      <c r="C156" s="11" t="str">
        <f aca="false">IF($B156="","",IFERROR(INDEX(거래처목록!$B$3:$B$302,MATCH($B156,거래처목록!$A$3:$A$302,0)),"미등록"))</f>
        <v/>
      </c>
      <c r="D156" s="7"/>
      <c r="E156" s="11" t="str">
        <f aca="false">IF($D156="","",IFERROR(INDEX(품목목록!$B$3:$B$202,MATCH($D156,품목목록!$A$3:$A$202,0)),"미등록"))</f>
        <v/>
      </c>
      <c r="F156" s="11" t="str">
        <f aca="false">IF($D156="","",IFERROR(INDEX(품목목록!$D$3:$D$202,MATCH($D156,품목목록!$A$3:$A$202,0)),""))</f>
        <v/>
      </c>
      <c r="G156" s="9"/>
      <c r="H156" s="12" t="str">
        <f aca="false">IF($D156="","",IFERROR(INDEX(품목목록!$E$3:$E$202,MATCH($D156,품목목록!$A$3:$A$202,0)),0))</f>
        <v/>
      </c>
      <c r="I156" s="8"/>
      <c r="J156" s="8"/>
      <c r="K156" s="13"/>
      <c r="L156" s="14"/>
      <c r="M156" s="8"/>
    </row>
    <row r="157" customFormat="false" ht="15" hidden="false" customHeight="true" outlineLevel="0" collapsed="false">
      <c r="A157" s="11" t="str">
        <f aca="false">IF($B157="","",ROW()-2)</f>
        <v/>
      </c>
      <c r="B157" s="7"/>
      <c r="C157" s="11" t="str">
        <f aca="false">IF($B157="","",IFERROR(INDEX(거래처목록!$B$3:$B$302,MATCH($B157,거래처목록!$A$3:$A$302,0)),"미등록"))</f>
        <v/>
      </c>
      <c r="D157" s="7"/>
      <c r="E157" s="11" t="str">
        <f aca="false">IF($D157="","",IFERROR(INDEX(품목목록!$B$3:$B$202,MATCH($D157,품목목록!$A$3:$A$202,0)),"미등록"))</f>
        <v/>
      </c>
      <c r="F157" s="11" t="str">
        <f aca="false">IF($D157="","",IFERROR(INDEX(품목목록!$D$3:$D$202,MATCH($D157,품목목록!$A$3:$A$202,0)),""))</f>
        <v/>
      </c>
      <c r="G157" s="9"/>
      <c r="H157" s="12" t="str">
        <f aca="false">IF($D157="","",IFERROR(INDEX(품목목록!$E$3:$E$202,MATCH($D157,품목목록!$A$3:$A$202,0)),0))</f>
        <v/>
      </c>
      <c r="I157" s="8"/>
      <c r="J157" s="8"/>
      <c r="K157" s="13"/>
      <c r="L157" s="14"/>
      <c r="M157" s="8"/>
    </row>
    <row r="158" customFormat="false" ht="15" hidden="false" customHeight="true" outlineLevel="0" collapsed="false">
      <c r="A158" s="11" t="str">
        <f aca="false">IF($B158="","",ROW()-2)</f>
        <v/>
      </c>
      <c r="B158" s="7"/>
      <c r="C158" s="11" t="str">
        <f aca="false">IF($B158="","",IFERROR(INDEX(거래처목록!$B$3:$B$302,MATCH($B158,거래처목록!$A$3:$A$302,0)),"미등록"))</f>
        <v/>
      </c>
      <c r="D158" s="7"/>
      <c r="E158" s="11" t="str">
        <f aca="false">IF($D158="","",IFERROR(INDEX(품목목록!$B$3:$B$202,MATCH($D158,품목목록!$A$3:$A$202,0)),"미등록"))</f>
        <v/>
      </c>
      <c r="F158" s="11" t="str">
        <f aca="false">IF($D158="","",IFERROR(INDEX(품목목록!$D$3:$D$202,MATCH($D158,품목목록!$A$3:$A$202,0)),""))</f>
        <v/>
      </c>
      <c r="G158" s="9"/>
      <c r="H158" s="12" t="str">
        <f aca="false">IF($D158="","",IFERROR(INDEX(품목목록!$E$3:$E$202,MATCH($D158,품목목록!$A$3:$A$202,0)),0))</f>
        <v/>
      </c>
      <c r="I158" s="8"/>
      <c r="J158" s="8"/>
      <c r="K158" s="13"/>
      <c r="L158" s="14"/>
      <c r="M158" s="8"/>
    </row>
    <row r="159" customFormat="false" ht="15" hidden="false" customHeight="true" outlineLevel="0" collapsed="false">
      <c r="A159" s="11" t="str">
        <f aca="false">IF($B159="","",ROW()-2)</f>
        <v/>
      </c>
      <c r="B159" s="7"/>
      <c r="C159" s="11" t="str">
        <f aca="false">IF($B159="","",IFERROR(INDEX(거래처목록!$B$3:$B$302,MATCH($B159,거래처목록!$A$3:$A$302,0)),"미등록"))</f>
        <v/>
      </c>
      <c r="D159" s="7"/>
      <c r="E159" s="11" t="str">
        <f aca="false">IF($D159="","",IFERROR(INDEX(품목목록!$B$3:$B$202,MATCH($D159,품목목록!$A$3:$A$202,0)),"미등록"))</f>
        <v/>
      </c>
      <c r="F159" s="11" t="str">
        <f aca="false">IF($D159="","",IFERROR(INDEX(품목목록!$D$3:$D$202,MATCH($D159,품목목록!$A$3:$A$202,0)),""))</f>
        <v/>
      </c>
      <c r="G159" s="9"/>
      <c r="H159" s="12" t="str">
        <f aca="false">IF($D159="","",IFERROR(INDEX(품목목록!$E$3:$E$202,MATCH($D159,품목목록!$A$3:$A$202,0)),0))</f>
        <v/>
      </c>
      <c r="I159" s="8"/>
      <c r="J159" s="8"/>
      <c r="K159" s="13"/>
      <c r="L159" s="14"/>
      <c r="M159" s="8"/>
    </row>
    <row r="160" customFormat="false" ht="15" hidden="false" customHeight="true" outlineLevel="0" collapsed="false">
      <c r="A160" s="11" t="str">
        <f aca="false">IF($B160="","",ROW()-2)</f>
        <v/>
      </c>
      <c r="B160" s="7"/>
      <c r="C160" s="11" t="str">
        <f aca="false">IF($B160="","",IFERROR(INDEX(거래처목록!$B$3:$B$302,MATCH($B160,거래처목록!$A$3:$A$302,0)),"미등록"))</f>
        <v/>
      </c>
      <c r="D160" s="7"/>
      <c r="E160" s="11" t="str">
        <f aca="false">IF($D160="","",IFERROR(INDEX(품목목록!$B$3:$B$202,MATCH($D160,품목목록!$A$3:$A$202,0)),"미등록"))</f>
        <v/>
      </c>
      <c r="F160" s="11" t="str">
        <f aca="false">IF($D160="","",IFERROR(INDEX(품목목록!$D$3:$D$202,MATCH($D160,품목목록!$A$3:$A$202,0)),""))</f>
        <v/>
      </c>
      <c r="G160" s="9"/>
      <c r="H160" s="12" t="str">
        <f aca="false">IF($D160="","",IFERROR(INDEX(품목목록!$E$3:$E$202,MATCH($D160,품목목록!$A$3:$A$202,0)),0))</f>
        <v/>
      </c>
      <c r="I160" s="8"/>
      <c r="J160" s="8"/>
      <c r="K160" s="13"/>
      <c r="L160" s="14"/>
      <c r="M160" s="8"/>
    </row>
    <row r="161" customFormat="false" ht="15" hidden="false" customHeight="true" outlineLevel="0" collapsed="false">
      <c r="A161" s="11" t="str">
        <f aca="false">IF($B161="","",ROW()-2)</f>
        <v/>
      </c>
      <c r="B161" s="7"/>
      <c r="C161" s="11" t="str">
        <f aca="false">IF($B161="","",IFERROR(INDEX(거래처목록!$B$3:$B$302,MATCH($B161,거래처목록!$A$3:$A$302,0)),"미등록"))</f>
        <v/>
      </c>
      <c r="D161" s="7"/>
      <c r="E161" s="11" t="str">
        <f aca="false">IF($D161="","",IFERROR(INDEX(품목목록!$B$3:$B$202,MATCH($D161,품목목록!$A$3:$A$202,0)),"미등록"))</f>
        <v/>
      </c>
      <c r="F161" s="11" t="str">
        <f aca="false">IF($D161="","",IFERROR(INDEX(품목목록!$D$3:$D$202,MATCH($D161,품목목록!$A$3:$A$202,0)),""))</f>
        <v/>
      </c>
      <c r="G161" s="9"/>
      <c r="H161" s="12" t="str">
        <f aca="false">IF($D161="","",IFERROR(INDEX(품목목록!$E$3:$E$202,MATCH($D161,품목목록!$A$3:$A$202,0)),0))</f>
        <v/>
      </c>
      <c r="I161" s="8"/>
      <c r="J161" s="8"/>
      <c r="K161" s="13"/>
      <c r="L161" s="14"/>
      <c r="M161" s="8"/>
    </row>
    <row r="162" customFormat="false" ht="15" hidden="false" customHeight="true" outlineLevel="0" collapsed="false">
      <c r="A162" s="11" t="str">
        <f aca="false">IF($B162="","",ROW()-2)</f>
        <v/>
      </c>
      <c r="B162" s="7"/>
      <c r="C162" s="11" t="str">
        <f aca="false">IF($B162="","",IFERROR(INDEX(거래처목록!$B$3:$B$302,MATCH($B162,거래처목록!$A$3:$A$302,0)),"미등록"))</f>
        <v/>
      </c>
      <c r="D162" s="7"/>
      <c r="E162" s="11" t="str">
        <f aca="false">IF($D162="","",IFERROR(INDEX(품목목록!$B$3:$B$202,MATCH($D162,품목목록!$A$3:$A$202,0)),"미등록"))</f>
        <v/>
      </c>
      <c r="F162" s="11" t="str">
        <f aca="false">IF($D162="","",IFERROR(INDEX(품목목록!$D$3:$D$202,MATCH($D162,품목목록!$A$3:$A$202,0)),""))</f>
        <v/>
      </c>
      <c r="G162" s="9"/>
      <c r="H162" s="12" t="str">
        <f aca="false">IF($D162="","",IFERROR(INDEX(품목목록!$E$3:$E$202,MATCH($D162,품목목록!$A$3:$A$202,0)),0))</f>
        <v/>
      </c>
      <c r="I162" s="8"/>
      <c r="J162" s="8"/>
      <c r="K162" s="13"/>
      <c r="L162" s="14"/>
      <c r="M162" s="8"/>
    </row>
    <row r="163" customFormat="false" ht="15" hidden="false" customHeight="true" outlineLevel="0" collapsed="false">
      <c r="A163" s="11" t="str">
        <f aca="false">IF($B163="","",ROW()-2)</f>
        <v/>
      </c>
      <c r="B163" s="7"/>
      <c r="C163" s="11" t="str">
        <f aca="false">IF($B163="","",IFERROR(INDEX(거래처목록!$B$3:$B$302,MATCH($B163,거래처목록!$A$3:$A$302,0)),"미등록"))</f>
        <v/>
      </c>
      <c r="D163" s="7"/>
      <c r="E163" s="11" t="str">
        <f aca="false">IF($D163="","",IFERROR(INDEX(품목목록!$B$3:$B$202,MATCH($D163,품목목록!$A$3:$A$202,0)),"미등록"))</f>
        <v/>
      </c>
      <c r="F163" s="11" t="str">
        <f aca="false">IF($D163="","",IFERROR(INDEX(품목목록!$D$3:$D$202,MATCH($D163,품목목록!$A$3:$A$202,0)),""))</f>
        <v/>
      </c>
      <c r="G163" s="9"/>
      <c r="H163" s="12" t="str">
        <f aca="false">IF($D163="","",IFERROR(INDEX(품목목록!$E$3:$E$202,MATCH($D163,품목목록!$A$3:$A$202,0)),0))</f>
        <v/>
      </c>
      <c r="I163" s="8"/>
      <c r="J163" s="8"/>
      <c r="K163" s="13"/>
      <c r="L163" s="14"/>
      <c r="M163" s="8"/>
    </row>
    <row r="164" customFormat="false" ht="15" hidden="false" customHeight="true" outlineLevel="0" collapsed="false">
      <c r="A164" s="11" t="str">
        <f aca="false">IF($B164="","",ROW()-2)</f>
        <v/>
      </c>
      <c r="B164" s="7"/>
      <c r="C164" s="11" t="str">
        <f aca="false">IF($B164="","",IFERROR(INDEX(거래처목록!$B$3:$B$302,MATCH($B164,거래처목록!$A$3:$A$302,0)),"미등록"))</f>
        <v/>
      </c>
      <c r="D164" s="7"/>
      <c r="E164" s="11" t="str">
        <f aca="false">IF($D164="","",IFERROR(INDEX(품목목록!$B$3:$B$202,MATCH($D164,품목목록!$A$3:$A$202,0)),"미등록"))</f>
        <v/>
      </c>
      <c r="F164" s="11" t="str">
        <f aca="false">IF($D164="","",IFERROR(INDEX(품목목록!$D$3:$D$202,MATCH($D164,품목목록!$A$3:$A$202,0)),""))</f>
        <v/>
      </c>
      <c r="G164" s="9"/>
      <c r="H164" s="12" t="str">
        <f aca="false">IF($D164="","",IFERROR(INDEX(품목목록!$E$3:$E$202,MATCH($D164,품목목록!$A$3:$A$202,0)),0))</f>
        <v/>
      </c>
      <c r="I164" s="8"/>
      <c r="J164" s="8"/>
      <c r="K164" s="13"/>
      <c r="L164" s="14"/>
      <c r="M164" s="8"/>
    </row>
    <row r="165" customFormat="false" ht="15" hidden="false" customHeight="true" outlineLevel="0" collapsed="false">
      <c r="A165" s="11" t="str">
        <f aca="false">IF($B165="","",ROW()-2)</f>
        <v/>
      </c>
      <c r="B165" s="7"/>
      <c r="C165" s="11" t="str">
        <f aca="false">IF($B165="","",IFERROR(INDEX(거래처목록!$B$3:$B$302,MATCH($B165,거래처목록!$A$3:$A$302,0)),"미등록"))</f>
        <v/>
      </c>
      <c r="D165" s="7"/>
      <c r="E165" s="11" t="str">
        <f aca="false">IF($D165="","",IFERROR(INDEX(품목목록!$B$3:$B$202,MATCH($D165,품목목록!$A$3:$A$202,0)),"미등록"))</f>
        <v/>
      </c>
      <c r="F165" s="11" t="str">
        <f aca="false">IF($D165="","",IFERROR(INDEX(품목목록!$D$3:$D$202,MATCH($D165,품목목록!$A$3:$A$202,0)),""))</f>
        <v/>
      </c>
      <c r="G165" s="9"/>
      <c r="H165" s="12" t="str">
        <f aca="false">IF($D165="","",IFERROR(INDEX(품목목록!$E$3:$E$202,MATCH($D165,품목목록!$A$3:$A$202,0)),0))</f>
        <v/>
      </c>
      <c r="I165" s="8"/>
      <c r="J165" s="8"/>
      <c r="K165" s="13"/>
      <c r="L165" s="14"/>
      <c r="M165" s="8"/>
    </row>
    <row r="166" customFormat="false" ht="15" hidden="false" customHeight="true" outlineLevel="0" collapsed="false">
      <c r="A166" s="11" t="str">
        <f aca="false">IF($B166="","",ROW()-2)</f>
        <v/>
      </c>
      <c r="B166" s="7"/>
      <c r="C166" s="11" t="str">
        <f aca="false">IF($B166="","",IFERROR(INDEX(거래처목록!$B$3:$B$302,MATCH($B166,거래처목록!$A$3:$A$302,0)),"미등록"))</f>
        <v/>
      </c>
      <c r="D166" s="7"/>
      <c r="E166" s="11" t="str">
        <f aca="false">IF($D166="","",IFERROR(INDEX(품목목록!$B$3:$B$202,MATCH($D166,품목목록!$A$3:$A$202,0)),"미등록"))</f>
        <v/>
      </c>
      <c r="F166" s="11" t="str">
        <f aca="false">IF($D166="","",IFERROR(INDEX(품목목록!$D$3:$D$202,MATCH($D166,품목목록!$A$3:$A$202,0)),""))</f>
        <v/>
      </c>
      <c r="G166" s="9"/>
      <c r="H166" s="12" t="str">
        <f aca="false">IF($D166="","",IFERROR(INDEX(품목목록!$E$3:$E$202,MATCH($D166,품목목록!$A$3:$A$202,0)),0))</f>
        <v/>
      </c>
      <c r="I166" s="8"/>
      <c r="J166" s="8"/>
      <c r="K166" s="13"/>
      <c r="L166" s="14"/>
      <c r="M166" s="8"/>
    </row>
    <row r="167" customFormat="false" ht="15" hidden="false" customHeight="true" outlineLevel="0" collapsed="false">
      <c r="A167" s="11" t="str">
        <f aca="false">IF($B167="","",ROW()-2)</f>
        <v/>
      </c>
      <c r="B167" s="7"/>
      <c r="C167" s="11" t="str">
        <f aca="false">IF($B167="","",IFERROR(INDEX(거래처목록!$B$3:$B$302,MATCH($B167,거래처목록!$A$3:$A$302,0)),"미등록"))</f>
        <v/>
      </c>
      <c r="D167" s="7"/>
      <c r="E167" s="11" t="str">
        <f aca="false">IF($D167="","",IFERROR(INDEX(품목목록!$B$3:$B$202,MATCH($D167,품목목록!$A$3:$A$202,0)),"미등록"))</f>
        <v/>
      </c>
      <c r="F167" s="11" t="str">
        <f aca="false">IF($D167="","",IFERROR(INDEX(품목목록!$D$3:$D$202,MATCH($D167,품목목록!$A$3:$A$202,0)),""))</f>
        <v/>
      </c>
      <c r="G167" s="9"/>
      <c r="H167" s="12" t="str">
        <f aca="false">IF($D167="","",IFERROR(INDEX(품목목록!$E$3:$E$202,MATCH($D167,품목목록!$A$3:$A$202,0)),0))</f>
        <v/>
      </c>
      <c r="I167" s="8"/>
      <c r="J167" s="8"/>
      <c r="K167" s="13"/>
      <c r="L167" s="14"/>
      <c r="M167" s="8"/>
    </row>
    <row r="168" customFormat="false" ht="15" hidden="false" customHeight="true" outlineLevel="0" collapsed="false">
      <c r="A168" s="11" t="str">
        <f aca="false">IF($B168="","",ROW()-2)</f>
        <v/>
      </c>
      <c r="B168" s="7"/>
      <c r="C168" s="11" t="str">
        <f aca="false">IF($B168="","",IFERROR(INDEX(거래처목록!$B$3:$B$302,MATCH($B168,거래처목록!$A$3:$A$302,0)),"미등록"))</f>
        <v/>
      </c>
      <c r="D168" s="7"/>
      <c r="E168" s="11" t="str">
        <f aca="false">IF($D168="","",IFERROR(INDEX(품목목록!$B$3:$B$202,MATCH($D168,품목목록!$A$3:$A$202,0)),"미등록"))</f>
        <v/>
      </c>
      <c r="F168" s="11" t="str">
        <f aca="false">IF($D168="","",IFERROR(INDEX(품목목록!$D$3:$D$202,MATCH($D168,품목목록!$A$3:$A$202,0)),""))</f>
        <v/>
      </c>
      <c r="G168" s="9"/>
      <c r="H168" s="12" t="str">
        <f aca="false">IF($D168="","",IFERROR(INDEX(품목목록!$E$3:$E$202,MATCH($D168,품목목록!$A$3:$A$202,0)),0))</f>
        <v/>
      </c>
      <c r="I168" s="8"/>
      <c r="J168" s="8"/>
      <c r="K168" s="13"/>
      <c r="L168" s="14"/>
      <c r="M168" s="8"/>
    </row>
    <row r="169" customFormat="false" ht="15" hidden="false" customHeight="true" outlineLevel="0" collapsed="false">
      <c r="A169" s="11" t="str">
        <f aca="false">IF($B169="","",ROW()-2)</f>
        <v/>
      </c>
      <c r="B169" s="7"/>
      <c r="C169" s="11" t="str">
        <f aca="false">IF($B169="","",IFERROR(INDEX(거래처목록!$B$3:$B$302,MATCH($B169,거래처목록!$A$3:$A$302,0)),"미등록"))</f>
        <v/>
      </c>
      <c r="D169" s="7"/>
      <c r="E169" s="11" t="str">
        <f aca="false">IF($D169="","",IFERROR(INDEX(품목목록!$B$3:$B$202,MATCH($D169,품목목록!$A$3:$A$202,0)),"미등록"))</f>
        <v/>
      </c>
      <c r="F169" s="11" t="str">
        <f aca="false">IF($D169="","",IFERROR(INDEX(품목목록!$D$3:$D$202,MATCH($D169,품목목록!$A$3:$A$202,0)),""))</f>
        <v/>
      </c>
      <c r="G169" s="9"/>
      <c r="H169" s="12" t="str">
        <f aca="false">IF($D169="","",IFERROR(INDEX(품목목록!$E$3:$E$202,MATCH($D169,품목목록!$A$3:$A$202,0)),0))</f>
        <v/>
      </c>
      <c r="I169" s="8"/>
      <c r="J169" s="8"/>
      <c r="K169" s="13"/>
      <c r="L169" s="14"/>
      <c r="M169" s="8"/>
    </row>
    <row r="170" customFormat="false" ht="15" hidden="false" customHeight="true" outlineLevel="0" collapsed="false">
      <c r="A170" s="11" t="str">
        <f aca="false">IF($B170="","",ROW()-2)</f>
        <v/>
      </c>
      <c r="B170" s="7"/>
      <c r="C170" s="11" t="str">
        <f aca="false">IF($B170="","",IFERROR(INDEX(거래처목록!$B$3:$B$302,MATCH($B170,거래처목록!$A$3:$A$302,0)),"미등록"))</f>
        <v/>
      </c>
      <c r="D170" s="7"/>
      <c r="E170" s="11" t="str">
        <f aca="false">IF($D170="","",IFERROR(INDEX(품목목록!$B$3:$B$202,MATCH($D170,품목목록!$A$3:$A$202,0)),"미등록"))</f>
        <v/>
      </c>
      <c r="F170" s="11" t="str">
        <f aca="false">IF($D170="","",IFERROR(INDEX(품목목록!$D$3:$D$202,MATCH($D170,품목목록!$A$3:$A$202,0)),""))</f>
        <v/>
      </c>
      <c r="G170" s="9"/>
      <c r="H170" s="12" t="str">
        <f aca="false">IF($D170="","",IFERROR(INDEX(품목목록!$E$3:$E$202,MATCH($D170,품목목록!$A$3:$A$202,0)),0))</f>
        <v/>
      </c>
      <c r="I170" s="8"/>
      <c r="J170" s="8"/>
      <c r="K170" s="13"/>
      <c r="L170" s="14"/>
      <c r="M170" s="8"/>
    </row>
    <row r="171" customFormat="false" ht="15" hidden="false" customHeight="true" outlineLevel="0" collapsed="false">
      <c r="A171" s="11" t="str">
        <f aca="false">IF($B171="","",ROW()-2)</f>
        <v/>
      </c>
      <c r="B171" s="7"/>
      <c r="C171" s="11" t="str">
        <f aca="false">IF($B171="","",IFERROR(INDEX(거래처목록!$B$3:$B$302,MATCH($B171,거래처목록!$A$3:$A$302,0)),"미등록"))</f>
        <v/>
      </c>
      <c r="D171" s="7"/>
      <c r="E171" s="11" t="str">
        <f aca="false">IF($D171="","",IFERROR(INDEX(품목목록!$B$3:$B$202,MATCH($D171,품목목록!$A$3:$A$202,0)),"미등록"))</f>
        <v/>
      </c>
      <c r="F171" s="11" t="str">
        <f aca="false">IF($D171="","",IFERROR(INDEX(품목목록!$D$3:$D$202,MATCH($D171,품목목록!$A$3:$A$202,0)),""))</f>
        <v/>
      </c>
      <c r="G171" s="9"/>
      <c r="H171" s="12" t="str">
        <f aca="false">IF($D171="","",IFERROR(INDEX(품목목록!$E$3:$E$202,MATCH($D171,품목목록!$A$3:$A$202,0)),0))</f>
        <v/>
      </c>
      <c r="I171" s="8"/>
      <c r="J171" s="8"/>
      <c r="K171" s="13"/>
      <c r="L171" s="14"/>
      <c r="M171" s="8"/>
    </row>
    <row r="172" customFormat="false" ht="15" hidden="false" customHeight="true" outlineLevel="0" collapsed="false">
      <c r="A172" s="11" t="str">
        <f aca="false">IF($B172="","",ROW()-2)</f>
        <v/>
      </c>
      <c r="B172" s="7"/>
      <c r="C172" s="11" t="str">
        <f aca="false">IF($B172="","",IFERROR(INDEX(거래처목록!$B$3:$B$302,MATCH($B172,거래처목록!$A$3:$A$302,0)),"미등록"))</f>
        <v/>
      </c>
      <c r="D172" s="7"/>
      <c r="E172" s="11" t="str">
        <f aca="false">IF($D172="","",IFERROR(INDEX(품목목록!$B$3:$B$202,MATCH($D172,품목목록!$A$3:$A$202,0)),"미등록"))</f>
        <v/>
      </c>
      <c r="F172" s="11" t="str">
        <f aca="false">IF($D172="","",IFERROR(INDEX(품목목록!$D$3:$D$202,MATCH($D172,품목목록!$A$3:$A$202,0)),""))</f>
        <v/>
      </c>
      <c r="G172" s="9"/>
      <c r="H172" s="12" t="str">
        <f aca="false">IF($D172="","",IFERROR(INDEX(품목목록!$E$3:$E$202,MATCH($D172,품목목록!$A$3:$A$202,0)),0))</f>
        <v/>
      </c>
      <c r="I172" s="8"/>
      <c r="J172" s="8"/>
      <c r="K172" s="13"/>
      <c r="L172" s="14"/>
      <c r="M172" s="8"/>
    </row>
    <row r="173" customFormat="false" ht="15" hidden="false" customHeight="true" outlineLevel="0" collapsed="false">
      <c r="A173" s="11" t="str">
        <f aca="false">IF($B173="","",ROW()-2)</f>
        <v/>
      </c>
      <c r="B173" s="7"/>
      <c r="C173" s="11" t="str">
        <f aca="false">IF($B173="","",IFERROR(INDEX(거래처목록!$B$3:$B$302,MATCH($B173,거래처목록!$A$3:$A$302,0)),"미등록"))</f>
        <v/>
      </c>
      <c r="D173" s="7"/>
      <c r="E173" s="11" t="str">
        <f aca="false">IF($D173="","",IFERROR(INDEX(품목목록!$B$3:$B$202,MATCH($D173,품목목록!$A$3:$A$202,0)),"미등록"))</f>
        <v/>
      </c>
      <c r="F173" s="11" t="str">
        <f aca="false">IF($D173="","",IFERROR(INDEX(품목목록!$D$3:$D$202,MATCH($D173,품목목록!$A$3:$A$202,0)),""))</f>
        <v/>
      </c>
      <c r="G173" s="9"/>
      <c r="H173" s="12" t="str">
        <f aca="false">IF($D173="","",IFERROR(INDEX(품목목록!$E$3:$E$202,MATCH($D173,품목목록!$A$3:$A$202,0)),0))</f>
        <v/>
      </c>
      <c r="I173" s="8"/>
      <c r="J173" s="8"/>
      <c r="K173" s="13"/>
      <c r="L173" s="14"/>
      <c r="M173" s="8"/>
    </row>
    <row r="174" customFormat="false" ht="15" hidden="false" customHeight="true" outlineLevel="0" collapsed="false">
      <c r="A174" s="11" t="str">
        <f aca="false">IF($B174="","",ROW()-2)</f>
        <v/>
      </c>
      <c r="B174" s="7"/>
      <c r="C174" s="11" t="str">
        <f aca="false">IF($B174="","",IFERROR(INDEX(거래처목록!$B$3:$B$302,MATCH($B174,거래처목록!$A$3:$A$302,0)),"미등록"))</f>
        <v/>
      </c>
      <c r="D174" s="7"/>
      <c r="E174" s="11" t="str">
        <f aca="false">IF($D174="","",IFERROR(INDEX(품목목록!$B$3:$B$202,MATCH($D174,품목목록!$A$3:$A$202,0)),"미등록"))</f>
        <v/>
      </c>
      <c r="F174" s="11" t="str">
        <f aca="false">IF($D174="","",IFERROR(INDEX(품목목록!$D$3:$D$202,MATCH($D174,품목목록!$A$3:$A$202,0)),""))</f>
        <v/>
      </c>
      <c r="G174" s="9"/>
      <c r="H174" s="12" t="str">
        <f aca="false">IF($D174="","",IFERROR(INDEX(품목목록!$E$3:$E$202,MATCH($D174,품목목록!$A$3:$A$202,0)),0))</f>
        <v/>
      </c>
      <c r="I174" s="8"/>
      <c r="J174" s="8"/>
      <c r="K174" s="13"/>
      <c r="L174" s="14"/>
      <c r="M174" s="8"/>
    </row>
    <row r="175" customFormat="false" ht="15" hidden="false" customHeight="true" outlineLevel="0" collapsed="false">
      <c r="A175" s="11" t="str">
        <f aca="false">IF($B175="","",ROW()-2)</f>
        <v/>
      </c>
      <c r="B175" s="7"/>
      <c r="C175" s="11" t="str">
        <f aca="false">IF($B175="","",IFERROR(INDEX(거래처목록!$B$3:$B$302,MATCH($B175,거래처목록!$A$3:$A$302,0)),"미등록"))</f>
        <v/>
      </c>
      <c r="D175" s="7"/>
      <c r="E175" s="11" t="str">
        <f aca="false">IF($D175="","",IFERROR(INDEX(품목목록!$B$3:$B$202,MATCH($D175,품목목록!$A$3:$A$202,0)),"미등록"))</f>
        <v/>
      </c>
      <c r="F175" s="11" t="str">
        <f aca="false">IF($D175="","",IFERROR(INDEX(품목목록!$D$3:$D$202,MATCH($D175,품목목록!$A$3:$A$202,0)),""))</f>
        <v/>
      </c>
      <c r="G175" s="9"/>
      <c r="H175" s="12" t="str">
        <f aca="false">IF($D175="","",IFERROR(INDEX(품목목록!$E$3:$E$202,MATCH($D175,품목목록!$A$3:$A$202,0)),0))</f>
        <v/>
      </c>
      <c r="I175" s="8"/>
      <c r="J175" s="8"/>
      <c r="K175" s="13"/>
      <c r="L175" s="14"/>
      <c r="M175" s="8"/>
    </row>
    <row r="176" customFormat="false" ht="15" hidden="false" customHeight="true" outlineLevel="0" collapsed="false">
      <c r="A176" s="11" t="str">
        <f aca="false">IF($B176="","",ROW()-2)</f>
        <v/>
      </c>
      <c r="B176" s="7"/>
      <c r="C176" s="11" t="str">
        <f aca="false">IF($B176="","",IFERROR(INDEX(거래처목록!$B$3:$B$302,MATCH($B176,거래처목록!$A$3:$A$302,0)),"미등록"))</f>
        <v/>
      </c>
      <c r="D176" s="7"/>
      <c r="E176" s="11" t="str">
        <f aca="false">IF($D176="","",IFERROR(INDEX(품목목록!$B$3:$B$202,MATCH($D176,품목목록!$A$3:$A$202,0)),"미등록"))</f>
        <v/>
      </c>
      <c r="F176" s="11" t="str">
        <f aca="false">IF($D176="","",IFERROR(INDEX(품목목록!$D$3:$D$202,MATCH($D176,품목목록!$A$3:$A$202,0)),""))</f>
        <v/>
      </c>
      <c r="G176" s="9"/>
      <c r="H176" s="12" t="str">
        <f aca="false">IF($D176="","",IFERROR(INDEX(품목목록!$E$3:$E$202,MATCH($D176,품목목록!$A$3:$A$202,0)),0))</f>
        <v/>
      </c>
      <c r="I176" s="8"/>
      <c r="J176" s="8"/>
      <c r="K176" s="13"/>
      <c r="L176" s="14"/>
      <c r="M176" s="8"/>
    </row>
    <row r="177" customFormat="false" ht="15" hidden="false" customHeight="true" outlineLevel="0" collapsed="false">
      <c r="A177" s="11" t="str">
        <f aca="false">IF($B177="","",ROW()-2)</f>
        <v/>
      </c>
      <c r="B177" s="7"/>
      <c r="C177" s="11" t="str">
        <f aca="false">IF($B177="","",IFERROR(INDEX(거래처목록!$B$3:$B$302,MATCH($B177,거래처목록!$A$3:$A$302,0)),"미등록"))</f>
        <v/>
      </c>
      <c r="D177" s="7"/>
      <c r="E177" s="11" t="str">
        <f aca="false">IF($D177="","",IFERROR(INDEX(품목목록!$B$3:$B$202,MATCH($D177,품목목록!$A$3:$A$202,0)),"미등록"))</f>
        <v/>
      </c>
      <c r="F177" s="11" t="str">
        <f aca="false">IF($D177="","",IFERROR(INDEX(품목목록!$D$3:$D$202,MATCH($D177,품목목록!$A$3:$A$202,0)),""))</f>
        <v/>
      </c>
      <c r="G177" s="9"/>
      <c r="H177" s="12" t="str">
        <f aca="false">IF($D177="","",IFERROR(INDEX(품목목록!$E$3:$E$202,MATCH($D177,품목목록!$A$3:$A$202,0)),0))</f>
        <v/>
      </c>
      <c r="I177" s="8"/>
      <c r="J177" s="8"/>
      <c r="K177" s="13"/>
      <c r="L177" s="14"/>
      <c r="M177" s="8"/>
    </row>
    <row r="178" customFormat="false" ht="15" hidden="false" customHeight="true" outlineLevel="0" collapsed="false">
      <c r="A178" s="11" t="str">
        <f aca="false">IF($B178="","",ROW()-2)</f>
        <v/>
      </c>
      <c r="B178" s="7"/>
      <c r="C178" s="11" t="str">
        <f aca="false">IF($B178="","",IFERROR(INDEX(거래처목록!$B$3:$B$302,MATCH($B178,거래처목록!$A$3:$A$302,0)),"미등록"))</f>
        <v/>
      </c>
      <c r="D178" s="7"/>
      <c r="E178" s="11" t="str">
        <f aca="false">IF($D178="","",IFERROR(INDEX(품목목록!$B$3:$B$202,MATCH($D178,품목목록!$A$3:$A$202,0)),"미등록"))</f>
        <v/>
      </c>
      <c r="F178" s="11" t="str">
        <f aca="false">IF($D178="","",IFERROR(INDEX(품목목록!$D$3:$D$202,MATCH($D178,품목목록!$A$3:$A$202,0)),""))</f>
        <v/>
      </c>
      <c r="G178" s="9"/>
      <c r="H178" s="12" t="str">
        <f aca="false">IF($D178="","",IFERROR(INDEX(품목목록!$E$3:$E$202,MATCH($D178,품목목록!$A$3:$A$202,0)),0))</f>
        <v/>
      </c>
      <c r="I178" s="8"/>
      <c r="J178" s="8"/>
      <c r="K178" s="13"/>
      <c r="L178" s="14"/>
      <c r="M178" s="8"/>
    </row>
    <row r="179" customFormat="false" ht="15" hidden="false" customHeight="true" outlineLevel="0" collapsed="false">
      <c r="A179" s="11" t="str">
        <f aca="false">IF($B179="","",ROW()-2)</f>
        <v/>
      </c>
      <c r="B179" s="7"/>
      <c r="C179" s="11" t="str">
        <f aca="false">IF($B179="","",IFERROR(INDEX(거래처목록!$B$3:$B$302,MATCH($B179,거래처목록!$A$3:$A$302,0)),"미등록"))</f>
        <v/>
      </c>
      <c r="D179" s="7"/>
      <c r="E179" s="11" t="str">
        <f aca="false">IF($D179="","",IFERROR(INDEX(품목목록!$B$3:$B$202,MATCH($D179,품목목록!$A$3:$A$202,0)),"미등록"))</f>
        <v/>
      </c>
      <c r="F179" s="11" t="str">
        <f aca="false">IF($D179="","",IFERROR(INDEX(품목목록!$D$3:$D$202,MATCH($D179,품목목록!$A$3:$A$202,0)),""))</f>
        <v/>
      </c>
      <c r="G179" s="9"/>
      <c r="H179" s="12" t="str">
        <f aca="false">IF($D179="","",IFERROR(INDEX(품목목록!$E$3:$E$202,MATCH($D179,품목목록!$A$3:$A$202,0)),0))</f>
        <v/>
      </c>
      <c r="I179" s="8"/>
      <c r="J179" s="8"/>
      <c r="K179" s="13"/>
      <c r="L179" s="14"/>
      <c r="M179" s="8"/>
    </row>
    <row r="180" customFormat="false" ht="15" hidden="false" customHeight="true" outlineLevel="0" collapsed="false">
      <c r="A180" s="11" t="str">
        <f aca="false">IF($B180="","",ROW()-2)</f>
        <v/>
      </c>
      <c r="B180" s="7"/>
      <c r="C180" s="11" t="str">
        <f aca="false">IF($B180="","",IFERROR(INDEX(거래처목록!$B$3:$B$302,MATCH($B180,거래처목록!$A$3:$A$302,0)),"미등록"))</f>
        <v/>
      </c>
      <c r="D180" s="7"/>
      <c r="E180" s="11" t="str">
        <f aca="false">IF($D180="","",IFERROR(INDEX(품목목록!$B$3:$B$202,MATCH($D180,품목목록!$A$3:$A$202,0)),"미등록"))</f>
        <v/>
      </c>
      <c r="F180" s="11" t="str">
        <f aca="false">IF($D180="","",IFERROR(INDEX(품목목록!$D$3:$D$202,MATCH($D180,품목목록!$A$3:$A$202,0)),""))</f>
        <v/>
      </c>
      <c r="G180" s="9"/>
      <c r="H180" s="12" t="str">
        <f aca="false">IF($D180="","",IFERROR(INDEX(품목목록!$E$3:$E$202,MATCH($D180,품목목록!$A$3:$A$202,0)),0))</f>
        <v/>
      </c>
      <c r="I180" s="8"/>
      <c r="J180" s="8"/>
      <c r="K180" s="13"/>
      <c r="L180" s="14"/>
      <c r="M180" s="8"/>
    </row>
    <row r="181" customFormat="false" ht="15" hidden="false" customHeight="true" outlineLevel="0" collapsed="false">
      <c r="A181" s="11" t="str">
        <f aca="false">IF($B181="","",ROW()-2)</f>
        <v/>
      </c>
      <c r="B181" s="7"/>
      <c r="C181" s="11" t="str">
        <f aca="false">IF($B181="","",IFERROR(INDEX(거래처목록!$B$3:$B$302,MATCH($B181,거래처목록!$A$3:$A$302,0)),"미등록"))</f>
        <v/>
      </c>
      <c r="D181" s="7"/>
      <c r="E181" s="11" t="str">
        <f aca="false">IF($D181="","",IFERROR(INDEX(품목목록!$B$3:$B$202,MATCH($D181,품목목록!$A$3:$A$202,0)),"미등록"))</f>
        <v/>
      </c>
      <c r="F181" s="11" t="str">
        <f aca="false">IF($D181="","",IFERROR(INDEX(품목목록!$D$3:$D$202,MATCH($D181,품목목록!$A$3:$A$202,0)),""))</f>
        <v/>
      </c>
      <c r="G181" s="9"/>
      <c r="H181" s="12" t="str">
        <f aca="false">IF($D181="","",IFERROR(INDEX(품목목록!$E$3:$E$202,MATCH($D181,품목목록!$A$3:$A$202,0)),0))</f>
        <v/>
      </c>
      <c r="I181" s="8"/>
      <c r="J181" s="8"/>
      <c r="K181" s="13"/>
      <c r="L181" s="14"/>
      <c r="M181" s="8"/>
    </row>
    <row r="182" customFormat="false" ht="15" hidden="false" customHeight="true" outlineLevel="0" collapsed="false">
      <c r="A182" s="11" t="str">
        <f aca="false">IF($B182="","",ROW()-2)</f>
        <v/>
      </c>
      <c r="B182" s="7"/>
      <c r="C182" s="11" t="str">
        <f aca="false">IF($B182="","",IFERROR(INDEX(거래처목록!$B$3:$B$302,MATCH($B182,거래처목록!$A$3:$A$302,0)),"미등록"))</f>
        <v/>
      </c>
      <c r="D182" s="7"/>
      <c r="E182" s="11" t="str">
        <f aca="false">IF($D182="","",IFERROR(INDEX(품목목록!$B$3:$B$202,MATCH($D182,품목목록!$A$3:$A$202,0)),"미등록"))</f>
        <v/>
      </c>
      <c r="F182" s="11" t="str">
        <f aca="false">IF($D182="","",IFERROR(INDEX(품목목록!$D$3:$D$202,MATCH($D182,품목목록!$A$3:$A$202,0)),""))</f>
        <v/>
      </c>
      <c r="G182" s="9"/>
      <c r="H182" s="12" t="str">
        <f aca="false">IF($D182="","",IFERROR(INDEX(품목목록!$E$3:$E$202,MATCH($D182,품목목록!$A$3:$A$202,0)),0))</f>
        <v/>
      </c>
      <c r="I182" s="8"/>
      <c r="J182" s="8"/>
      <c r="K182" s="13"/>
      <c r="L182" s="14"/>
      <c r="M182" s="8"/>
    </row>
    <row r="183" customFormat="false" ht="15" hidden="false" customHeight="true" outlineLevel="0" collapsed="false">
      <c r="A183" s="11" t="str">
        <f aca="false">IF($B183="","",ROW()-2)</f>
        <v/>
      </c>
      <c r="B183" s="7"/>
      <c r="C183" s="11" t="str">
        <f aca="false">IF($B183="","",IFERROR(INDEX(거래처목록!$B$3:$B$302,MATCH($B183,거래처목록!$A$3:$A$302,0)),"미등록"))</f>
        <v/>
      </c>
      <c r="D183" s="7"/>
      <c r="E183" s="11" t="str">
        <f aca="false">IF($D183="","",IFERROR(INDEX(품목목록!$B$3:$B$202,MATCH($D183,품목목록!$A$3:$A$202,0)),"미등록"))</f>
        <v/>
      </c>
      <c r="F183" s="11" t="str">
        <f aca="false">IF($D183="","",IFERROR(INDEX(품목목록!$D$3:$D$202,MATCH($D183,품목목록!$A$3:$A$202,0)),""))</f>
        <v/>
      </c>
      <c r="G183" s="9"/>
      <c r="H183" s="12" t="str">
        <f aca="false">IF($D183="","",IFERROR(INDEX(품목목록!$E$3:$E$202,MATCH($D183,품목목록!$A$3:$A$202,0)),0))</f>
        <v/>
      </c>
      <c r="I183" s="8"/>
      <c r="J183" s="8"/>
      <c r="K183" s="13"/>
      <c r="L183" s="14"/>
      <c r="M183" s="8"/>
    </row>
    <row r="184" customFormat="false" ht="15" hidden="false" customHeight="true" outlineLevel="0" collapsed="false">
      <c r="A184" s="11" t="str">
        <f aca="false">IF($B184="","",ROW()-2)</f>
        <v/>
      </c>
      <c r="B184" s="7"/>
      <c r="C184" s="11" t="str">
        <f aca="false">IF($B184="","",IFERROR(INDEX(거래처목록!$B$3:$B$302,MATCH($B184,거래처목록!$A$3:$A$302,0)),"미등록"))</f>
        <v/>
      </c>
      <c r="D184" s="7"/>
      <c r="E184" s="11" t="str">
        <f aca="false">IF($D184="","",IFERROR(INDEX(품목목록!$B$3:$B$202,MATCH($D184,품목목록!$A$3:$A$202,0)),"미등록"))</f>
        <v/>
      </c>
      <c r="F184" s="11" t="str">
        <f aca="false">IF($D184="","",IFERROR(INDEX(품목목록!$D$3:$D$202,MATCH($D184,품목목록!$A$3:$A$202,0)),""))</f>
        <v/>
      </c>
      <c r="G184" s="9"/>
      <c r="H184" s="12" t="str">
        <f aca="false">IF($D184="","",IFERROR(INDEX(품목목록!$E$3:$E$202,MATCH($D184,품목목록!$A$3:$A$202,0)),0))</f>
        <v/>
      </c>
      <c r="I184" s="8"/>
      <c r="J184" s="8"/>
      <c r="K184" s="13"/>
      <c r="L184" s="14"/>
      <c r="M184" s="8"/>
    </row>
    <row r="185" customFormat="false" ht="15" hidden="false" customHeight="true" outlineLevel="0" collapsed="false">
      <c r="A185" s="11" t="str">
        <f aca="false">IF($B185="","",ROW()-2)</f>
        <v/>
      </c>
      <c r="B185" s="7"/>
      <c r="C185" s="11" t="str">
        <f aca="false">IF($B185="","",IFERROR(INDEX(거래처목록!$B$3:$B$302,MATCH($B185,거래처목록!$A$3:$A$302,0)),"미등록"))</f>
        <v/>
      </c>
      <c r="D185" s="7"/>
      <c r="E185" s="11" t="str">
        <f aca="false">IF($D185="","",IFERROR(INDEX(품목목록!$B$3:$B$202,MATCH($D185,품목목록!$A$3:$A$202,0)),"미등록"))</f>
        <v/>
      </c>
      <c r="F185" s="11" t="str">
        <f aca="false">IF($D185="","",IFERROR(INDEX(품목목록!$D$3:$D$202,MATCH($D185,품목목록!$A$3:$A$202,0)),""))</f>
        <v/>
      </c>
      <c r="G185" s="9"/>
      <c r="H185" s="12" t="str">
        <f aca="false">IF($D185="","",IFERROR(INDEX(품목목록!$E$3:$E$202,MATCH($D185,품목목록!$A$3:$A$202,0)),0))</f>
        <v/>
      </c>
      <c r="I185" s="8"/>
      <c r="J185" s="8"/>
      <c r="K185" s="13"/>
      <c r="L185" s="14"/>
      <c r="M185" s="8"/>
    </row>
    <row r="186" customFormat="false" ht="15" hidden="false" customHeight="true" outlineLevel="0" collapsed="false">
      <c r="A186" s="11" t="str">
        <f aca="false">IF($B186="","",ROW()-2)</f>
        <v/>
      </c>
      <c r="B186" s="7"/>
      <c r="C186" s="11" t="str">
        <f aca="false">IF($B186="","",IFERROR(INDEX(거래처목록!$B$3:$B$302,MATCH($B186,거래처목록!$A$3:$A$302,0)),"미등록"))</f>
        <v/>
      </c>
      <c r="D186" s="7"/>
      <c r="E186" s="11" t="str">
        <f aca="false">IF($D186="","",IFERROR(INDEX(품목목록!$B$3:$B$202,MATCH($D186,품목목록!$A$3:$A$202,0)),"미등록"))</f>
        <v/>
      </c>
      <c r="F186" s="11" t="str">
        <f aca="false">IF($D186="","",IFERROR(INDEX(품목목록!$D$3:$D$202,MATCH($D186,품목목록!$A$3:$A$202,0)),""))</f>
        <v/>
      </c>
      <c r="G186" s="9"/>
      <c r="H186" s="12" t="str">
        <f aca="false">IF($D186="","",IFERROR(INDEX(품목목록!$E$3:$E$202,MATCH($D186,품목목록!$A$3:$A$202,0)),0))</f>
        <v/>
      </c>
      <c r="I186" s="8"/>
      <c r="J186" s="8"/>
      <c r="K186" s="13"/>
      <c r="L186" s="14"/>
      <c r="M186" s="8"/>
    </row>
    <row r="187" customFormat="false" ht="15" hidden="false" customHeight="true" outlineLevel="0" collapsed="false">
      <c r="A187" s="11" t="str">
        <f aca="false">IF($B187="","",ROW()-2)</f>
        <v/>
      </c>
      <c r="B187" s="7"/>
      <c r="C187" s="11" t="str">
        <f aca="false">IF($B187="","",IFERROR(INDEX(거래처목록!$B$3:$B$302,MATCH($B187,거래처목록!$A$3:$A$302,0)),"미등록"))</f>
        <v/>
      </c>
      <c r="D187" s="7"/>
      <c r="E187" s="11" t="str">
        <f aca="false">IF($D187="","",IFERROR(INDEX(품목목록!$B$3:$B$202,MATCH($D187,품목목록!$A$3:$A$202,0)),"미등록"))</f>
        <v/>
      </c>
      <c r="F187" s="11" t="str">
        <f aca="false">IF($D187="","",IFERROR(INDEX(품목목록!$D$3:$D$202,MATCH($D187,품목목록!$A$3:$A$202,0)),""))</f>
        <v/>
      </c>
      <c r="G187" s="9"/>
      <c r="H187" s="12" t="str">
        <f aca="false">IF($D187="","",IFERROR(INDEX(품목목록!$E$3:$E$202,MATCH($D187,품목목록!$A$3:$A$202,0)),0))</f>
        <v/>
      </c>
      <c r="I187" s="8"/>
      <c r="J187" s="8"/>
      <c r="K187" s="13"/>
      <c r="L187" s="14"/>
      <c r="M187" s="8"/>
    </row>
    <row r="188" customFormat="false" ht="15" hidden="false" customHeight="true" outlineLevel="0" collapsed="false">
      <c r="A188" s="11" t="str">
        <f aca="false">IF($B188="","",ROW()-2)</f>
        <v/>
      </c>
      <c r="B188" s="7"/>
      <c r="C188" s="11" t="str">
        <f aca="false">IF($B188="","",IFERROR(INDEX(거래처목록!$B$3:$B$302,MATCH($B188,거래처목록!$A$3:$A$302,0)),"미등록"))</f>
        <v/>
      </c>
      <c r="D188" s="7"/>
      <c r="E188" s="11" t="str">
        <f aca="false">IF($D188="","",IFERROR(INDEX(품목목록!$B$3:$B$202,MATCH($D188,품목목록!$A$3:$A$202,0)),"미등록"))</f>
        <v/>
      </c>
      <c r="F188" s="11" t="str">
        <f aca="false">IF($D188="","",IFERROR(INDEX(품목목록!$D$3:$D$202,MATCH($D188,품목목록!$A$3:$A$202,0)),""))</f>
        <v/>
      </c>
      <c r="G188" s="9"/>
      <c r="H188" s="12" t="str">
        <f aca="false">IF($D188="","",IFERROR(INDEX(품목목록!$E$3:$E$202,MATCH($D188,품목목록!$A$3:$A$202,0)),0))</f>
        <v/>
      </c>
      <c r="I188" s="8"/>
      <c r="J188" s="8"/>
      <c r="K188" s="13"/>
      <c r="L188" s="14"/>
      <c r="M188" s="8"/>
    </row>
    <row r="189" customFormat="false" ht="15" hidden="false" customHeight="true" outlineLevel="0" collapsed="false">
      <c r="A189" s="11" t="str">
        <f aca="false">IF($B189="","",ROW()-2)</f>
        <v/>
      </c>
      <c r="B189" s="7"/>
      <c r="C189" s="11" t="str">
        <f aca="false">IF($B189="","",IFERROR(INDEX(거래처목록!$B$3:$B$302,MATCH($B189,거래처목록!$A$3:$A$302,0)),"미등록"))</f>
        <v/>
      </c>
      <c r="D189" s="7"/>
      <c r="E189" s="11" t="str">
        <f aca="false">IF($D189="","",IFERROR(INDEX(품목목록!$B$3:$B$202,MATCH($D189,품목목록!$A$3:$A$202,0)),"미등록"))</f>
        <v/>
      </c>
      <c r="F189" s="11" t="str">
        <f aca="false">IF($D189="","",IFERROR(INDEX(품목목록!$D$3:$D$202,MATCH($D189,품목목록!$A$3:$A$202,0)),""))</f>
        <v/>
      </c>
      <c r="G189" s="9"/>
      <c r="H189" s="12" t="str">
        <f aca="false">IF($D189="","",IFERROR(INDEX(품목목록!$E$3:$E$202,MATCH($D189,품목목록!$A$3:$A$202,0)),0))</f>
        <v/>
      </c>
      <c r="I189" s="8"/>
      <c r="J189" s="8"/>
      <c r="K189" s="13"/>
      <c r="L189" s="14"/>
      <c r="M189" s="8"/>
    </row>
    <row r="190" customFormat="false" ht="15" hidden="false" customHeight="true" outlineLevel="0" collapsed="false">
      <c r="A190" s="11" t="str">
        <f aca="false">IF($B190="","",ROW()-2)</f>
        <v/>
      </c>
      <c r="B190" s="7"/>
      <c r="C190" s="11" t="str">
        <f aca="false">IF($B190="","",IFERROR(INDEX(거래처목록!$B$3:$B$302,MATCH($B190,거래처목록!$A$3:$A$302,0)),"미등록"))</f>
        <v/>
      </c>
      <c r="D190" s="7"/>
      <c r="E190" s="11" t="str">
        <f aca="false">IF($D190="","",IFERROR(INDEX(품목목록!$B$3:$B$202,MATCH($D190,품목목록!$A$3:$A$202,0)),"미등록"))</f>
        <v/>
      </c>
      <c r="F190" s="11" t="str">
        <f aca="false">IF($D190="","",IFERROR(INDEX(품목목록!$D$3:$D$202,MATCH($D190,품목목록!$A$3:$A$202,0)),""))</f>
        <v/>
      </c>
      <c r="G190" s="9"/>
      <c r="H190" s="12" t="str">
        <f aca="false">IF($D190="","",IFERROR(INDEX(품목목록!$E$3:$E$202,MATCH($D190,품목목록!$A$3:$A$202,0)),0))</f>
        <v/>
      </c>
      <c r="I190" s="8"/>
      <c r="J190" s="8"/>
      <c r="K190" s="13"/>
      <c r="L190" s="14"/>
      <c r="M190" s="8"/>
    </row>
    <row r="191" customFormat="false" ht="15" hidden="false" customHeight="true" outlineLevel="0" collapsed="false">
      <c r="A191" s="11" t="str">
        <f aca="false">IF($B191="","",ROW()-2)</f>
        <v/>
      </c>
      <c r="B191" s="7"/>
      <c r="C191" s="11" t="str">
        <f aca="false">IF($B191="","",IFERROR(INDEX(거래처목록!$B$3:$B$302,MATCH($B191,거래처목록!$A$3:$A$302,0)),"미등록"))</f>
        <v/>
      </c>
      <c r="D191" s="7"/>
      <c r="E191" s="11" t="str">
        <f aca="false">IF($D191="","",IFERROR(INDEX(품목목록!$B$3:$B$202,MATCH($D191,품목목록!$A$3:$A$202,0)),"미등록"))</f>
        <v/>
      </c>
      <c r="F191" s="11" t="str">
        <f aca="false">IF($D191="","",IFERROR(INDEX(품목목록!$D$3:$D$202,MATCH($D191,품목목록!$A$3:$A$202,0)),""))</f>
        <v/>
      </c>
      <c r="G191" s="9"/>
      <c r="H191" s="12" t="str">
        <f aca="false">IF($D191="","",IFERROR(INDEX(품목목록!$E$3:$E$202,MATCH($D191,품목목록!$A$3:$A$202,0)),0))</f>
        <v/>
      </c>
      <c r="I191" s="8"/>
      <c r="J191" s="8"/>
      <c r="K191" s="13"/>
      <c r="L191" s="14"/>
      <c r="M191" s="8"/>
    </row>
    <row r="192" customFormat="false" ht="15" hidden="false" customHeight="true" outlineLevel="0" collapsed="false">
      <c r="A192" s="11" t="str">
        <f aca="false">IF($B192="","",ROW()-2)</f>
        <v/>
      </c>
      <c r="B192" s="7"/>
      <c r="C192" s="11" t="str">
        <f aca="false">IF($B192="","",IFERROR(INDEX(거래처목록!$B$3:$B$302,MATCH($B192,거래처목록!$A$3:$A$302,0)),"미등록"))</f>
        <v/>
      </c>
      <c r="D192" s="7"/>
      <c r="E192" s="11" t="str">
        <f aca="false">IF($D192="","",IFERROR(INDEX(품목목록!$B$3:$B$202,MATCH($D192,품목목록!$A$3:$A$202,0)),"미등록"))</f>
        <v/>
      </c>
      <c r="F192" s="11" t="str">
        <f aca="false">IF($D192="","",IFERROR(INDEX(품목목록!$D$3:$D$202,MATCH($D192,품목목록!$A$3:$A$202,0)),""))</f>
        <v/>
      </c>
      <c r="G192" s="9"/>
      <c r="H192" s="12" t="str">
        <f aca="false">IF($D192="","",IFERROR(INDEX(품목목록!$E$3:$E$202,MATCH($D192,품목목록!$A$3:$A$202,0)),0))</f>
        <v/>
      </c>
      <c r="I192" s="8"/>
      <c r="J192" s="8"/>
      <c r="K192" s="13"/>
      <c r="L192" s="14"/>
      <c r="M192" s="8"/>
    </row>
    <row r="193" customFormat="false" ht="15" hidden="false" customHeight="true" outlineLevel="0" collapsed="false">
      <c r="A193" s="11" t="str">
        <f aca="false">IF($B193="","",ROW()-2)</f>
        <v/>
      </c>
      <c r="B193" s="7"/>
      <c r="C193" s="11" t="str">
        <f aca="false">IF($B193="","",IFERROR(INDEX(거래처목록!$B$3:$B$302,MATCH($B193,거래처목록!$A$3:$A$302,0)),"미등록"))</f>
        <v/>
      </c>
      <c r="D193" s="7"/>
      <c r="E193" s="11" t="str">
        <f aca="false">IF($D193="","",IFERROR(INDEX(품목목록!$B$3:$B$202,MATCH($D193,품목목록!$A$3:$A$202,0)),"미등록"))</f>
        <v/>
      </c>
      <c r="F193" s="11" t="str">
        <f aca="false">IF($D193="","",IFERROR(INDEX(품목목록!$D$3:$D$202,MATCH($D193,품목목록!$A$3:$A$202,0)),""))</f>
        <v/>
      </c>
      <c r="G193" s="9"/>
      <c r="H193" s="12" t="str">
        <f aca="false">IF($D193="","",IFERROR(INDEX(품목목록!$E$3:$E$202,MATCH($D193,품목목록!$A$3:$A$202,0)),0))</f>
        <v/>
      </c>
      <c r="I193" s="8"/>
      <c r="J193" s="8"/>
      <c r="K193" s="13"/>
      <c r="L193" s="14"/>
      <c r="M193" s="8"/>
    </row>
    <row r="194" customFormat="false" ht="15" hidden="false" customHeight="true" outlineLevel="0" collapsed="false">
      <c r="A194" s="11" t="str">
        <f aca="false">IF($B194="","",ROW()-2)</f>
        <v/>
      </c>
      <c r="B194" s="7"/>
      <c r="C194" s="11" t="str">
        <f aca="false">IF($B194="","",IFERROR(INDEX(거래처목록!$B$3:$B$302,MATCH($B194,거래처목록!$A$3:$A$302,0)),"미등록"))</f>
        <v/>
      </c>
      <c r="D194" s="7"/>
      <c r="E194" s="11" t="str">
        <f aca="false">IF($D194="","",IFERROR(INDEX(품목목록!$B$3:$B$202,MATCH($D194,품목목록!$A$3:$A$202,0)),"미등록"))</f>
        <v/>
      </c>
      <c r="F194" s="11" t="str">
        <f aca="false">IF($D194="","",IFERROR(INDEX(품목목록!$D$3:$D$202,MATCH($D194,품목목록!$A$3:$A$202,0)),""))</f>
        <v/>
      </c>
      <c r="G194" s="9"/>
      <c r="H194" s="12" t="str">
        <f aca="false">IF($D194="","",IFERROR(INDEX(품목목록!$E$3:$E$202,MATCH($D194,품목목록!$A$3:$A$202,0)),0))</f>
        <v/>
      </c>
      <c r="I194" s="8"/>
      <c r="J194" s="8"/>
      <c r="K194" s="13"/>
      <c r="L194" s="14"/>
      <c r="M194" s="8"/>
    </row>
    <row r="195" customFormat="false" ht="15" hidden="false" customHeight="true" outlineLevel="0" collapsed="false">
      <c r="A195" s="11" t="str">
        <f aca="false">IF($B195="","",ROW()-2)</f>
        <v/>
      </c>
      <c r="B195" s="7"/>
      <c r="C195" s="11" t="str">
        <f aca="false">IF($B195="","",IFERROR(INDEX(거래처목록!$B$3:$B$302,MATCH($B195,거래처목록!$A$3:$A$302,0)),"미등록"))</f>
        <v/>
      </c>
      <c r="D195" s="7"/>
      <c r="E195" s="11" t="str">
        <f aca="false">IF($D195="","",IFERROR(INDEX(품목목록!$B$3:$B$202,MATCH($D195,품목목록!$A$3:$A$202,0)),"미등록"))</f>
        <v/>
      </c>
      <c r="F195" s="11" t="str">
        <f aca="false">IF($D195="","",IFERROR(INDEX(품목목록!$D$3:$D$202,MATCH($D195,품목목록!$A$3:$A$202,0)),""))</f>
        <v/>
      </c>
      <c r="G195" s="9"/>
      <c r="H195" s="12" t="str">
        <f aca="false">IF($D195="","",IFERROR(INDEX(품목목록!$E$3:$E$202,MATCH($D195,품목목록!$A$3:$A$202,0)),0))</f>
        <v/>
      </c>
      <c r="I195" s="8"/>
      <c r="J195" s="8"/>
      <c r="K195" s="13"/>
      <c r="L195" s="14"/>
      <c r="M195" s="8"/>
    </row>
    <row r="196" customFormat="false" ht="15" hidden="false" customHeight="true" outlineLevel="0" collapsed="false">
      <c r="A196" s="11" t="str">
        <f aca="false">IF($B196="","",ROW()-2)</f>
        <v/>
      </c>
      <c r="B196" s="7"/>
      <c r="C196" s="11" t="str">
        <f aca="false">IF($B196="","",IFERROR(INDEX(거래처목록!$B$3:$B$302,MATCH($B196,거래처목록!$A$3:$A$302,0)),"미등록"))</f>
        <v/>
      </c>
      <c r="D196" s="7"/>
      <c r="E196" s="11" t="str">
        <f aca="false">IF($D196="","",IFERROR(INDEX(품목목록!$B$3:$B$202,MATCH($D196,품목목록!$A$3:$A$202,0)),"미등록"))</f>
        <v/>
      </c>
      <c r="F196" s="11" t="str">
        <f aca="false">IF($D196="","",IFERROR(INDEX(품목목록!$D$3:$D$202,MATCH($D196,품목목록!$A$3:$A$202,0)),""))</f>
        <v/>
      </c>
      <c r="G196" s="9"/>
      <c r="H196" s="12" t="str">
        <f aca="false">IF($D196="","",IFERROR(INDEX(품목목록!$E$3:$E$202,MATCH($D196,품목목록!$A$3:$A$202,0)),0))</f>
        <v/>
      </c>
      <c r="I196" s="8"/>
      <c r="J196" s="8"/>
      <c r="K196" s="13"/>
      <c r="L196" s="14"/>
      <c r="M196" s="8"/>
    </row>
    <row r="197" customFormat="false" ht="15" hidden="false" customHeight="true" outlineLevel="0" collapsed="false">
      <c r="A197" s="11" t="str">
        <f aca="false">IF($B197="","",ROW()-2)</f>
        <v/>
      </c>
      <c r="B197" s="7"/>
      <c r="C197" s="11" t="str">
        <f aca="false">IF($B197="","",IFERROR(INDEX(거래처목록!$B$3:$B$302,MATCH($B197,거래처목록!$A$3:$A$302,0)),"미등록"))</f>
        <v/>
      </c>
      <c r="D197" s="7"/>
      <c r="E197" s="11" t="str">
        <f aca="false">IF($D197="","",IFERROR(INDEX(품목목록!$B$3:$B$202,MATCH($D197,품목목록!$A$3:$A$202,0)),"미등록"))</f>
        <v/>
      </c>
      <c r="F197" s="11" t="str">
        <f aca="false">IF($D197="","",IFERROR(INDEX(품목목록!$D$3:$D$202,MATCH($D197,품목목록!$A$3:$A$202,0)),""))</f>
        <v/>
      </c>
      <c r="G197" s="9"/>
      <c r="H197" s="12" t="str">
        <f aca="false">IF($D197="","",IFERROR(INDEX(품목목록!$E$3:$E$202,MATCH($D197,품목목록!$A$3:$A$202,0)),0))</f>
        <v/>
      </c>
      <c r="I197" s="8"/>
      <c r="J197" s="8"/>
      <c r="K197" s="13"/>
      <c r="L197" s="14"/>
      <c r="M197" s="8"/>
    </row>
    <row r="198" customFormat="false" ht="15" hidden="false" customHeight="true" outlineLevel="0" collapsed="false">
      <c r="A198" s="11" t="str">
        <f aca="false">IF($B198="","",ROW()-2)</f>
        <v/>
      </c>
      <c r="B198" s="7"/>
      <c r="C198" s="11" t="str">
        <f aca="false">IF($B198="","",IFERROR(INDEX(거래처목록!$B$3:$B$302,MATCH($B198,거래처목록!$A$3:$A$302,0)),"미등록"))</f>
        <v/>
      </c>
      <c r="D198" s="7"/>
      <c r="E198" s="11" t="str">
        <f aca="false">IF($D198="","",IFERROR(INDEX(품목목록!$B$3:$B$202,MATCH($D198,품목목록!$A$3:$A$202,0)),"미등록"))</f>
        <v/>
      </c>
      <c r="F198" s="11" t="str">
        <f aca="false">IF($D198="","",IFERROR(INDEX(품목목록!$D$3:$D$202,MATCH($D198,품목목록!$A$3:$A$202,0)),""))</f>
        <v/>
      </c>
      <c r="G198" s="9"/>
      <c r="H198" s="12" t="str">
        <f aca="false">IF($D198="","",IFERROR(INDEX(품목목록!$E$3:$E$202,MATCH($D198,품목목록!$A$3:$A$202,0)),0))</f>
        <v/>
      </c>
      <c r="I198" s="8"/>
      <c r="J198" s="8"/>
      <c r="K198" s="13"/>
      <c r="L198" s="14"/>
      <c r="M198" s="8"/>
    </row>
    <row r="199" customFormat="false" ht="15" hidden="false" customHeight="true" outlineLevel="0" collapsed="false">
      <c r="A199" s="11" t="str">
        <f aca="false">IF($B199="","",ROW()-2)</f>
        <v/>
      </c>
      <c r="B199" s="7"/>
      <c r="C199" s="11" t="str">
        <f aca="false">IF($B199="","",IFERROR(INDEX(거래처목록!$B$3:$B$302,MATCH($B199,거래처목록!$A$3:$A$302,0)),"미등록"))</f>
        <v/>
      </c>
      <c r="D199" s="7"/>
      <c r="E199" s="11" t="str">
        <f aca="false">IF($D199="","",IFERROR(INDEX(품목목록!$B$3:$B$202,MATCH($D199,품목목록!$A$3:$A$202,0)),"미등록"))</f>
        <v/>
      </c>
      <c r="F199" s="11" t="str">
        <f aca="false">IF($D199="","",IFERROR(INDEX(품목목록!$D$3:$D$202,MATCH($D199,품목목록!$A$3:$A$202,0)),""))</f>
        <v/>
      </c>
      <c r="G199" s="9"/>
      <c r="H199" s="12" t="str">
        <f aca="false">IF($D199="","",IFERROR(INDEX(품목목록!$E$3:$E$202,MATCH($D199,품목목록!$A$3:$A$202,0)),0))</f>
        <v/>
      </c>
      <c r="I199" s="8"/>
      <c r="J199" s="8"/>
      <c r="K199" s="13"/>
      <c r="L199" s="14"/>
      <c r="M199" s="8"/>
    </row>
    <row r="200" customFormat="false" ht="15" hidden="false" customHeight="true" outlineLevel="0" collapsed="false">
      <c r="A200" s="11" t="str">
        <f aca="false">IF($B200="","",ROW()-2)</f>
        <v/>
      </c>
      <c r="B200" s="7"/>
      <c r="C200" s="11" t="str">
        <f aca="false">IF($B200="","",IFERROR(INDEX(거래처목록!$B$3:$B$302,MATCH($B200,거래처목록!$A$3:$A$302,0)),"미등록"))</f>
        <v/>
      </c>
      <c r="D200" s="7"/>
      <c r="E200" s="11" t="str">
        <f aca="false">IF($D200="","",IFERROR(INDEX(품목목록!$B$3:$B$202,MATCH($D200,품목목록!$A$3:$A$202,0)),"미등록"))</f>
        <v/>
      </c>
      <c r="F200" s="11" t="str">
        <f aca="false">IF($D200="","",IFERROR(INDEX(품목목록!$D$3:$D$202,MATCH($D200,품목목록!$A$3:$A$202,0)),""))</f>
        <v/>
      </c>
      <c r="G200" s="9"/>
      <c r="H200" s="12" t="str">
        <f aca="false">IF($D200="","",IFERROR(INDEX(품목목록!$E$3:$E$202,MATCH($D200,품목목록!$A$3:$A$202,0)),0))</f>
        <v/>
      </c>
      <c r="I200" s="8"/>
      <c r="J200" s="8"/>
      <c r="K200" s="13"/>
      <c r="L200" s="14"/>
      <c r="M200" s="8"/>
    </row>
    <row r="201" customFormat="false" ht="15" hidden="false" customHeight="true" outlineLevel="0" collapsed="false">
      <c r="A201" s="11" t="str">
        <f aca="false">IF($B201="","",ROW()-2)</f>
        <v/>
      </c>
      <c r="B201" s="7"/>
      <c r="C201" s="11" t="str">
        <f aca="false">IF($B201="","",IFERROR(INDEX(거래처목록!$B$3:$B$302,MATCH($B201,거래처목록!$A$3:$A$302,0)),"미등록"))</f>
        <v/>
      </c>
      <c r="D201" s="7"/>
      <c r="E201" s="11" t="str">
        <f aca="false">IF($D201="","",IFERROR(INDEX(품목목록!$B$3:$B$202,MATCH($D201,품목목록!$A$3:$A$202,0)),"미등록"))</f>
        <v/>
      </c>
      <c r="F201" s="11" t="str">
        <f aca="false">IF($D201="","",IFERROR(INDEX(품목목록!$D$3:$D$202,MATCH($D201,품목목록!$A$3:$A$202,0)),""))</f>
        <v/>
      </c>
      <c r="G201" s="9"/>
      <c r="H201" s="12" t="str">
        <f aca="false">IF($D201="","",IFERROR(INDEX(품목목록!$E$3:$E$202,MATCH($D201,품목목록!$A$3:$A$202,0)),0))</f>
        <v/>
      </c>
      <c r="I201" s="8"/>
      <c r="J201" s="8"/>
      <c r="K201" s="13"/>
      <c r="L201" s="14"/>
      <c r="M201" s="8"/>
    </row>
    <row r="202" customFormat="false" ht="15" hidden="false" customHeight="true" outlineLevel="0" collapsed="false">
      <c r="A202" s="11" t="str">
        <f aca="false">IF($B202="","",ROW()-2)</f>
        <v/>
      </c>
      <c r="B202" s="7"/>
      <c r="C202" s="11" t="str">
        <f aca="false">IF($B202="","",IFERROR(INDEX(거래처목록!$B$3:$B$302,MATCH($B202,거래처목록!$A$3:$A$302,0)),"미등록"))</f>
        <v/>
      </c>
      <c r="D202" s="7"/>
      <c r="E202" s="11" t="str">
        <f aca="false">IF($D202="","",IFERROR(INDEX(품목목록!$B$3:$B$202,MATCH($D202,품목목록!$A$3:$A$202,0)),"미등록"))</f>
        <v/>
      </c>
      <c r="F202" s="11" t="str">
        <f aca="false">IF($D202="","",IFERROR(INDEX(품목목록!$D$3:$D$202,MATCH($D202,품목목록!$A$3:$A$202,0)),""))</f>
        <v/>
      </c>
      <c r="G202" s="9"/>
      <c r="H202" s="12" t="str">
        <f aca="false">IF($D202="","",IFERROR(INDEX(품목목록!$E$3:$E$202,MATCH($D202,품목목록!$A$3:$A$202,0)),0))</f>
        <v/>
      </c>
      <c r="I202" s="8"/>
      <c r="J202" s="8"/>
      <c r="K202" s="13"/>
      <c r="L202" s="14"/>
      <c r="M202" s="8"/>
    </row>
    <row r="203" customFormat="false" ht="15" hidden="false" customHeight="true" outlineLevel="0" collapsed="false">
      <c r="A203" s="11" t="str">
        <f aca="false">IF($B203="","",ROW()-2)</f>
        <v/>
      </c>
      <c r="B203" s="7"/>
      <c r="C203" s="11" t="str">
        <f aca="false">IF($B203="","",IFERROR(INDEX(거래처목록!$B$3:$B$302,MATCH($B203,거래처목록!$A$3:$A$302,0)),"미등록"))</f>
        <v/>
      </c>
      <c r="D203" s="7"/>
      <c r="E203" s="11" t="str">
        <f aca="false">IF($D203="","",IFERROR(INDEX(품목목록!$B$3:$B$202,MATCH($D203,품목목록!$A$3:$A$202,0)),"미등록"))</f>
        <v/>
      </c>
      <c r="F203" s="11" t="str">
        <f aca="false">IF($D203="","",IFERROR(INDEX(품목목록!$D$3:$D$202,MATCH($D203,품목목록!$A$3:$A$202,0)),""))</f>
        <v/>
      </c>
      <c r="G203" s="9"/>
      <c r="H203" s="12" t="str">
        <f aca="false">IF($D203="","",IFERROR(INDEX(품목목록!$E$3:$E$202,MATCH($D203,품목목록!$A$3:$A$202,0)),0))</f>
        <v/>
      </c>
      <c r="I203" s="8"/>
      <c r="J203" s="8"/>
      <c r="K203" s="13"/>
      <c r="L203" s="14"/>
      <c r="M203" s="8"/>
    </row>
    <row r="204" customFormat="false" ht="15" hidden="false" customHeight="true" outlineLevel="0" collapsed="false">
      <c r="A204" s="11" t="str">
        <f aca="false">IF($B204="","",ROW()-2)</f>
        <v/>
      </c>
      <c r="B204" s="7"/>
      <c r="C204" s="11" t="str">
        <f aca="false">IF($B204="","",IFERROR(INDEX(거래처목록!$B$3:$B$302,MATCH($B204,거래처목록!$A$3:$A$302,0)),"미등록"))</f>
        <v/>
      </c>
      <c r="D204" s="7"/>
      <c r="E204" s="11" t="str">
        <f aca="false">IF($D204="","",IFERROR(INDEX(품목목록!$B$3:$B$202,MATCH($D204,품목목록!$A$3:$A$202,0)),"미등록"))</f>
        <v/>
      </c>
      <c r="F204" s="11" t="str">
        <f aca="false">IF($D204="","",IFERROR(INDEX(품목목록!$D$3:$D$202,MATCH($D204,품목목록!$A$3:$A$202,0)),""))</f>
        <v/>
      </c>
      <c r="G204" s="9"/>
      <c r="H204" s="12" t="str">
        <f aca="false">IF($D204="","",IFERROR(INDEX(품목목록!$E$3:$E$202,MATCH($D204,품목목록!$A$3:$A$202,0)),0))</f>
        <v/>
      </c>
      <c r="I204" s="8"/>
      <c r="J204" s="8"/>
      <c r="K204" s="13"/>
      <c r="L204" s="14"/>
      <c r="M204" s="8"/>
    </row>
    <row r="205" customFormat="false" ht="15" hidden="false" customHeight="true" outlineLevel="0" collapsed="false">
      <c r="A205" s="11" t="str">
        <f aca="false">IF($B205="","",ROW()-2)</f>
        <v/>
      </c>
      <c r="B205" s="7"/>
      <c r="C205" s="11" t="str">
        <f aca="false">IF($B205="","",IFERROR(INDEX(거래처목록!$B$3:$B$302,MATCH($B205,거래처목록!$A$3:$A$302,0)),"미등록"))</f>
        <v/>
      </c>
      <c r="D205" s="7"/>
      <c r="E205" s="11" t="str">
        <f aca="false">IF($D205="","",IFERROR(INDEX(품목목록!$B$3:$B$202,MATCH($D205,품목목록!$A$3:$A$202,0)),"미등록"))</f>
        <v/>
      </c>
      <c r="F205" s="11" t="str">
        <f aca="false">IF($D205="","",IFERROR(INDEX(품목목록!$D$3:$D$202,MATCH($D205,품목목록!$A$3:$A$202,0)),""))</f>
        <v/>
      </c>
      <c r="G205" s="9"/>
      <c r="H205" s="12" t="str">
        <f aca="false">IF($D205="","",IFERROR(INDEX(품목목록!$E$3:$E$202,MATCH($D205,품목목록!$A$3:$A$202,0)),0))</f>
        <v/>
      </c>
      <c r="I205" s="8"/>
      <c r="J205" s="8"/>
      <c r="K205" s="13"/>
      <c r="L205" s="14"/>
      <c r="M205" s="8"/>
    </row>
    <row r="206" customFormat="false" ht="15" hidden="false" customHeight="true" outlineLevel="0" collapsed="false">
      <c r="A206" s="11" t="str">
        <f aca="false">IF($B206="","",ROW()-2)</f>
        <v/>
      </c>
      <c r="B206" s="7"/>
      <c r="C206" s="11" t="str">
        <f aca="false">IF($B206="","",IFERROR(INDEX(거래처목록!$B$3:$B$302,MATCH($B206,거래처목록!$A$3:$A$302,0)),"미등록"))</f>
        <v/>
      </c>
      <c r="D206" s="7"/>
      <c r="E206" s="11" t="str">
        <f aca="false">IF($D206="","",IFERROR(INDEX(품목목록!$B$3:$B$202,MATCH($D206,품목목록!$A$3:$A$202,0)),"미등록"))</f>
        <v/>
      </c>
      <c r="F206" s="11" t="str">
        <f aca="false">IF($D206="","",IFERROR(INDEX(품목목록!$D$3:$D$202,MATCH($D206,품목목록!$A$3:$A$202,0)),""))</f>
        <v/>
      </c>
      <c r="G206" s="9"/>
      <c r="H206" s="12" t="str">
        <f aca="false">IF($D206="","",IFERROR(INDEX(품목목록!$E$3:$E$202,MATCH($D206,품목목록!$A$3:$A$202,0)),0))</f>
        <v/>
      </c>
      <c r="I206" s="8"/>
      <c r="J206" s="8"/>
      <c r="K206" s="13"/>
      <c r="L206" s="14"/>
      <c r="M206" s="8"/>
    </row>
    <row r="207" customFormat="false" ht="15" hidden="false" customHeight="true" outlineLevel="0" collapsed="false">
      <c r="A207" s="11" t="str">
        <f aca="false">IF($B207="","",ROW()-2)</f>
        <v/>
      </c>
      <c r="B207" s="7"/>
      <c r="C207" s="11" t="str">
        <f aca="false">IF($B207="","",IFERROR(INDEX(거래처목록!$B$3:$B$302,MATCH($B207,거래처목록!$A$3:$A$302,0)),"미등록"))</f>
        <v/>
      </c>
      <c r="D207" s="7"/>
      <c r="E207" s="11" t="str">
        <f aca="false">IF($D207="","",IFERROR(INDEX(품목목록!$B$3:$B$202,MATCH($D207,품목목록!$A$3:$A$202,0)),"미등록"))</f>
        <v/>
      </c>
      <c r="F207" s="11" t="str">
        <f aca="false">IF($D207="","",IFERROR(INDEX(품목목록!$D$3:$D$202,MATCH($D207,품목목록!$A$3:$A$202,0)),""))</f>
        <v/>
      </c>
      <c r="G207" s="9"/>
      <c r="H207" s="12" t="str">
        <f aca="false">IF($D207="","",IFERROR(INDEX(품목목록!$E$3:$E$202,MATCH($D207,품목목록!$A$3:$A$202,0)),0))</f>
        <v/>
      </c>
      <c r="I207" s="8"/>
      <c r="J207" s="8"/>
      <c r="K207" s="13"/>
      <c r="L207" s="14"/>
      <c r="M207" s="8"/>
    </row>
    <row r="208" customFormat="false" ht="15" hidden="false" customHeight="true" outlineLevel="0" collapsed="false">
      <c r="A208" s="11" t="str">
        <f aca="false">IF($B208="","",ROW()-2)</f>
        <v/>
      </c>
      <c r="B208" s="7"/>
      <c r="C208" s="11" t="str">
        <f aca="false">IF($B208="","",IFERROR(INDEX(거래처목록!$B$3:$B$302,MATCH($B208,거래처목록!$A$3:$A$302,0)),"미등록"))</f>
        <v/>
      </c>
      <c r="D208" s="7"/>
      <c r="E208" s="11" t="str">
        <f aca="false">IF($D208="","",IFERROR(INDEX(품목목록!$B$3:$B$202,MATCH($D208,품목목록!$A$3:$A$202,0)),"미등록"))</f>
        <v/>
      </c>
      <c r="F208" s="11" t="str">
        <f aca="false">IF($D208="","",IFERROR(INDEX(품목목록!$D$3:$D$202,MATCH($D208,품목목록!$A$3:$A$202,0)),""))</f>
        <v/>
      </c>
      <c r="G208" s="9"/>
      <c r="H208" s="12" t="str">
        <f aca="false">IF($D208="","",IFERROR(INDEX(품목목록!$E$3:$E$202,MATCH($D208,품목목록!$A$3:$A$202,0)),0))</f>
        <v/>
      </c>
      <c r="I208" s="8"/>
      <c r="J208" s="8"/>
      <c r="K208" s="13"/>
      <c r="L208" s="14"/>
      <c r="M208" s="8"/>
    </row>
    <row r="209" customFormat="false" ht="15" hidden="false" customHeight="true" outlineLevel="0" collapsed="false">
      <c r="A209" s="11" t="str">
        <f aca="false">IF($B209="","",ROW()-2)</f>
        <v/>
      </c>
      <c r="B209" s="7"/>
      <c r="C209" s="11" t="str">
        <f aca="false">IF($B209="","",IFERROR(INDEX(거래처목록!$B$3:$B$302,MATCH($B209,거래처목록!$A$3:$A$302,0)),"미등록"))</f>
        <v/>
      </c>
      <c r="D209" s="7"/>
      <c r="E209" s="11" t="str">
        <f aca="false">IF($D209="","",IFERROR(INDEX(품목목록!$B$3:$B$202,MATCH($D209,품목목록!$A$3:$A$202,0)),"미등록"))</f>
        <v/>
      </c>
      <c r="F209" s="11" t="str">
        <f aca="false">IF($D209="","",IFERROR(INDEX(품목목록!$D$3:$D$202,MATCH($D209,품목목록!$A$3:$A$202,0)),""))</f>
        <v/>
      </c>
      <c r="G209" s="9"/>
      <c r="H209" s="12" t="str">
        <f aca="false">IF($D209="","",IFERROR(INDEX(품목목록!$E$3:$E$202,MATCH($D209,품목목록!$A$3:$A$202,0)),0))</f>
        <v/>
      </c>
      <c r="I209" s="8"/>
      <c r="J209" s="8"/>
      <c r="K209" s="13"/>
      <c r="L209" s="14"/>
      <c r="M209" s="8"/>
    </row>
    <row r="210" customFormat="false" ht="15" hidden="false" customHeight="true" outlineLevel="0" collapsed="false">
      <c r="A210" s="11" t="str">
        <f aca="false">IF($B210="","",ROW()-2)</f>
        <v/>
      </c>
      <c r="B210" s="7"/>
      <c r="C210" s="11" t="str">
        <f aca="false">IF($B210="","",IFERROR(INDEX(거래처목록!$B$3:$B$302,MATCH($B210,거래처목록!$A$3:$A$302,0)),"미등록"))</f>
        <v/>
      </c>
      <c r="D210" s="7"/>
      <c r="E210" s="11" t="str">
        <f aca="false">IF($D210="","",IFERROR(INDEX(품목목록!$B$3:$B$202,MATCH($D210,품목목록!$A$3:$A$202,0)),"미등록"))</f>
        <v/>
      </c>
      <c r="F210" s="11" t="str">
        <f aca="false">IF($D210="","",IFERROR(INDEX(품목목록!$D$3:$D$202,MATCH($D210,품목목록!$A$3:$A$202,0)),""))</f>
        <v/>
      </c>
      <c r="G210" s="9"/>
      <c r="H210" s="12" t="str">
        <f aca="false">IF($D210="","",IFERROR(INDEX(품목목록!$E$3:$E$202,MATCH($D210,품목목록!$A$3:$A$202,0)),0))</f>
        <v/>
      </c>
      <c r="I210" s="8"/>
      <c r="J210" s="8"/>
      <c r="K210" s="13"/>
      <c r="L210" s="14"/>
      <c r="M210" s="8"/>
    </row>
    <row r="211" customFormat="false" ht="15" hidden="false" customHeight="true" outlineLevel="0" collapsed="false">
      <c r="A211" s="11" t="str">
        <f aca="false">IF($B211="","",ROW()-2)</f>
        <v/>
      </c>
      <c r="B211" s="7"/>
      <c r="C211" s="11" t="str">
        <f aca="false">IF($B211="","",IFERROR(INDEX(거래처목록!$B$3:$B$302,MATCH($B211,거래처목록!$A$3:$A$302,0)),"미등록"))</f>
        <v/>
      </c>
      <c r="D211" s="7"/>
      <c r="E211" s="11" t="str">
        <f aca="false">IF($D211="","",IFERROR(INDEX(품목목록!$B$3:$B$202,MATCH($D211,품목목록!$A$3:$A$202,0)),"미등록"))</f>
        <v/>
      </c>
      <c r="F211" s="11" t="str">
        <f aca="false">IF($D211="","",IFERROR(INDEX(품목목록!$D$3:$D$202,MATCH($D211,품목목록!$A$3:$A$202,0)),""))</f>
        <v/>
      </c>
      <c r="G211" s="9"/>
      <c r="H211" s="12" t="str">
        <f aca="false">IF($D211="","",IFERROR(INDEX(품목목록!$E$3:$E$202,MATCH($D211,품목목록!$A$3:$A$202,0)),0))</f>
        <v/>
      </c>
      <c r="I211" s="8"/>
      <c r="J211" s="8"/>
      <c r="K211" s="13"/>
      <c r="L211" s="14"/>
      <c r="M211" s="8"/>
    </row>
    <row r="212" customFormat="false" ht="15" hidden="false" customHeight="true" outlineLevel="0" collapsed="false">
      <c r="A212" s="11" t="str">
        <f aca="false">IF($B212="","",ROW()-2)</f>
        <v/>
      </c>
      <c r="B212" s="7"/>
      <c r="C212" s="11" t="str">
        <f aca="false">IF($B212="","",IFERROR(INDEX(거래처목록!$B$3:$B$302,MATCH($B212,거래처목록!$A$3:$A$302,0)),"미등록"))</f>
        <v/>
      </c>
      <c r="D212" s="7"/>
      <c r="E212" s="11" t="str">
        <f aca="false">IF($D212="","",IFERROR(INDEX(품목목록!$B$3:$B$202,MATCH($D212,품목목록!$A$3:$A$202,0)),"미등록"))</f>
        <v/>
      </c>
      <c r="F212" s="11" t="str">
        <f aca="false">IF($D212="","",IFERROR(INDEX(품목목록!$D$3:$D$202,MATCH($D212,품목목록!$A$3:$A$202,0)),""))</f>
        <v/>
      </c>
      <c r="G212" s="9"/>
      <c r="H212" s="12" t="str">
        <f aca="false">IF($D212="","",IFERROR(INDEX(품목목록!$E$3:$E$202,MATCH($D212,품목목록!$A$3:$A$202,0)),0))</f>
        <v/>
      </c>
      <c r="I212" s="8"/>
      <c r="J212" s="8"/>
      <c r="K212" s="13"/>
      <c r="L212" s="14"/>
      <c r="M212" s="8"/>
    </row>
    <row r="213" customFormat="false" ht="15" hidden="false" customHeight="true" outlineLevel="0" collapsed="false">
      <c r="A213" s="11" t="str">
        <f aca="false">IF($B213="","",ROW()-2)</f>
        <v/>
      </c>
      <c r="B213" s="7"/>
      <c r="C213" s="11" t="str">
        <f aca="false">IF($B213="","",IFERROR(INDEX(거래처목록!$B$3:$B$302,MATCH($B213,거래처목록!$A$3:$A$302,0)),"미등록"))</f>
        <v/>
      </c>
      <c r="D213" s="7"/>
      <c r="E213" s="11" t="str">
        <f aca="false">IF($D213="","",IFERROR(INDEX(품목목록!$B$3:$B$202,MATCH($D213,품목목록!$A$3:$A$202,0)),"미등록"))</f>
        <v/>
      </c>
      <c r="F213" s="11" t="str">
        <f aca="false">IF($D213="","",IFERROR(INDEX(품목목록!$D$3:$D$202,MATCH($D213,품목목록!$A$3:$A$202,0)),""))</f>
        <v/>
      </c>
      <c r="G213" s="9"/>
      <c r="H213" s="12" t="str">
        <f aca="false">IF($D213="","",IFERROR(INDEX(품목목록!$E$3:$E$202,MATCH($D213,품목목록!$A$3:$A$202,0)),0))</f>
        <v/>
      </c>
      <c r="I213" s="8"/>
      <c r="J213" s="8"/>
      <c r="K213" s="13"/>
      <c r="L213" s="14"/>
      <c r="M213" s="8"/>
    </row>
    <row r="214" customFormat="false" ht="15" hidden="false" customHeight="true" outlineLevel="0" collapsed="false">
      <c r="A214" s="11" t="str">
        <f aca="false">IF($B214="","",ROW()-2)</f>
        <v/>
      </c>
      <c r="B214" s="7"/>
      <c r="C214" s="11" t="str">
        <f aca="false">IF($B214="","",IFERROR(INDEX(거래처목록!$B$3:$B$302,MATCH($B214,거래처목록!$A$3:$A$302,0)),"미등록"))</f>
        <v/>
      </c>
      <c r="D214" s="7"/>
      <c r="E214" s="11" t="str">
        <f aca="false">IF($D214="","",IFERROR(INDEX(품목목록!$B$3:$B$202,MATCH($D214,품목목록!$A$3:$A$202,0)),"미등록"))</f>
        <v/>
      </c>
      <c r="F214" s="11" t="str">
        <f aca="false">IF($D214="","",IFERROR(INDEX(품목목록!$D$3:$D$202,MATCH($D214,품목목록!$A$3:$A$202,0)),""))</f>
        <v/>
      </c>
      <c r="G214" s="9"/>
      <c r="H214" s="12" t="str">
        <f aca="false">IF($D214="","",IFERROR(INDEX(품목목록!$E$3:$E$202,MATCH($D214,품목목록!$A$3:$A$202,0)),0))</f>
        <v/>
      </c>
      <c r="I214" s="8"/>
      <c r="J214" s="8"/>
      <c r="K214" s="13"/>
      <c r="L214" s="14"/>
      <c r="M214" s="8"/>
    </row>
    <row r="215" customFormat="false" ht="15" hidden="false" customHeight="true" outlineLevel="0" collapsed="false">
      <c r="A215" s="11" t="str">
        <f aca="false">IF($B215="","",ROW()-2)</f>
        <v/>
      </c>
      <c r="B215" s="7"/>
      <c r="C215" s="11" t="str">
        <f aca="false">IF($B215="","",IFERROR(INDEX(거래처목록!$B$3:$B$302,MATCH($B215,거래처목록!$A$3:$A$302,0)),"미등록"))</f>
        <v/>
      </c>
      <c r="D215" s="7"/>
      <c r="E215" s="11" t="str">
        <f aca="false">IF($D215="","",IFERROR(INDEX(품목목록!$B$3:$B$202,MATCH($D215,품목목록!$A$3:$A$202,0)),"미등록"))</f>
        <v/>
      </c>
      <c r="F215" s="11" t="str">
        <f aca="false">IF($D215="","",IFERROR(INDEX(품목목록!$D$3:$D$202,MATCH($D215,품목목록!$A$3:$A$202,0)),""))</f>
        <v/>
      </c>
      <c r="G215" s="9"/>
      <c r="H215" s="12" t="str">
        <f aca="false">IF($D215="","",IFERROR(INDEX(품목목록!$E$3:$E$202,MATCH($D215,품목목록!$A$3:$A$202,0)),0))</f>
        <v/>
      </c>
      <c r="I215" s="8"/>
      <c r="J215" s="8"/>
      <c r="K215" s="13"/>
      <c r="L215" s="14"/>
      <c r="M215" s="8"/>
    </row>
    <row r="216" customFormat="false" ht="15" hidden="false" customHeight="true" outlineLevel="0" collapsed="false">
      <c r="A216" s="11" t="str">
        <f aca="false">IF($B216="","",ROW()-2)</f>
        <v/>
      </c>
      <c r="B216" s="7"/>
      <c r="C216" s="11" t="str">
        <f aca="false">IF($B216="","",IFERROR(INDEX(거래처목록!$B$3:$B$302,MATCH($B216,거래처목록!$A$3:$A$302,0)),"미등록"))</f>
        <v/>
      </c>
      <c r="D216" s="7"/>
      <c r="E216" s="11" t="str">
        <f aca="false">IF($D216="","",IFERROR(INDEX(품목목록!$B$3:$B$202,MATCH($D216,품목목록!$A$3:$A$202,0)),"미등록"))</f>
        <v/>
      </c>
      <c r="F216" s="11" t="str">
        <f aca="false">IF($D216="","",IFERROR(INDEX(품목목록!$D$3:$D$202,MATCH($D216,품목목록!$A$3:$A$202,0)),""))</f>
        <v/>
      </c>
      <c r="G216" s="9"/>
      <c r="H216" s="12" t="str">
        <f aca="false">IF($D216="","",IFERROR(INDEX(품목목록!$E$3:$E$202,MATCH($D216,품목목록!$A$3:$A$202,0)),0))</f>
        <v/>
      </c>
      <c r="I216" s="8"/>
      <c r="J216" s="8"/>
      <c r="K216" s="13"/>
      <c r="L216" s="14"/>
      <c r="M216" s="8"/>
    </row>
    <row r="217" customFormat="false" ht="15" hidden="false" customHeight="true" outlineLevel="0" collapsed="false">
      <c r="A217" s="11" t="str">
        <f aca="false">IF($B217="","",ROW()-2)</f>
        <v/>
      </c>
      <c r="B217" s="7"/>
      <c r="C217" s="11" t="str">
        <f aca="false">IF($B217="","",IFERROR(INDEX(거래처목록!$B$3:$B$302,MATCH($B217,거래처목록!$A$3:$A$302,0)),"미등록"))</f>
        <v/>
      </c>
      <c r="D217" s="7"/>
      <c r="E217" s="11" t="str">
        <f aca="false">IF($D217="","",IFERROR(INDEX(품목목록!$B$3:$B$202,MATCH($D217,품목목록!$A$3:$A$202,0)),"미등록"))</f>
        <v/>
      </c>
      <c r="F217" s="11" t="str">
        <f aca="false">IF($D217="","",IFERROR(INDEX(품목목록!$D$3:$D$202,MATCH($D217,품목목록!$A$3:$A$202,0)),""))</f>
        <v/>
      </c>
      <c r="G217" s="9"/>
      <c r="H217" s="12" t="str">
        <f aca="false">IF($D217="","",IFERROR(INDEX(품목목록!$E$3:$E$202,MATCH($D217,품목목록!$A$3:$A$202,0)),0))</f>
        <v/>
      </c>
      <c r="I217" s="8"/>
      <c r="J217" s="8"/>
      <c r="K217" s="13"/>
      <c r="L217" s="14"/>
      <c r="M217" s="8"/>
    </row>
    <row r="218" customFormat="false" ht="15" hidden="false" customHeight="true" outlineLevel="0" collapsed="false">
      <c r="A218" s="11" t="str">
        <f aca="false">IF($B218="","",ROW()-2)</f>
        <v/>
      </c>
      <c r="B218" s="7"/>
      <c r="C218" s="11" t="str">
        <f aca="false">IF($B218="","",IFERROR(INDEX(거래처목록!$B$3:$B$302,MATCH($B218,거래처목록!$A$3:$A$302,0)),"미등록"))</f>
        <v/>
      </c>
      <c r="D218" s="7"/>
      <c r="E218" s="11" t="str">
        <f aca="false">IF($D218="","",IFERROR(INDEX(품목목록!$B$3:$B$202,MATCH($D218,품목목록!$A$3:$A$202,0)),"미등록"))</f>
        <v/>
      </c>
      <c r="F218" s="11" t="str">
        <f aca="false">IF($D218="","",IFERROR(INDEX(품목목록!$D$3:$D$202,MATCH($D218,품목목록!$A$3:$A$202,0)),""))</f>
        <v/>
      </c>
      <c r="G218" s="9"/>
      <c r="H218" s="12" t="str">
        <f aca="false">IF($D218="","",IFERROR(INDEX(품목목록!$E$3:$E$202,MATCH($D218,품목목록!$A$3:$A$202,0)),0))</f>
        <v/>
      </c>
      <c r="I218" s="8"/>
      <c r="J218" s="8"/>
      <c r="K218" s="13"/>
      <c r="L218" s="14"/>
      <c r="M218" s="8"/>
    </row>
    <row r="219" customFormat="false" ht="15" hidden="false" customHeight="true" outlineLevel="0" collapsed="false">
      <c r="A219" s="11" t="str">
        <f aca="false">IF($B219="","",ROW()-2)</f>
        <v/>
      </c>
      <c r="B219" s="7"/>
      <c r="C219" s="11" t="str">
        <f aca="false">IF($B219="","",IFERROR(INDEX(거래처목록!$B$3:$B$302,MATCH($B219,거래처목록!$A$3:$A$302,0)),"미등록"))</f>
        <v/>
      </c>
      <c r="D219" s="7"/>
      <c r="E219" s="11" t="str">
        <f aca="false">IF($D219="","",IFERROR(INDEX(품목목록!$B$3:$B$202,MATCH($D219,품목목록!$A$3:$A$202,0)),"미등록"))</f>
        <v/>
      </c>
      <c r="F219" s="11" t="str">
        <f aca="false">IF($D219="","",IFERROR(INDEX(품목목록!$D$3:$D$202,MATCH($D219,품목목록!$A$3:$A$202,0)),""))</f>
        <v/>
      </c>
      <c r="G219" s="9"/>
      <c r="H219" s="12" t="str">
        <f aca="false">IF($D219="","",IFERROR(INDEX(품목목록!$E$3:$E$202,MATCH($D219,품목목록!$A$3:$A$202,0)),0))</f>
        <v/>
      </c>
      <c r="I219" s="8"/>
      <c r="J219" s="8"/>
      <c r="K219" s="13"/>
      <c r="L219" s="14"/>
      <c r="M219" s="8"/>
    </row>
    <row r="220" customFormat="false" ht="15" hidden="false" customHeight="true" outlineLevel="0" collapsed="false">
      <c r="A220" s="11" t="str">
        <f aca="false">IF($B220="","",ROW()-2)</f>
        <v/>
      </c>
      <c r="B220" s="7"/>
      <c r="C220" s="11" t="str">
        <f aca="false">IF($B220="","",IFERROR(INDEX(거래처목록!$B$3:$B$302,MATCH($B220,거래처목록!$A$3:$A$302,0)),"미등록"))</f>
        <v/>
      </c>
      <c r="D220" s="7"/>
      <c r="E220" s="11" t="str">
        <f aca="false">IF($D220="","",IFERROR(INDEX(품목목록!$B$3:$B$202,MATCH($D220,품목목록!$A$3:$A$202,0)),"미등록"))</f>
        <v/>
      </c>
      <c r="F220" s="11" t="str">
        <f aca="false">IF($D220="","",IFERROR(INDEX(품목목록!$D$3:$D$202,MATCH($D220,품목목록!$A$3:$A$202,0)),""))</f>
        <v/>
      </c>
      <c r="G220" s="9"/>
      <c r="H220" s="12" t="str">
        <f aca="false">IF($D220="","",IFERROR(INDEX(품목목록!$E$3:$E$202,MATCH($D220,품목목록!$A$3:$A$202,0)),0))</f>
        <v/>
      </c>
      <c r="I220" s="8"/>
      <c r="J220" s="8"/>
      <c r="K220" s="13"/>
      <c r="L220" s="14"/>
      <c r="M220" s="8"/>
    </row>
    <row r="221" customFormat="false" ht="15" hidden="false" customHeight="true" outlineLevel="0" collapsed="false">
      <c r="A221" s="11" t="str">
        <f aca="false">IF($B221="","",ROW()-2)</f>
        <v/>
      </c>
      <c r="B221" s="7"/>
      <c r="C221" s="11" t="str">
        <f aca="false">IF($B221="","",IFERROR(INDEX(거래처목록!$B$3:$B$302,MATCH($B221,거래처목록!$A$3:$A$302,0)),"미등록"))</f>
        <v/>
      </c>
      <c r="D221" s="7"/>
      <c r="E221" s="11" t="str">
        <f aca="false">IF($D221="","",IFERROR(INDEX(품목목록!$B$3:$B$202,MATCH($D221,품목목록!$A$3:$A$202,0)),"미등록"))</f>
        <v/>
      </c>
      <c r="F221" s="11" t="str">
        <f aca="false">IF($D221="","",IFERROR(INDEX(품목목록!$D$3:$D$202,MATCH($D221,품목목록!$A$3:$A$202,0)),""))</f>
        <v/>
      </c>
      <c r="G221" s="9"/>
      <c r="H221" s="12" t="str">
        <f aca="false">IF($D221="","",IFERROR(INDEX(품목목록!$E$3:$E$202,MATCH($D221,품목목록!$A$3:$A$202,0)),0))</f>
        <v/>
      </c>
      <c r="I221" s="8"/>
      <c r="J221" s="8"/>
      <c r="K221" s="13"/>
      <c r="L221" s="14"/>
      <c r="M221" s="8"/>
    </row>
    <row r="222" customFormat="false" ht="15" hidden="false" customHeight="true" outlineLevel="0" collapsed="false">
      <c r="A222" s="11" t="str">
        <f aca="false">IF($B222="","",ROW()-2)</f>
        <v/>
      </c>
      <c r="B222" s="7"/>
      <c r="C222" s="11" t="str">
        <f aca="false">IF($B222="","",IFERROR(INDEX(거래처목록!$B$3:$B$302,MATCH($B222,거래처목록!$A$3:$A$302,0)),"미등록"))</f>
        <v/>
      </c>
      <c r="D222" s="7"/>
      <c r="E222" s="11" t="str">
        <f aca="false">IF($D222="","",IFERROR(INDEX(품목목록!$B$3:$B$202,MATCH($D222,품목목록!$A$3:$A$202,0)),"미등록"))</f>
        <v/>
      </c>
      <c r="F222" s="11" t="str">
        <f aca="false">IF($D222="","",IFERROR(INDEX(품목목록!$D$3:$D$202,MATCH($D222,품목목록!$A$3:$A$202,0)),""))</f>
        <v/>
      </c>
      <c r="G222" s="9"/>
      <c r="H222" s="12" t="str">
        <f aca="false">IF($D222="","",IFERROR(INDEX(품목목록!$E$3:$E$202,MATCH($D222,품목목록!$A$3:$A$202,0)),0))</f>
        <v/>
      </c>
      <c r="I222" s="8"/>
      <c r="J222" s="8"/>
      <c r="K222" s="13"/>
      <c r="L222" s="14"/>
      <c r="M222" s="8"/>
    </row>
    <row r="223" customFormat="false" ht="15" hidden="false" customHeight="true" outlineLevel="0" collapsed="false">
      <c r="A223" s="11" t="str">
        <f aca="false">IF($B223="","",ROW()-2)</f>
        <v/>
      </c>
      <c r="B223" s="7"/>
      <c r="C223" s="11" t="str">
        <f aca="false">IF($B223="","",IFERROR(INDEX(거래처목록!$B$3:$B$302,MATCH($B223,거래처목록!$A$3:$A$302,0)),"미등록"))</f>
        <v/>
      </c>
      <c r="D223" s="7"/>
      <c r="E223" s="11" t="str">
        <f aca="false">IF($D223="","",IFERROR(INDEX(품목목록!$B$3:$B$202,MATCH($D223,품목목록!$A$3:$A$202,0)),"미등록"))</f>
        <v/>
      </c>
      <c r="F223" s="11" t="str">
        <f aca="false">IF($D223="","",IFERROR(INDEX(품목목록!$D$3:$D$202,MATCH($D223,품목목록!$A$3:$A$202,0)),""))</f>
        <v/>
      </c>
      <c r="G223" s="9"/>
      <c r="H223" s="12" t="str">
        <f aca="false">IF($D223="","",IFERROR(INDEX(품목목록!$E$3:$E$202,MATCH($D223,품목목록!$A$3:$A$202,0)),0))</f>
        <v/>
      </c>
      <c r="I223" s="8"/>
      <c r="J223" s="8"/>
      <c r="K223" s="13"/>
      <c r="L223" s="14"/>
      <c r="M223" s="8"/>
    </row>
    <row r="224" customFormat="false" ht="15" hidden="false" customHeight="true" outlineLevel="0" collapsed="false">
      <c r="A224" s="11" t="str">
        <f aca="false">IF($B224="","",ROW()-2)</f>
        <v/>
      </c>
      <c r="B224" s="7"/>
      <c r="C224" s="11" t="str">
        <f aca="false">IF($B224="","",IFERROR(INDEX(거래처목록!$B$3:$B$302,MATCH($B224,거래처목록!$A$3:$A$302,0)),"미등록"))</f>
        <v/>
      </c>
      <c r="D224" s="7"/>
      <c r="E224" s="11" t="str">
        <f aca="false">IF($D224="","",IFERROR(INDEX(품목목록!$B$3:$B$202,MATCH($D224,품목목록!$A$3:$A$202,0)),"미등록"))</f>
        <v/>
      </c>
      <c r="F224" s="11" t="str">
        <f aca="false">IF($D224="","",IFERROR(INDEX(품목목록!$D$3:$D$202,MATCH($D224,품목목록!$A$3:$A$202,0)),""))</f>
        <v/>
      </c>
      <c r="G224" s="9"/>
      <c r="H224" s="12" t="str">
        <f aca="false">IF($D224="","",IFERROR(INDEX(품목목록!$E$3:$E$202,MATCH($D224,품목목록!$A$3:$A$202,0)),0))</f>
        <v/>
      </c>
      <c r="I224" s="8"/>
      <c r="J224" s="8"/>
      <c r="K224" s="13"/>
      <c r="L224" s="14"/>
      <c r="M224" s="8"/>
    </row>
    <row r="225" customFormat="false" ht="15" hidden="false" customHeight="true" outlineLevel="0" collapsed="false">
      <c r="A225" s="11" t="str">
        <f aca="false">IF($B225="","",ROW()-2)</f>
        <v/>
      </c>
      <c r="B225" s="7"/>
      <c r="C225" s="11" t="str">
        <f aca="false">IF($B225="","",IFERROR(INDEX(거래처목록!$B$3:$B$302,MATCH($B225,거래처목록!$A$3:$A$302,0)),"미등록"))</f>
        <v/>
      </c>
      <c r="D225" s="7"/>
      <c r="E225" s="11" t="str">
        <f aca="false">IF($D225="","",IFERROR(INDEX(품목목록!$B$3:$B$202,MATCH($D225,품목목록!$A$3:$A$202,0)),"미등록"))</f>
        <v/>
      </c>
      <c r="F225" s="11" t="str">
        <f aca="false">IF($D225="","",IFERROR(INDEX(품목목록!$D$3:$D$202,MATCH($D225,품목목록!$A$3:$A$202,0)),""))</f>
        <v/>
      </c>
      <c r="G225" s="9"/>
      <c r="H225" s="12" t="str">
        <f aca="false">IF($D225="","",IFERROR(INDEX(품목목록!$E$3:$E$202,MATCH($D225,품목목록!$A$3:$A$202,0)),0))</f>
        <v/>
      </c>
      <c r="I225" s="8"/>
      <c r="J225" s="8"/>
      <c r="K225" s="13"/>
      <c r="L225" s="14"/>
      <c r="M225" s="8"/>
    </row>
    <row r="226" customFormat="false" ht="15" hidden="false" customHeight="true" outlineLevel="0" collapsed="false">
      <c r="A226" s="11" t="str">
        <f aca="false">IF($B226="","",ROW()-2)</f>
        <v/>
      </c>
      <c r="B226" s="7"/>
      <c r="C226" s="11" t="str">
        <f aca="false">IF($B226="","",IFERROR(INDEX(거래처목록!$B$3:$B$302,MATCH($B226,거래처목록!$A$3:$A$302,0)),"미등록"))</f>
        <v/>
      </c>
      <c r="D226" s="7"/>
      <c r="E226" s="11" t="str">
        <f aca="false">IF($D226="","",IFERROR(INDEX(품목목록!$B$3:$B$202,MATCH($D226,품목목록!$A$3:$A$202,0)),"미등록"))</f>
        <v/>
      </c>
      <c r="F226" s="11" t="str">
        <f aca="false">IF($D226="","",IFERROR(INDEX(품목목록!$D$3:$D$202,MATCH($D226,품목목록!$A$3:$A$202,0)),""))</f>
        <v/>
      </c>
      <c r="G226" s="9"/>
      <c r="H226" s="12" t="str">
        <f aca="false">IF($D226="","",IFERROR(INDEX(품목목록!$E$3:$E$202,MATCH($D226,품목목록!$A$3:$A$202,0)),0))</f>
        <v/>
      </c>
      <c r="I226" s="8"/>
      <c r="J226" s="8"/>
      <c r="K226" s="13"/>
      <c r="L226" s="14"/>
      <c r="M226" s="8"/>
    </row>
    <row r="227" customFormat="false" ht="15" hidden="false" customHeight="true" outlineLevel="0" collapsed="false">
      <c r="A227" s="11" t="str">
        <f aca="false">IF($B227="","",ROW()-2)</f>
        <v/>
      </c>
      <c r="B227" s="7"/>
      <c r="C227" s="11" t="str">
        <f aca="false">IF($B227="","",IFERROR(INDEX(거래처목록!$B$3:$B$302,MATCH($B227,거래처목록!$A$3:$A$302,0)),"미등록"))</f>
        <v/>
      </c>
      <c r="D227" s="7"/>
      <c r="E227" s="11" t="str">
        <f aca="false">IF($D227="","",IFERROR(INDEX(품목목록!$B$3:$B$202,MATCH($D227,품목목록!$A$3:$A$202,0)),"미등록"))</f>
        <v/>
      </c>
      <c r="F227" s="11" t="str">
        <f aca="false">IF($D227="","",IFERROR(INDEX(품목목록!$D$3:$D$202,MATCH($D227,품목목록!$A$3:$A$202,0)),""))</f>
        <v/>
      </c>
      <c r="G227" s="9"/>
      <c r="H227" s="12" t="str">
        <f aca="false">IF($D227="","",IFERROR(INDEX(품목목록!$E$3:$E$202,MATCH($D227,품목목록!$A$3:$A$202,0)),0))</f>
        <v/>
      </c>
      <c r="I227" s="8"/>
      <c r="J227" s="8"/>
      <c r="K227" s="13"/>
      <c r="L227" s="14"/>
      <c r="M227" s="8"/>
    </row>
    <row r="228" customFormat="false" ht="15" hidden="false" customHeight="true" outlineLevel="0" collapsed="false">
      <c r="A228" s="11" t="str">
        <f aca="false">IF($B228="","",ROW()-2)</f>
        <v/>
      </c>
      <c r="B228" s="7"/>
      <c r="C228" s="11" t="str">
        <f aca="false">IF($B228="","",IFERROR(INDEX(거래처목록!$B$3:$B$302,MATCH($B228,거래처목록!$A$3:$A$302,0)),"미등록"))</f>
        <v/>
      </c>
      <c r="D228" s="7"/>
      <c r="E228" s="11" t="str">
        <f aca="false">IF($D228="","",IFERROR(INDEX(품목목록!$B$3:$B$202,MATCH($D228,품목목록!$A$3:$A$202,0)),"미등록"))</f>
        <v/>
      </c>
      <c r="F228" s="11" t="str">
        <f aca="false">IF($D228="","",IFERROR(INDEX(품목목록!$D$3:$D$202,MATCH($D228,품목목록!$A$3:$A$202,0)),""))</f>
        <v/>
      </c>
      <c r="G228" s="9"/>
      <c r="H228" s="12" t="str">
        <f aca="false">IF($D228="","",IFERROR(INDEX(품목목록!$E$3:$E$202,MATCH($D228,품목목록!$A$3:$A$202,0)),0))</f>
        <v/>
      </c>
      <c r="I228" s="8"/>
      <c r="J228" s="8"/>
      <c r="K228" s="13"/>
      <c r="L228" s="14"/>
      <c r="M228" s="8"/>
    </row>
    <row r="229" customFormat="false" ht="15" hidden="false" customHeight="true" outlineLevel="0" collapsed="false">
      <c r="A229" s="11" t="str">
        <f aca="false">IF($B229="","",ROW()-2)</f>
        <v/>
      </c>
      <c r="B229" s="7"/>
      <c r="C229" s="11" t="str">
        <f aca="false">IF($B229="","",IFERROR(INDEX(거래처목록!$B$3:$B$302,MATCH($B229,거래처목록!$A$3:$A$302,0)),"미등록"))</f>
        <v/>
      </c>
      <c r="D229" s="7"/>
      <c r="E229" s="11" t="str">
        <f aca="false">IF($D229="","",IFERROR(INDEX(품목목록!$B$3:$B$202,MATCH($D229,품목목록!$A$3:$A$202,0)),"미등록"))</f>
        <v/>
      </c>
      <c r="F229" s="11" t="str">
        <f aca="false">IF($D229="","",IFERROR(INDEX(품목목록!$D$3:$D$202,MATCH($D229,품목목록!$A$3:$A$202,0)),""))</f>
        <v/>
      </c>
      <c r="G229" s="9"/>
      <c r="H229" s="12" t="str">
        <f aca="false">IF($D229="","",IFERROR(INDEX(품목목록!$E$3:$E$202,MATCH($D229,품목목록!$A$3:$A$202,0)),0))</f>
        <v/>
      </c>
      <c r="I229" s="8"/>
      <c r="J229" s="8"/>
      <c r="K229" s="13"/>
      <c r="L229" s="14"/>
      <c r="M229" s="8"/>
    </row>
    <row r="230" customFormat="false" ht="15" hidden="false" customHeight="true" outlineLevel="0" collapsed="false">
      <c r="A230" s="11" t="str">
        <f aca="false">IF($B230="","",ROW()-2)</f>
        <v/>
      </c>
      <c r="B230" s="7"/>
      <c r="C230" s="11" t="str">
        <f aca="false">IF($B230="","",IFERROR(INDEX(거래처목록!$B$3:$B$302,MATCH($B230,거래처목록!$A$3:$A$302,0)),"미등록"))</f>
        <v/>
      </c>
      <c r="D230" s="7"/>
      <c r="E230" s="11" t="str">
        <f aca="false">IF($D230="","",IFERROR(INDEX(품목목록!$B$3:$B$202,MATCH($D230,품목목록!$A$3:$A$202,0)),"미등록"))</f>
        <v/>
      </c>
      <c r="F230" s="11" t="str">
        <f aca="false">IF($D230="","",IFERROR(INDEX(품목목록!$D$3:$D$202,MATCH($D230,품목목록!$A$3:$A$202,0)),""))</f>
        <v/>
      </c>
      <c r="G230" s="9"/>
      <c r="H230" s="12" t="str">
        <f aca="false">IF($D230="","",IFERROR(INDEX(품목목록!$E$3:$E$202,MATCH($D230,품목목록!$A$3:$A$202,0)),0))</f>
        <v/>
      </c>
      <c r="I230" s="8"/>
      <c r="J230" s="8"/>
      <c r="K230" s="13"/>
      <c r="L230" s="14"/>
      <c r="M230" s="8"/>
    </row>
    <row r="231" customFormat="false" ht="15" hidden="false" customHeight="true" outlineLevel="0" collapsed="false">
      <c r="A231" s="11" t="str">
        <f aca="false">IF($B231="","",ROW()-2)</f>
        <v/>
      </c>
      <c r="B231" s="7"/>
      <c r="C231" s="11" t="str">
        <f aca="false">IF($B231="","",IFERROR(INDEX(거래처목록!$B$3:$B$302,MATCH($B231,거래처목록!$A$3:$A$302,0)),"미등록"))</f>
        <v/>
      </c>
      <c r="D231" s="7"/>
      <c r="E231" s="11" t="str">
        <f aca="false">IF($D231="","",IFERROR(INDEX(품목목록!$B$3:$B$202,MATCH($D231,품목목록!$A$3:$A$202,0)),"미등록"))</f>
        <v/>
      </c>
      <c r="F231" s="11" t="str">
        <f aca="false">IF($D231="","",IFERROR(INDEX(품목목록!$D$3:$D$202,MATCH($D231,품목목록!$A$3:$A$202,0)),""))</f>
        <v/>
      </c>
      <c r="G231" s="9"/>
      <c r="H231" s="12" t="str">
        <f aca="false">IF($D231="","",IFERROR(INDEX(품목목록!$E$3:$E$202,MATCH($D231,품목목록!$A$3:$A$202,0)),0))</f>
        <v/>
      </c>
      <c r="I231" s="8"/>
      <c r="J231" s="8"/>
      <c r="K231" s="13"/>
      <c r="L231" s="14"/>
      <c r="M231" s="8"/>
    </row>
    <row r="232" customFormat="false" ht="15" hidden="false" customHeight="true" outlineLevel="0" collapsed="false">
      <c r="A232" s="11" t="str">
        <f aca="false">IF($B232="","",ROW()-2)</f>
        <v/>
      </c>
      <c r="B232" s="7"/>
      <c r="C232" s="11" t="str">
        <f aca="false">IF($B232="","",IFERROR(INDEX(거래처목록!$B$3:$B$302,MATCH($B232,거래처목록!$A$3:$A$302,0)),"미등록"))</f>
        <v/>
      </c>
      <c r="D232" s="7"/>
      <c r="E232" s="11" t="str">
        <f aca="false">IF($D232="","",IFERROR(INDEX(품목목록!$B$3:$B$202,MATCH($D232,품목목록!$A$3:$A$202,0)),"미등록"))</f>
        <v/>
      </c>
      <c r="F232" s="11" t="str">
        <f aca="false">IF($D232="","",IFERROR(INDEX(품목목록!$D$3:$D$202,MATCH($D232,품목목록!$A$3:$A$202,0)),""))</f>
        <v/>
      </c>
      <c r="G232" s="9"/>
      <c r="H232" s="12" t="str">
        <f aca="false">IF($D232="","",IFERROR(INDEX(품목목록!$E$3:$E$202,MATCH($D232,품목목록!$A$3:$A$202,0)),0))</f>
        <v/>
      </c>
      <c r="I232" s="8"/>
      <c r="J232" s="8"/>
      <c r="K232" s="13"/>
      <c r="L232" s="14"/>
      <c r="M232" s="8"/>
    </row>
    <row r="233" customFormat="false" ht="15" hidden="false" customHeight="true" outlineLevel="0" collapsed="false">
      <c r="A233" s="11" t="str">
        <f aca="false">IF($B233="","",ROW()-2)</f>
        <v/>
      </c>
      <c r="B233" s="7"/>
      <c r="C233" s="11" t="str">
        <f aca="false">IF($B233="","",IFERROR(INDEX(거래처목록!$B$3:$B$302,MATCH($B233,거래처목록!$A$3:$A$302,0)),"미등록"))</f>
        <v/>
      </c>
      <c r="D233" s="7"/>
      <c r="E233" s="11" t="str">
        <f aca="false">IF($D233="","",IFERROR(INDEX(품목목록!$B$3:$B$202,MATCH($D233,품목목록!$A$3:$A$202,0)),"미등록"))</f>
        <v/>
      </c>
      <c r="F233" s="11" t="str">
        <f aca="false">IF($D233="","",IFERROR(INDEX(품목목록!$D$3:$D$202,MATCH($D233,품목목록!$A$3:$A$202,0)),""))</f>
        <v/>
      </c>
      <c r="G233" s="9"/>
      <c r="H233" s="12" t="str">
        <f aca="false">IF($D233="","",IFERROR(INDEX(품목목록!$E$3:$E$202,MATCH($D233,품목목록!$A$3:$A$202,0)),0))</f>
        <v/>
      </c>
      <c r="I233" s="8"/>
      <c r="J233" s="8"/>
      <c r="K233" s="13"/>
      <c r="L233" s="14"/>
      <c r="M233" s="8"/>
    </row>
    <row r="234" customFormat="false" ht="15" hidden="false" customHeight="true" outlineLevel="0" collapsed="false">
      <c r="A234" s="11" t="str">
        <f aca="false">IF($B234="","",ROW()-2)</f>
        <v/>
      </c>
      <c r="B234" s="7"/>
      <c r="C234" s="11" t="str">
        <f aca="false">IF($B234="","",IFERROR(INDEX(거래처목록!$B$3:$B$302,MATCH($B234,거래처목록!$A$3:$A$302,0)),"미등록"))</f>
        <v/>
      </c>
      <c r="D234" s="7"/>
      <c r="E234" s="11" t="str">
        <f aca="false">IF($D234="","",IFERROR(INDEX(품목목록!$B$3:$B$202,MATCH($D234,품목목록!$A$3:$A$202,0)),"미등록"))</f>
        <v/>
      </c>
      <c r="F234" s="11" t="str">
        <f aca="false">IF($D234="","",IFERROR(INDEX(품목목록!$D$3:$D$202,MATCH($D234,품목목록!$A$3:$A$202,0)),""))</f>
        <v/>
      </c>
      <c r="G234" s="9"/>
      <c r="H234" s="12" t="str">
        <f aca="false">IF($D234="","",IFERROR(INDEX(품목목록!$E$3:$E$202,MATCH($D234,품목목록!$A$3:$A$202,0)),0))</f>
        <v/>
      </c>
      <c r="I234" s="8"/>
      <c r="J234" s="8"/>
      <c r="K234" s="13"/>
      <c r="L234" s="14"/>
      <c r="M234" s="8"/>
    </row>
    <row r="235" customFormat="false" ht="15" hidden="false" customHeight="true" outlineLevel="0" collapsed="false">
      <c r="A235" s="11" t="str">
        <f aca="false">IF($B235="","",ROW()-2)</f>
        <v/>
      </c>
      <c r="B235" s="7"/>
      <c r="C235" s="11" t="str">
        <f aca="false">IF($B235="","",IFERROR(INDEX(거래처목록!$B$3:$B$302,MATCH($B235,거래처목록!$A$3:$A$302,0)),"미등록"))</f>
        <v/>
      </c>
      <c r="D235" s="7"/>
      <c r="E235" s="11" t="str">
        <f aca="false">IF($D235="","",IFERROR(INDEX(품목목록!$B$3:$B$202,MATCH($D235,품목목록!$A$3:$A$202,0)),"미등록"))</f>
        <v/>
      </c>
      <c r="F235" s="11" t="str">
        <f aca="false">IF($D235="","",IFERROR(INDEX(품목목록!$D$3:$D$202,MATCH($D235,품목목록!$A$3:$A$202,0)),""))</f>
        <v/>
      </c>
      <c r="G235" s="9"/>
      <c r="H235" s="12" t="str">
        <f aca="false">IF($D235="","",IFERROR(INDEX(품목목록!$E$3:$E$202,MATCH($D235,품목목록!$A$3:$A$202,0)),0))</f>
        <v/>
      </c>
      <c r="I235" s="8"/>
      <c r="J235" s="8"/>
      <c r="K235" s="13"/>
      <c r="L235" s="14"/>
      <c r="M235" s="8"/>
    </row>
    <row r="236" customFormat="false" ht="15" hidden="false" customHeight="true" outlineLevel="0" collapsed="false">
      <c r="A236" s="11" t="str">
        <f aca="false">IF($B236="","",ROW()-2)</f>
        <v/>
      </c>
      <c r="B236" s="7"/>
      <c r="C236" s="11" t="str">
        <f aca="false">IF($B236="","",IFERROR(INDEX(거래처목록!$B$3:$B$302,MATCH($B236,거래처목록!$A$3:$A$302,0)),"미등록"))</f>
        <v/>
      </c>
      <c r="D236" s="7"/>
      <c r="E236" s="11" t="str">
        <f aca="false">IF($D236="","",IFERROR(INDEX(품목목록!$B$3:$B$202,MATCH($D236,품목목록!$A$3:$A$202,0)),"미등록"))</f>
        <v/>
      </c>
      <c r="F236" s="11" t="str">
        <f aca="false">IF($D236="","",IFERROR(INDEX(품목목록!$D$3:$D$202,MATCH($D236,품목목록!$A$3:$A$202,0)),""))</f>
        <v/>
      </c>
      <c r="G236" s="9"/>
      <c r="H236" s="12" t="str">
        <f aca="false">IF($D236="","",IFERROR(INDEX(품목목록!$E$3:$E$202,MATCH($D236,품목목록!$A$3:$A$202,0)),0))</f>
        <v/>
      </c>
      <c r="I236" s="8"/>
      <c r="J236" s="8"/>
      <c r="K236" s="13"/>
      <c r="L236" s="14"/>
      <c r="M236" s="8"/>
    </row>
    <row r="237" customFormat="false" ht="15" hidden="false" customHeight="true" outlineLevel="0" collapsed="false">
      <c r="A237" s="11" t="str">
        <f aca="false">IF($B237="","",ROW()-2)</f>
        <v/>
      </c>
      <c r="B237" s="7"/>
      <c r="C237" s="11" t="str">
        <f aca="false">IF($B237="","",IFERROR(INDEX(거래처목록!$B$3:$B$302,MATCH($B237,거래처목록!$A$3:$A$302,0)),"미등록"))</f>
        <v/>
      </c>
      <c r="D237" s="7"/>
      <c r="E237" s="11" t="str">
        <f aca="false">IF($D237="","",IFERROR(INDEX(품목목록!$B$3:$B$202,MATCH($D237,품목목록!$A$3:$A$202,0)),"미등록"))</f>
        <v/>
      </c>
      <c r="F237" s="11" t="str">
        <f aca="false">IF($D237="","",IFERROR(INDEX(품목목록!$D$3:$D$202,MATCH($D237,품목목록!$A$3:$A$202,0)),""))</f>
        <v/>
      </c>
      <c r="G237" s="9"/>
      <c r="H237" s="12" t="str">
        <f aca="false">IF($D237="","",IFERROR(INDEX(품목목록!$E$3:$E$202,MATCH($D237,품목목록!$A$3:$A$202,0)),0))</f>
        <v/>
      </c>
      <c r="I237" s="8"/>
      <c r="J237" s="8"/>
      <c r="K237" s="13"/>
      <c r="L237" s="14"/>
      <c r="M237" s="8"/>
    </row>
    <row r="238" customFormat="false" ht="15" hidden="false" customHeight="true" outlineLevel="0" collapsed="false">
      <c r="A238" s="11" t="str">
        <f aca="false">IF($B238="","",ROW()-2)</f>
        <v/>
      </c>
      <c r="B238" s="7"/>
      <c r="C238" s="11" t="str">
        <f aca="false">IF($B238="","",IFERROR(INDEX(거래처목록!$B$3:$B$302,MATCH($B238,거래처목록!$A$3:$A$302,0)),"미등록"))</f>
        <v/>
      </c>
      <c r="D238" s="7"/>
      <c r="E238" s="11" t="str">
        <f aca="false">IF($D238="","",IFERROR(INDEX(품목목록!$B$3:$B$202,MATCH($D238,품목목록!$A$3:$A$202,0)),"미등록"))</f>
        <v/>
      </c>
      <c r="F238" s="11" t="str">
        <f aca="false">IF($D238="","",IFERROR(INDEX(품목목록!$D$3:$D$202,MATCH($D238,품목목록!$A$3:$A$202,0)),""))</f>
        <v/>
      </c>
      <c r="G238" s="9"/>
      <c r="H238" s="12" t="str">
        <f aca="false">IF($D238="","",IFERROR(INDEX(품목목록!$E$3:$E$202,MATCH($D238,품목목록!$A$3:$A$202,0)),0))</f>
        <v/>
      </c>
      <c r="I238" s="8"/>
      <c r="J238" s="8"/>
      <c r="K238" s="13"/>
      <c r="L238" s="14"/>
      <c r="M238" s="8"/>
    </row>
    <row r="239" customFormat="false" ht="15" hidden="false" customHeight="true" outlineLevel="0" collapsed="false">
      <c r="A239" s="11" t="str">
        <f aca="false">IF($B239="","",ROW()-2)</f>
        <v/>
      </c>
      <c r="B239" s="7"/>
      <c r="C239" s="11" t="str">
        <f aca="false">IF($B239="","",IFERROR(INDEX(거래처목록!$B$3:$B$302,MATCH($B239,거래처목록!$A$3:$A$302,0)),"미등록"))</f>
        <v/>
      </c>
      <c r="D239" s="7"/>
      <c r="E239" s="11" t="str">
        <f aca="false">IF($D239="","",IFERROR(INDEX(품목목록!$B$3:$B$202,MATCH($D239,품목목록!$A$3:$A$202,0)),"미등록"))</f>
        <v/>
      </c>
      <c r="F239" s="11" t="str">
        <f aca="false">IF($D239="","",IFERROR(INDEX(품목목록!$D$3:$D$202,MATCH($D239,품목목록!$A$3:$A$202,0)),""))</f>
        <v/>
      </c>
      <c r="G239" s="9"/>
      <c r="H239" s="12" t="str">
        <f aca="false">IF($D239="","",IFERROR(INDEX(품목목록!$E$3:$E$202,MATCH($D239,품목목록!$A$3:$A$202,0)),0))</f>
        <v/>
      </c>
      <c r="I239" s="8"/>
      <c r="J239" s="8"/>
      <c r="K239" s="13"/>
      <c r="L239" s="14"/>
      <c r="M239" s="8"/>
    </row>
    <row r="240" customFormat="false" ht="15" hidden="false" customHeight="true" outlineLevel="0" collapsed="false">
      <c r="A240" s="11" t="str">
        <f aca="false">IF($B240="","",ROW()-2)</f>
        <v/>
      </c>
      <c r="B240" s="7"/>
      <c r="C240" s="11" t="str">
        <f aca="false">IF($B240="","",IFERROR(INDEX(거래처목록!$B$3:$B$302,MATCH($B240,거래처목록!$A$3:$A$302,0)),"미등록"))</f>
        <v/>
      </c>
      <c r="D240" s="7"/>
      <c r="E240" s="11" t="str">
        <f aca="false">IF($D240="","",IFERROR(INDEX(품목목록!$B$3:$B$202,MATCH($D240,품목목록!$A$3:$A$202,0)),"미등록"))</f>
        <v/>
      </c>
      <c r="F240" s="11" t="str">
        <f aca="false">IF($D240="","",IFERROR(INDEX(품목목록!$D$3:$D$202,MATCH($D240,품목목록!$A$3:$A$202,0)),""))</f>
        <v/>
      </c>
      <c r="G240" s="9"/>
      <c r="H240" s="12" t="str">
        <f aca="false">IF($D240="","",IFERROR(INDEX(품목목록!$E$3:$E$202,MATCH($D240,품목목록!$A$3:$A$202,0)),0))</f>
        <v/>
      </c>
      <c r="I240" s="8"/>
      <c r="J240" s="8"/>
      <c r="K240" s="13"/>
      <c r="L240" s="14"/>
      <c r="M240" s="8"/>
    </row>
    <row r="241" customFormat="false" ht="15" hidden="false" customHeight="true" outlineLevel="0" collapsed="false">
      <c r="A241" s="11" t="str">
        <f aca="false">IF($B241="","",ROW()-2)</f>
        <v/>
      </c>
      <c r="B241" s="7"/>
      <c r="C241" s="11" t="str">
        <f aca="false">IF($B241="","",IFERROR(INDEX(거래처목록!$B$3:$B$302,MATCH($B241,거래처목록!$A$3:$A$302,0)),"미등록"))</f>
        <v/>
      </c>
      <c r="D241" s="7"/>
      <c r="E241" s="11" t="str">
        <f aca="false">IF($D241="","",IFERROR(INDEX(품목목록!$B$3:$B$202,MATCH($D241,품목목록!$A$3:$A$202,0)),"미등록"))</f>
        <v/>
      </c>
      <c r="F241" s="11" t="str">
        <f aca="false">IF($D241="","",IFERROR(INDEX(품목목록!$D$3:$D$202,MATCH($D241,품목목록!$A$3:$A$202,0)),""))</f>
        <v/>
      </c>
      <c r="G241" s="9"/>
      <c r="H241" s="12" t="str">
        <f aca="false">IF($D241="","",IFERROR(INDEX(품목목록!$E$3:$E$202,MATCH($D241,품목목록!$A$3:$A$202,0)),0))</f>
        <v/>
      </c>
      <c r="I241" s="8"/>
      <c r="J241" s="8"/>
      <c r="K241" s="13"/>
      <c r="L241" s="14"/>
      <c r="M241" s="8"/>
    </row>
    <row r="242" customFormat="false" ht="15" hidden="false" customHeight="true" outlineLevel="0" collapsed="false">
      <c r="A242" s="11" t="str">
        <f aca="false">IF($B242="","",ROW()-2)</f>
        <v/>
      </c>
      <c r="B242" s="7"/>
      <c r="C242" s="11" t="str">
        <f aca="false">IF($B242="","",IFERROR(INDEX(거래처목록!$B$3:$B$302,MATCH($B242,거래처목록!$A$3:$A$302,0)),"미등록"))</f>
        <v/>
      </c>
      <c r="D242" s="7"/>
      <c r="E242" s="11" t="str">
        <f aca="false">IF($D242="","",IFERROR(INDEX(품목목록!$B$3:$B$202,MATCH($D242,품목목록!$A$3:$A$202,0)),"미등록"))</f>
        <v/>
      </c>
      <c r="F242" s="11" t="str">
        <f aca="false">IF($D242="","",IFERROR(INDEX(품목목록!$D$3:$D$202,MATCH($D242,품목목록!$A$3:$A$202,0)),""))</f>
        <v/>
      </c>
      <c r="G242" s="9"/>
      <c r="H242" s="12" t="str">
        <f aca="false">IF($D242="","",IFERROR(INDEX(품목목록!$E$3:$E$202,MATCH($D242,품목목록!$A$3:$A$202,0)),0))</f>
        <v/>
      </c>
      <c r="I242" s="8"/>
      <c r="J242" s="8"/>
      <c r="K242" s="13"/>
      <c r="L242" s="14"/>
      <c r="M242" s="8"/>
    </row>
    <row r="243" customFormat="false" ht="15" hidden="false" customHeight="true" outlineLevel="0" collapsed="false">
      <c r="A243" s="11" t="str">
        <f aca="false">IF($B243="","",ROW()-2)</f>
        <v/>
      </c>
      <c r="B243" s="7"/>
      <c r="C243" s="11" t="str">
        <f aca="false">IF($B243="","",IFERROR(INDEX(거래처목록!$B$3:$B$302,MATCH($B243,거래처목록!$A$3:$A$302,0)),"미등록"))</f>
        <v/>
      </c>
      <c r="D243" s="7"/>
      <c r="E243" s="11" t="str">
        <f aca="false">IF($D243="","",IFERROR(INDEX(품목목록!$B$3:$B$202,MATCH($D243,품목목록!$A$3:$A$202,0)),"미등록"))</f>
        <v/>
      </c>
      <c r="F243" s="11" t="str">
        <f aca="false">IF($D243="","",IFERROR(INDEX(품목목록!$D$3:$D$202,MATCH($D243,품목목록!$A$3:$A$202,0)),""))</f>
        <v/>
      </c>
      <c r="G243" s="9"/>
      <c r="H243" s="12" t="str">
        <f aca="false">IF($D243="","",IFERROR(INDEX(품목목록!$E$3:$E$202,MATCH($D243,품목목록!$A$3:$A$202,0)),0))</f>
        <v/>
      </c>
      <c r="I243" s="8"/>
      <c r="J243" s="8"/>
      <c r="K243" s="13"/>
      <c r="L243" s="14"/>
      <c r="M243" s="8"/>
    </row>
    <row r="244" customFormat="false" ht="15" hidden="false" customHeight="true" outlineLevel="0" collapsed="false">
      <c r="A244" s="11" t="str">
        <f aca="false">IF($B244="","",ROW()-2)</f>
        <v/>
      </c>
      <c r="B244" s="7"/>
      <c r="C244" s="11" t="str">
        <f aca="false">IF($B244="","",IFERROR(INDEX(거래처목록!$B$3:$B$302,MATCH($B244,거래처목록!$A$3:$A$302,0)),"미등록"))</f>
        <v/>
      </c>
      <c r="D244" s="7"/>
      <c r="E244" s="11" t="str">
        <f aca="false">IF($D244="","",IFERROR(INDEX(품목목록!$B$3:$B$202,MATCH($D244,품목목록!$A$3:$A$202,0)),"미등록"))</f>
        <v/>
      </c>
      <c r="F244" s="11" t="str">
        <f aca="false">IF($D244="","",IFERROR(INDEX(품목목록!$D$3:$D$202,MATCH($D244,품목목록!$A$3:$A$202,0)),""))</f>
        <v/>
      </c>
      <c r="G244" s="9"/>
      <c r="H244" s="12" t="str">
        <f aca="false">IF($D244="","",IFERROR(INDEX(품목목록!$E$3:$E$202,MATCH($D244,품목목록!$A$3:$A$202,0)),0))</f>
        <v/>
      </c>
      <c r="I244" s="8"/>
      <c r="J244" s="8"/>
      <c r="K244" s="13"/>
      <c r="L244" s="14"/>
      <c r="M244" s="8"/>
    </row>
    <row r="245" customFormat="false" ht="15" hidden="false" customHeight="true" outlineLevel="0" collapsed="false">
      <c r="A245" s="11" t="str">
        <f aca="false">IF($B245="","",ROW()-2)</f>
        <v/>
      </c>
      <c r="B245" s="7"/>
      <c r="C245" s="11" t="str">
        <f aca="false">IF($B245="","",IFERROR(INDEX(거래처목록!$B$3:$B$302,MATCH($B245,거래처목록!$A$3:$A$302,0)),"미등록"))</f>
        <v/>
      </c>
      <c r="D245" s="7"/>
      <c r="E245" s="11" t="str">
        <f aca="false">IF($D245="","",IFERROR(INDEX(품목목록!$B$3:$B$202,MATCH($D245,품목목록!$A$3:$A$202,0)),"미등록"))</f>
        <v/>
      </c>
      <c r="F245" s="11" t="str">
        <f aca="false">IF($D245="","",IFERROR(INDEX(품목목록!$D$3:$D$202,MATCH($D245,품목목록!$A$3:$A$202,0)),""))</f>
        <v/>
      </c>
      <c r="G245" s="9"/>
      <c r="H245" s="12" t="str">
        <f aca="false">IF($D245="","",IFERROR(INDEX(품목목록!$E$3:$E$202,MATCH($D245,품목목록!$A$3:$A$202,0)),0))</f>
        <v/>
      </c>
      <c r="I245" s="8"/>
      <c r="J245" s="8"/>
      <c r="K245" s="13"/>
      <c r="L245" s="14"/>
      <c r="M245" s="8"/>
    </row>
    <row r="246" customFormat="false" ht="15" hidden="false" customHeight="true" outlineLevel="0" collapsed="false">
      <c r="A246" s="11" t="str">
        <f aca="false">IF($B246="","",ROW()-2)</f>
        <v/>
      </c>
      <c r="B246" s="7"/>
      <c r="C246" s="11" t="str">
        <f aca="false">IF($B246="","",IFERROR(INDEX(거래처목록!$B$3:$B$302,MATCH($B246,거래처목록!$A$3:$A$302,0)),"미등록"))</f>
        <v/>
      </c>
      <c r="D246" s="7"/>
      <c r="E246" s="11" t="str">
        <f aca="false">IF($D246="","",IFERROR(INDEX(품목목록!$B$3:$B$202,MATCH($D246,품목목록!$A$3:$A$202,0)),"미등록"))</f>
        <v/>
      </c>
      <c r="F246" s="11" t="str">
        <f aca="false">IF($D246="","",IFERROR(INDEX(품목목록!$D$3:$D$202,MATCH($D246,품목목록!$A$3:$A$202,0)),""))</f>
        <v/>
      </c>
      <c r="G246" s="9"/>
      <c r="H246" s="12" t="str">
        <f aca="false">IF($D246="","",IFERROR(INDEX(품목목록!$E$3:$E$202,MATCH($D246,품목목록!$A$3:$A$202,0)),0))</f>
        <v/>
      </c>
      <c r="I246" s="8"/>
      <c r="J246" s="8"/>
      <c r="K246" s="13"/>
      <c r="L246" s="14"/>
      <c r="M246" s="8"/>
    </row>
    <row r="247" customFormat="false" ht="15" hidden="false" customHeight="true" outlineLevel="0" collapsed="false">
      <c r="A247" s="11" t="str">
        <f aca="false">IF($B247="","",ROW()-2)</f>
        <v/>
      </c>
      <c r="B247" s="7"/>
      <c r="C247" s="11" t="str">
        <f aca="false">IF($B247="","",IFERROR(INDEX(거래처목록!$B$3:$B$302,MATCH($B247,거래처목록!$A$3:$A$302,0)),"미등록"))</f>
        <v/>
      </c>
      <c r="D247" s="7"/>
      <c r="E247" s="11" t="str">
        <f aca="false">IF($D247="","",IFERROR(INDEX(품목목록!$B$3:$B$202,MATCH($D247,품목목록!$A$3:$A$202,0)),"미등록"))</f>
        <v/>
      </c>
      <c r="F247" s="11" t="str">
        <f aca="false">IF($D247="","",IFERROR(INDEX(품목목록!$D$3:$D$202,MATCH($D247,품목목록!$A$3:$A$202,0)),""))</f>
        <v/>
      </c>
      <c r="G247" s="9"/>
      <c r="H247" s="12" t="str">
        <f aca="false">IF($D247="","",IFERROR(INDEX(품목목록!$E$3:$E$202,MATCH($D247,품목목록!$A$3:$A$202,0)),0))</f>
        <v/>
      </c>
      <c r="I247" s="8"/>
      <c r="J247" s="8"/>
      <c r="K247" s="13"/>
      <c r="L247" s="14"/>
      <c r="M247" s="8"/>
    </row>
    <row r="248" customFormat="false" ht="15" hidden="false" customHeight="true" outlineLevel="0" collapsed="false">
      <c r="A248" s="11" t="str">
        <f aca="false">IF($B248="","",ROW()-2)</f>
        <v/>
      </c>
      <c r="B248" s="7"/>
      <c r="C248" s="11" t="str">
        <f aca="false">IF($B248="","",IFERROR(INDEX(거래처목록!$B$3:$B$302,MATCH($B248,거래처목록!$A$3:$A$302,0)),"미등록"))</f>
        <v/>
      </c>
      <c r="D248" s="7"/>
      <c r="E248" s="11" t="str">
        <f aca="false">IF($D248="","",IFERROR(INDEX(품목목록!$B$3:$B$202,MATCH($D248,품목목록!$A$3:$A$202,0)),"미등록"))</f>
        <v/>
      </c>
      <c r="F248" s="11" t="str">
        <f aca="false">IF($D248="","",IFERROR(INDEX(품목목록!$D$3:$D$202,MATCH($D248,품목목록!$A$3:$A$202,0)),""))</f>
        <v/>
      </c>
      <c r="G248" s="9"/>
      <c r="H248" s="12" t="str">
        <f aca="false">IF($D248="","",IFERROR(INDEX(품목목록!$E$3:$E$202,MATCH($D248,품목목록!$A$3:$A$202,0)),0))</f>
        <v/>
      </c>
      <c r="I248" s="8"/>
      <c r="J248" s="8"/>
      <c r="K248" s="13"/>
      <c r="L248" s="14"/>
      <c r="M248" s="8"/>
    </row>
    <row r="249" customFormat="false" ht="15" hidden="false" customHeight="true" outlineLevel="0" collapsed="false">
      <c r="A249" s="11" t="str">
        <f aca="false">IF($B249="","",ROW()-2)</f>
        <v/>
      </c>
      <c r="B249" s="7"/>
      <c r="C249" s="11" t="str">
        <f aca="false">IF($B249="","",IFERROR(INDEX(거래처목록!$B$3:$B$302,MATCH($B249,거래처목록!$A$3:$A$302,0)),"미등록"))</f>
        <v/>
      </c>
      <c r="D249" s="7"/>
      <c r="E249" s="11" t="str">
        <f aca="false">IF($D249="","",IFERROR(INDEX(품목목록!$B$3:$B$202,MATCH($D249,품목목록!$A$3:$A$202,0)),"미등록"))</f>
        <v/>
      </c>
      <c r="F249" s="11" t="str">
        <f aca="false">IF($D249="","",IFERROR(INDEX(품목목록!$D$3:$D$202,MATCH($D249,품목목록!$A$3:$A$202,0)),""))</f>
        <v/>
      </c>
      <c r="G249" s="9"/>
      <c r="H249" s="12" t="str">
        <f aca="false">IF($D249="","",IFERROR(INDEX(품목목록!$E$3:$E$202,MATCH($D249,품목목록!$A$3:$A$202,0)),0))</f>
        <v/>
      </c>
      <c r="I249" s="8"/>
      <c r="J249" s="8"/>
      <c r="K249" s="13"/>
      <c r="L249" s="14"/>
      <c r="M249" s="8"/>
    </row>
    <row r="250" customFormat="false" ht="15" hidden="false" customHeight="true" outlineLevel="0" collapsed="false">
      <c r="A250" s="11" t="str">
        <f aca="false">IF($B250="","",ROW()-2)</f>
        <v/>
      </c>
      <c r="B250" s="7"/>
      <c r="C250" s="11" t="str">
        <f aca="false">IF($B250="","",IFERROR(INDEX(거래처목록!$B$3:$B$302,MATCH($B250,거래처목록!$A$3:$A$302,0)),"미등록"))</f>
        <v/>
      </c>
      <c r="D250" s="7"/>
      <c r="E250" s="11" t="str">
        <f aca="false">IF($D250="","",IFERROR(INDEX(품목목록!$B$3:$B$202,MATCH($D250,품목목록!$A$3:$A$202,0)),"미등록"))</f>
        <v/>
      </c>
      <c r="F250" s="11" t="str">
        <f aca="false">IF($D250="","",IFERROR(INDEX(품목목록!$D$3:$D$202,MATCH($D250,품목목록!$A$3:$A$202,0)),""))</f>
        <v/>
      </c>
      <c r="G250" s="9"/>
      <c r="H250" s="12" t="str">
        <f aca="false">IF($D250="","",IFERROR(INDEX(품목목록!$E$3:$E$202,MATCH($D250,품목목록!$A$3:$A$202,0)),0))</f>
        <v/>
      </c>
      <c r="I250" s="8"/>
      <c r="J250" s="8"/>
      <c r="K250" s="13"/>
      <c r="L250" s="14"/>
      <c r="M250" s="8"/>
    </row>
    <row r="251" customFormat="false" ht="15" hidden="false" customHeight="true" outlineLevel="0" collapsed="false">
      <c r="A251" s="11" t="str">
        <f aca="false">IF($B251="","",ROW()-2)</f>
        <v/>
      </c>
      <c r="B251" s="7"/>
      <c r="C251" s="11" t="str">
        <f aca="false">IF($B251="","",IFERROR(INDEX(거래처목록!$B$3:$B$302,MATCH($B251,거래처목록!$A$3:$A$302,0)),"미등록"))</f>
        <v/>
      </c>
      <c r="D251" s="7"/>
      <c r="E251" s="11" t="str">
        <f aca="false">IF($D251="","",IFERROR(INDEX(품목목록!$B$3:$B$202,MATCH($D251,품목목록!$A$3:$A$202,0)),"미등록"))</f>
        <v/>
      </c>
      <c r="F251" s="11" t="str">
        <f aca="false">IF($D251="","",IFERROR(INDEX(품목목록!$D$3:$D$202,MATCH($D251,품목목록!$A$3:$A$202,0)),""))</f>
        <v/>
      </c>
      <c r="G251" s="9"/>
      <c r="H251" s="12" t="str">
        <f aca="false">IF($D251="","",IFERROR(INDEX(품목목록!$E$3:$E$202,MATCH($D251,품목목록!$A$3:$A$202,0)),0))</f>
        <v/>
      </c>
      <c r="I251" s="8"/>
      <c r="J251" s="8"/>
      <c r="K251" s="13"/>
      <c r="L251" s="14"/>
      <c r="M251" s="8"/>
    </row>
    <row r="252" customFormat="false" ht="15" hidden="false" customHeight="true" outlineLevel="0" collapsed="false">
      <c r="A252" s="11" t="str">
        <f aca="false">IF($B252="","",ROW()-2)</f>
        <v/>
      </c>
      <c r="B252" s="7"/>
      <c r="C252" s="11" t="str">
        <f aca="false">IF($B252="","",IFERROR(INDEX(거래처목록!$B$3:$B$302,MATCH($B252,거래처목록!$A$3:$A$302,0)),"미등록"))</f>
        <v/>
      </c>
      <c r="D252" s="7"/>
      <c r="E252" s="11" t="str">
        <f aca="false">IF($D252="","",IFERROR(INDEX(품목목록!$B$3:$B$202,MATCH($D252,품목목록!$A$3:$A$202,0)),"미등록"))</f>
        <v/>
      </c>
      <c r="F252" s="11" t="str">
        <f aca="false">IF($D252="","",IFERROR(INDEX(품목목록!$D$3:$D$202,MATCH($D252,품목목록!$A$3:$A$202,0)),""))</f>
        <v/>
      </c>
      <c r="G252" s="9"/>
      <c r="H252" s="12" t="str">
        <f aca="false">IF($D252="","",IFERROR(INDEX(품목목록!$E$3:$E$202,MATCH($D252,품목목록!$A$3:$A$202,0)),0))</f>
        <v/>
      </c>
      <c r="I252" s="8"/>
      <c r="J252" s="8"/>
      <c r="K252" s="13"/>
      <c r="L252" s="14"/>
      <c r="M252" s="8"/>
    </row>
    <row r="253" customFormat="false" ht="15" hidden="false" customHeight="true" outlineLevel="0" collapsed="false">
      <c r="A253" s="11" t="str">
        <f aca="false">IF($B253="","",ROW()-2)</f>
        <v/>
      </c>
      <c r="B253" s="7"/>
      <c r="C253" s="11" t="str">
        <f aca="false">IF($B253="","",IFERROR(INDEX(거래처목록!$B$3:$B$302,MATCH($B253,거래처목록!$A$3:$A$302,0)),"미등록"))</f>
        <v/>
      </c>
      <c r="D253" s="7"/>
      <c r="E253" s="11" t="str">
        <f aca="false">IF($D253="","",IFERROR(INDEX(품목목록!$B$3:$B$202,MATCH($D253,품목목록!$A$3:$A$202,0)),"미등록"))</f>
        <v/>
      </c>
      <c r="F253" s="11" t="str">
        <f aca="false">IF($D253="","",IFERROR(INDEX(품목목록!$D$3:$D$202,MATCH($D253,품목목록!$A$3:$A$202,0)),""))</f>
        <v/>
      </c>
      <c r="G253" s="9"/>
      <c r="H253" s="12" t="str">
        <f aca="false">IF($D253="","",IFERROR(INDEX(품목목록!$E$3:$E$202,MATCH($D253,품목목록!$A$3:$A$202,0)),0))</f>
        <v/>
      </c>
      <c r="I253" s="8"/>
      <c r="J253" s="8"/>
      <c r="K253" s="13"/>
      <c r="L253" s="14"/>
      <c r="M253" s="8"/>
    </row>
    <row r="254" customFormat="false" ht="15" hidden="false" customHeight="true" outlineLevel="0" collapsed="false">
      <c r="A254" s="11" t="str">
        <f aca="false">IF($B254="","",ROW()-2)</f>
        <v/>
      </c>
      <c r="B254" s="7"/>
      <c r="C254" s="11" t="str">
        <f aca="false">IF($B254="","",IFERROR(INDEX(거래처목록!$B$3:$B$302,MATCH($B254,거래처목록!$A$3:$A$302,0)),"미등록"))</f>
        <v/>
      </c>
      <c r="D254" s="7"/>
      <c r="E254" s="11" t="str">
        <f aca="false">IF($D254="","",IFERROR(INDEX(품목목록!$B$3:$B$202,MATCH($D254,품목목록!$A$3:$A$202,0)),"미등록"))</f>
        <v/>
      </c>
      <c r="F254" s="11" t="str">
        <f aca="false">IF($D254="","",IFERROR(INDEX(품목목록!$D$3:$D$202,MATCH($D254,품목목록!$A$3:$A$202,0)),""))</f>
        <v/>
      </c>
      <c r="G254" s="9"/>
      <c r="H254" s="12" t="str">
        <f aca="false">IF($D254="","",IFERROR(INDEX(품목목록!$E$3:$E$202,MATCH($D254,품목목록!$A$3:$A$202,0)),0))</f>
        <v/>
      </c>
      <c r="I254" s="8"/>
      <c r="J254" s="8"/>
      <c r="K254" s="13"/>
      <c r="L254" s="14"/>
      <c r="M254" s="8"/>
    </row>
    <row r="255" customFormat="false" ht="15" hidden="false" customHeight="true" outlineLevel="0" collapsed="false">
      <c r="A255" s="11" t="str">
        <f aca="false">IF($B255="","",ROW()-2)</f>
        <v/>
      </c>
      <c r="B255" s="7"/>
      <c r="C255" s="11" t="str">
        <f aca="false">IF($B255="","",IFERROR(INDEX(거래처목록!$B$3:$B$302,MATCH($B255,거래처목록!$A$3:$A$302,0)),"미등록"))</f>
        <v/>
      </c>
      <c r="D255" s="7"/>
      <c r="E255" s="11" t="str">
        <f aca="false">IF($D255="","",IFERROR(INDEX(품목목록!$B$3:$B$202,MATCH($D255,품목목록!$A$3:$A$202,0)),"미등록"))</f>
        <v/>
      </c>
      <c r="F255" s="11" t="str">
        <f aca="false">IF($D255="","",IFERROR(INDEX(품목목록!$D$3:$D$202,MATCH($D255,품목목록!$A$3:$A$202,0)),""))</f>
        <v/>
      </c>
      <c r="G255" s="9"/>
      <c r="H255" s="12" t="str">
        <f aca="false">IF($D255="","",IFERROR(INDEX(품목목록!$E$3:$E$202,MATCH($D255,품목목록!$A$3:$A$202,0)),0))</f>
        <v/>
      </c>
      <c r="I255" s="8"/>
      <c r="J255" s="8"/>
      <c r="K255" s="13"/>
      <c r="L255" s="14"/>
      <c r="M255" s="8"/>
    </row>
    <row r="256" customFormat="false" ht="15" hidden="false" customHeight="true" outlineLevel="0" collapsed="false">
      <c r="A256" s="11" t="str">
        <f aca="false">IF($B256="","",ROW()-2)</f>
        <v/>
      </c>
      <c r="B256" s="7"/>
      <c r="C256" s="11" t="str">
        <f aca="false">IF($B256="","",IFERROR(INDEX(거래처목록!$B$3:$B$302,MATCH($B256,거래처목록!$A$3:$A$302,0)),"미등록"))</f>
        <v/>
      </c>
      <c r="D256" s="7"/>
      <c r="E256" s="11" t="str">
        <f aca="false">IF($D256="","",IFERROR(INDEX(품목목록!$B$3:$B$202,MATCH($D256,품목목록!$A$3:$A$202,0)),"미등록"))</f>
        <v/>
      </c>
      <c r="F256" s="11" t="str">
        <f aca="false">IF($D256="","",IFERROR(INDEX(품목목록!$D$3:$D$202,MATCH($D256,품목목록!$A$3:$A$202,0)),""))</f>
        <v/>
      </c>
      <c r="G256" s="9"/>
      <c r="H256" s="12" t="str">
        <f aca="false">IF($D256="","",IFERROR(INDEX(품목목록!$E$3:$E$202,MATCH($D256,품목목록!$A$3:$A$202,0)),0))</f>
        <v/>
      </c>
      <c r="I256" s="8"/>
      <c r="J256" s="8"/>
      <c r="K256" s="13"/>
      <c r="L256" s="14"/>
      <c r="M256" s="8"/>
    </row>
    <row r="257" customFormat="false" ht="15" hidden="false" customHeight="true" outlineLevel="0" collapsed="false">
      <c r="A257" s="11" t="str">
        <f aca="false">IF($B257="","",ROW()-2)</f>
        <v/>
      </c>
      <c r="B257" s="7"/>
      <c r="C257" s="11" t="str">
        <f aca="false">IF($B257="","",IFERROR(INDEX(거래처목록!$B$3:$B$302,MATCH($B257,거래처목록!$A$3:$A$302,0)),"미등록"))</f>
        <v/>
      </c>
      <c r="D257" s="7"/>
      <c r="E257" s="11" t="str">
        <f aca="false">IF($D257="","",IFERROR(INDEX(품목목록!$B$3:$B$202,MATCH($D257,품목목록!$A$3:$A$202,0)),"미등록"))</f>
        <v/>
      </c>
      <c r="F257" s="11" t="str">
        <f aca="false">IF($D257="","",IFERROR(INDEX(품목목록!$D$3:$D$202,MATCH($D257,품목목록!$A$3:$A$202,0)),""))</f>
        <v/>
      </c>
      <c r="G257" s="9"/>
      <c r="H257" s="12" t="str">
        <f aca="false">IF($D257="","",IFERROR(INDEX(품목목록!$E$3:$E$202,MATCH($D257,품목목록!$A$3:$A$202,0)),0))</f>
        <v/>
      </c>
      <c r="I257" s="8"/>
      <c r="J257" s="8"/>
      <c r="K257" s="13"/>
      <c r="L257" s="14"/>
      <c r="M257" s="8"/>
    </row>
    <row r="258" customFormat="false" ht="15" hidden="false" customHeight="true" outlineLevel="0" collapsed="false">
      <c r="A258" s="11" t="str">
        <f aca="false">IF($B258="","",ROW()-2)</f>
        <v/>
      </c>
      <c r="B258" s="7"/>
      <c r="C258" s="11" t="str">
        <f aca="false">IF($B258="","",IFERROR(INDEX(거래처목록!$B$3:$B$302,MATCH($B258,거래처목록!$A$3:$A$302,0)),"미등록"))</f>
        <v/>
      </c>
      <c r="D258" s="7"/>
      <c r="E258" s="11" t="str">
        <f aca="false">IF($D258="","",IFERROR(INDEX(품목목록!$B$3:$B$202,MATCH($D258,품목목록!$A$3:$A$202,0)),"미등록"))</f>
        <v/>
      </c>
      <c r="F258" s="11" t="str">
        <f aca="false">IF($D258="","",IFERROR(INDEX(품목목록!$D$3:$D$202,MATCH($D258,품목목록!$A$3:$A$202,0)),""))</f>
        <v/>
      </c>
      <c r="G258" s="9"/>
      <c r="H258" s="12" t="str">
        <f aca="false">IF($D258="","",IFERROR(INDEX(품목목록!$E$3:$E$202,MATCH($D258,품목목록!$A$3:$A$202,0)),0))</f>
        <v/>
      </c>
      <c r="I258" s="8"/>
      <c r="J258" s="8"/>
      <c r="K258" s="13"/>
      <c r="L258" s="14"/>
      <c r="M258" s="8"/>
    </row>
    <row r="259" customFormat="false" ht="15" hidden="false" customHeight="true" outlineLevel="0" collapsed="false">
      <c r="A259" s="11" t="str">
        <f aca="false">IF($B259="","",ROW()-2)</f>
        <v/>
      </c>
      <c r="B259" s="7"/>
      <c r="C259" s="11" t="str">
        <f aca="false">IF($B259="","",IFERROR(INDEX(거래처목록!$B$3:$B$302,MATCH($B259,거래처목록!$A$3:$A$302,0)),"미등록"))</f>
        <v/>
      </c>
      <c r="D259" s="7"/>
      <c r="E259" s="11" t="str">
        <f aca="false">IF($D259="","",IFERROR(INDEX(품목목록!$B$3:$B$202,MATCH($D259,품목목록!$A$3:$A$202,0)),"미등록"))</f>
        <v/>
      </c>
      <c r="F259" s="11" t="str">
        <f aca="false">IF($D259="","",IFERROR(INDEX(품목목록!$D$3:$D$202,MATCH($D259,품목목록!$A$3:$A$202,0)),""))</f>
        <v/>
      </c>
      <c r="G259" s="9"/>
      <c r="H259" s="12" t="str">
        <f aca="false">IF($D259="","",IFERROR(INDEX(품목목록!$E$3:$E$202,MATCH($D259,품목목록!$A$3:$A$202,0)),0))</f>
        <v/>
      </c>
      <c r="I259" s="8"/>
      <c r="J259" s="8"/>
      <c r="K259" s="13"/>
      <c r="L259" s="14"/>
      <c r="M259" s="8"/>
    </row>
    <row r="260" customFormat="false" ht="15" hidden="false" customHeight="true" outlineLevel="0" collapsed="false">
      <c r="A260" s="11" t="str">
        <f aca="false">IF($B260="","",ROW()-2)</f>
        <v/>
      </c>
      <c r="B260" s="7"/>
      <c r="C260" s="11" t="str">
        <f aca="false">IF($B260="","",IFERROR(INDEX(거래처목록!$B$3:$B$302,MATCH($B260,거래처목록!$A$3:$A$302,0)),"미등록"))</f>
        <v/>
      </c>
      <c r="D260" s="7"/>
      <c r="E260" s="11" t="str">
        <f aca="false">IF($D260="","",IFERROR(INDEX(품목목록!$B$3:$B$202,MATCH($D260,품목목록!$A$3:$A$202,0)),"미등록"))</f>
        <v/>
      </c>
      <c r="F260" s="11" t="str">
        <f aca="false">IF($D260="","",IFERROR(INDEX(품목목록!$D$3:$D$202,MATCH($D260,품목목록!$A$3:$A$202,0)),""))</f>
        <v/>
      </c>
      <c r="G260" s="9"/>
      <c r="H260" s="12" t="str">
        <f aca="false">IF($D260="","",IFERROR(INDEX(품목목록!$E$3:$E$202,MATCH($D260,품목목록!$A$3:$A$202,0)),0))</f>
        <v/>
      </c>
      <c r="I260" s="8"/>
      <c r="J260" s="8"/>
      <c r="K260" s="13"/>
      <c r="L260" s="14"/>
      <c r="M260" s="8"/>
    </row>
    <row r="261" customFormat="false" ht="15" hidden="false" customHeight="true" outlineLevel="0" collapsed="false">
      <c r="A261" s="11" t="str">
        <f aca="false">IF($B261="","",ROW()-2)</f>
        <v/>
      </c>
      <c r="B261" s="7"/>
      <c r="C261" s="11" t="str">
        <f aca="false">IF($B261="","",IFERROR(INDEX(거래처목록!$B$3:$B$302,MATCH($B261,거래처목록!$A$3:$A$302,0)),"미등록"))</f>
        <v/>
      </c>
      <c r="D261" s="7"/>
      <c r="E261" s="11" t="str">
        <f aca="false">IF($D261="","",IFERROR(INDEX(품목목록!$B$3:$B$202,MATCH($D261,품목목록!$A$3:$A$202,0)),"미등록"))</f>
        <v/>
      </c>
      <c r="F261" s="11" t="str">
        <f aca="false">IF($D261="","",IFERROR(INDEX(품목목록!$D$3:$D$202,MATCH($D261,품목목록!$A$3:$A$202,0)),""))</f>
        <v/>
      </c>
      <c r="G261" s="9"/>
      <c r="H261" s="12" t="str">
        <f aca="false">IF($D261="","",IFERROR(INDEX(품목목록!$E$3:$E$202,MATCH($D261,품목목록!$A$3:$A$202,0)),0))</f>
        <v/>
      </c>
      <c r="I261" s="8"/>
      <c r="J261" s="8"/>
      <c r="K261" s="13"/>
      <c r="L261" s="14"/>
      <c r="M261" s="8"/>
    </row>
    <row r="262" customFormat="false" ht="15" hidden="false" customHeight="true" outlineLevel="0" collapsed="false">
      <c r="A262" s="11" t="str">
        <f aca="false">IF($B262="","",ROW()-2)</f>
        <v/>
      </c>
      <c r="B262" s="7"/>
      <c r="C262" s="11" t="str">
        <f aca="false">IF($B262="","",IFERROR(INDEX(거래처목록!$B$3:$B$302,MATCH($B262,거래처목록!$A$3:$A$302,0)),"미등록"))</f>
        <v/>
      </c>
      <c r="D262" s="7"/>
      <c r="E262" s="11" t="str">
        <f aca="false">IF($D262="","",IFERROR(INDEX(품목목록!$B$3:$B$202,MATCH($D262,품목목록!$A$3:$A$202,0)),"미등록"))</f>
        <v/>
      </c>
      <c r="F262" s="11" t="str">
        <f aca="false">IF($D262="","",IFERROR(INDEX(품목목록!$D$3:$D$202,MATCH($D262,품목목록!$A$3:$A$202,0)),""))</f>
        <v/>
      </c>
      <c r="G262" s="9"/>
      <c r="H262" s="12" t="str">
        <f aca="false">IF($D262="","",IFERROR(INDEX(품목목록!$E$3:$E$202,MATCH($D262,품목목록!$A$3:$A$202,0)),0))</f>
        <v/>
      </c>
      <c r="I262" s="8"/>
      <c r="J262" s="8"/>
      <c r="K262" s="13"/>
      <c r="L262" s="14"/>
      <c r="M262" s="8"/>
    </row>
    <row r="263" customFormat="false" ht="15" hidden="false" customHeight="true" outlineLevel="0" collapsed="false">
      <c r="A263" s="11" t="str">
        <f aca="false">IF($B263="","",ROW()-2)</f>
        <v/>
      </c>
      <c r="B263" s="7"/>
      <c r="C263" s="11" t="str">
        <f aca="false">IF($B263="","",IFERROR(INDEX(거래처목록!$B$3:$B$302,MATCH($B263,거래처목록!$A$3:$A$302,0)),"미등록"))</f>
        <v/>
      </c>
      <c r="D263" s="7"/>
      <c r="E263" s="11" t="str">
        <f aca="false">IF($D263="","",IFERROR(INDEX(품목목록!$B$3:$B$202,MATCH($D263,품목목록!$A$3:$A$202,0)),"미등록"))</f>
        <v/>
      </c>
      <c r="F263" s="11" t="str">
        <f aca="false">IF($D263="","",IFERROR(INDEX(품목목록!$D$3:$D$202,MATCH($D263,품목목록!$A$3:$A$202,0)),""))</f>
        <v/>
      </c>
      <c r="G263" s="9"/>
      <c r="H263" s="12" t="str">
        <f aca="false">IF($D263="","",IFERROR(INDEX(품목목록!$E$3:$E$202,MATCH($D263,품목목록!$A$3:$A$202,0)),0))</f>
        <v/>
      </c>
      <c r="I263" s="8"/>
      <c r="J263" s="8"/>
      <c r="K263" s="13"/>
      <c r="L263" s="14"/>
      <c r="M263" s="8"/>
    </row>
    <row r="264" customFormat="false" ht="15" hidden="false" customHeight="true" outlineLevel="0" collapsed="false">
      <c r="A264" s="11" t="str">
        <f aca="false">IF($B264="","",ROW()-2)</f>
        <v/>
      </c>
      <c r="B264" s="7"/>
      <c r="C264" s="11" t="str">
        <f aca="false">IF($B264="","",IFERROR(INDEX(거래처목록!$B$3:$B$302,MATCH($B264,거래처목록!$A$3:$A$302,0)),"미등록"))</f>
        <v/>
      </c>
      <c r="D264" s="7"/>
      <c r="E264" s="11" t="str">
        <f aca="false">IF($D264="","",IFERROR(INDEX(품목목록!$B$3:$B$202,MATCH($D264,품목목록!$A$3:$A$202,0)),"미등록"))</f>
        <v/>
      </c>
      <c r="F264" s="11" t="str">
        <f aca="false">IF($D264="","",IFERROR(INDEX(품목목록!$D$3:$D$202,MATCH($D264,품목목록!$A$3:$A$202,0)),""))</f>
        <v/>
      </c>
      <c r="G264" s="9"/>
      <c r="H264" s="12" t="str">
        <f aca="false">IF($D264="","",IFERROR(INDEX(품목목록!$E$3:$E$202,MATCH($D264,품목목록!$A$3:$A$202,0)),0))</f>
        <v/>
      </c>
      <c r="I264" s="8"/>
      <c r="J264" s="8"/>
      <c r="K264" s="13"/>
      <c r="L264" s="14"/>
      <c r="M264" s="8"/>
    </row>
    <row r="265" customFormat="false" ht="15" hidden="false" customHeight="true" outlineLevel="0" collapsed="false">
      <c r="A265" s="11" t="str">
        <f aca="false">IF($B265="","",ROW()-2)</f>
        <v/>
      </c>
      <c r="B265" s="7"/>
      <c r="C265" s="11" t="str">
        <f aca="false">IF($B265="","",IFERROR(INDEX(거래처목록!$B$3:$B$302,MATCH($B265,거래처목록!$A$3:$A$302,0)),"미등록"))</f>
        <v/>
      </c>
      <c r="D265" s="7"/>
      <c r="E265" s="11" t="str">
        <f aca="false">IF($D265="","",IFERROR(INDEX(품목목록!$B$3:$B$202,MATCH($D265,품목목록!$A$3:$A$202,0)),"미등록"))</f>
        <v/>
      </c>
      <c r="F265" s="11" t="str">
        <f aca="false">IF($D265="","",IFERROR(INDEX(품목목록!$D$3:$D$202,MATCH($D265,품목목록!$A$3:$A$202,0)),""))</f>
        <v/>
      </c>
      <c r="G265" s="9"/>
      <c r="H265" s="12" t="str">
        <f aca="false">IF($D265="","",IFERROR(INDEX(품목목록!$E$3:$E$202,MATCH($D265,품목목록!$A$3:$A$202,0)),0))</f>
        <v/>
      </c>
      <c r="I265" s="8"/>
      <c r="J265" s="8"/>
      <c r="K265" s="13"/>
      <c r="L265" s="14"/>
      <c r="M265" s="8"/>
    </row>
    <row r="266" customFormat="false" ht="15" hidden="false" customHeight="true" outlineLevel="0" collapsed="false">
      <c r="A266" s="11" t="str">
        <f aca="false">IF($B266="","",ROW()-2)</f>
        <v/>
      </c>
      <c r="B266" s="7"/>
      <c r="C266" s="11" t="str">
        <f aca="false">IF($B266="","",IFERROR(INDEX(거래처목록!$B$3:$B$302,MATCH($B266,거래처목록!$A$3:$A$302,0)),"미등록"))</f>
        <v/>
      </c>
      <c r="D266" s="7"/>
      <c r="E266" s="11" t="str">
        <f aca="false">IF($D266="","",IFERROR(INDEX(품목목록!$B$3:$B$202,MATCH($D266,품목목록!$A$3:$A$202,0)),"미등록"))</f>
        <v/>
      </c>
      <c r="F266" s="11" t="str">
        <f aca="false">IF($D266="","",IFERROR(INDEX(품목목록!$D$3:$D$202,MATCH($D266,품목목록!$A$3:$A$202,0)),""))</f>
        <v/>
      </c>
      <c r="G266" s="9"/>
      <c r="H266" s="12" t="str">
        <f aca="false">IF($D266="","",IFERROR(INDEX(품목목록!$E$3:$E$202,MATCH($D266,품목목록!$A$3:$A$202,0)),0))</f>
        <v/>
      </c>
      <c r="I266" s="8"/>
      <c r="J266" s="8"/>
      <c r="K266" s="13"/>
      <c r="L266" s="14"/>
      <c r="M266" s="8"/>
    </row>
    <row r="267" customFormat="false" ht="15" hidden="false" customHeight="true" outlineLevel="0" collapsed="false">
      <c r="A267" s="11" t="str">
        <f aca="false">IF($B267="","",ROW()-2)</f>
        <v/>
      </c>
      <c r="B267" s="7"/>
      <c r="C267" s="11" t="str">
        <f aca="false">IF($B267="","",IFERROR(INDEX(거래처목록!$B$3:$B$302,MATCH($B267,거래처목록!$A$3:$A$302,0)),"미등록"))</f>
        <v/>
      </c>
      <c r="D267" s="7"/>
      <c r="E267" s="11" t="str">
        <f aca="false">IF($D267="","",IFERROR(INDEX(품목목록!$B$3:$B$202,MATCH($D267,품목목록!$A$3:$A$202,0)),"미등록"))</f>
        <v/>
      </c>
      <c r="F267" s="11" t="str">
        <f aca="false">IF($D267="","",IFERROR(INDEX(품목목록!$D$3:$D$202,MATCH($D267,품목목록!$A$3:$A$202,0)),""))</f>
        <v/>
      </c>
      <c r="G267" s="9"/>
      <c r="H267" s="12" t="str">
        <f aca="false">IF($D267="","",IFERROR(INDEX(품목목록!$E$3:$E$202,MATCH($D267,품목목록!$A$3:$A$202,0)),0))</f>
        <v/>
      </c>
      <c r="I267" s="8"/>
      <c r="J267" s="8"/>
      <c r="K267" s="13"/>
      <c r="L267" s="14"/>
      <c r="M267" s="8"/>
    </row>
    <row r="268" customFormat="false" ht="15" hidden="false" customHeight="true" outlineLevel="0" collapsed="false">
      <c r="A268" s="11" t="str">
        <f aca="false">IF($B268="","",ROW()-2)</f>
        <v/>
      </c>
      <c r="B268" s="7"/>
      <c r="C268" s="11" t="str">
        <f aca="false">IF($B268="","",IFERROR(INDEX(거래처목록!$B$3:$B$302,MATCH($B268,거래처목록!$A$3:$A$302,0)),"미등록"))</f>
        <v/>
      </c>
      <c r="D268" s="7"/>
      <c r="E268" s="11" t="str">
        <f aca="false">IF($D268="","",IFERROR(INDEX(품목목록!$B$3:$B$202,MATCH($D268,품목목록!$A$3:$A$202,0)),"미등록"))</f>
        <v/>
      </c>
      <c r="F268" s="11" t="str">
        <f aca="false">IF($D268="","",IFERROR(INDEX(품목목록!$D$3:$D$202,MATCH($D268,품목목록!$A$3:$A$202,0)),""))</f>
        <v/>
      </c>
      <c r="G268" s="9"/>
      <c r="H268" s="12" t="str">
        <f aca="false">IF($D268="","",IFERROR(INDEX(품목목록!$E$3:$E$202,MATCH($D268,품목목록!$A$3:$A$202,0)),0))</f>
        <v/>
      </c>
      <c r="I268" s="8"/>
      <c r="J268" s="8"/>
      <c r="K268" s="13"/>
      <c r="L268" s="14"/>
      <c r="M268" s="8"/>
    </row>
    <row r="269" customFormat="false" ht="15" hidden="false" customHeight="true" outlineLevel="0" collapsed="false">
      <c r="A269" s="11" t="str">
        <f aca="false">IF($B269="","",ROW()-2)</f>
        <v/>
      </c>
      <c r="B269" s="7"/>
      <c r="C269" s="11" t="str">
        <f aca="false">IF($B269="","",IFERROR(INDEX(거래처목록!$B$3:$B$302,MATCH($B269,거래처목록!$A$3:$A$302,0)),"미등록"))</f>
        <v/>
      </c>
      <c r="D269" s="7"/>
      <c r="E269" s="11" t="str">
        <f aca="false">IF($D269="","",IFERROR(INDEX(품목목록!$B$3:$B$202,MATCH($D269,품목목록!$A$3:$A$202,0)),"미등록"))</f>
        <v/>
      </c>
      <c r="F269" s="11" t="str">
        <f aca="false">IF($D269="","",IFERROR(INDEX(품목목록!$D$3:$D$202,MATCH($D269,품목목록!$A$3:$A$202,0)),""))</f>
        <v/>
      </c>
      <c r="G269" s="9"/>
      <c r="H269" s="12" t="str">
        <f aca="false">IF($D269="","",IFERROR(INDEX(품목목록!$E$3:$E$202,MATCH($D269,품목목록!$A$3:$A$202,0)),0))</f>
        <v/>
      </c>
      <c r="I269" s="8"/>
      <c r="J269" s="8"/>
      <c r="K269" s="13"/>
      <c r="L269" s="14"/>
      <c r="M269" s="8"/>
    </row>
    <row r="270" customFormat="false" ht="15" hidden="false" customHeight="true" outlineLevel="0" collapsed="false">
      <c r="A270" s="11" t="str">
        <f aca="false">IF($B270="","",ROW()-2)</f>
        <v/>
      </c>
      <c r="B270" s="7"/>
      <c r="C270" s="11" t="str">
        <f aca="false">IF($B270="","",IFERROR(INDEX(거래처목록!$B$3:$B$302,MATCH($B270,거래처목록!$A$3:$A$302,0)),"미등록"))</f>
        <v/>
      </c>
      <c r="D270" s="7"/>
      <c r="E270" s="11" t="str">
        <f aca="false">IF($D270="","",IFERROR(INDEX(품목목록!$B$3:$B$202,MATCH($D270,품목목록!$A$3:$A$202,0)),"미등록"))</f>
        <v/>
      </c>
      <c r="F270" s="11" t="str">
        <f aca="false">IF($D270="","",IFERROR(INDEX(품목목록!$D$3:$D$202,MATCH($D270,품목목록!$A$3:$A$202,0)),""))</f>
        <v/>
      </c>
      <c r="G270" s="9"/>
      <c r="H270" s="12" t="str">
        <f aca="false">IF($D270="","",IFERROR(INDEX(품목목록!$E$3:$E$202,MATCH($D270,품목목록!$A$3:$A$202,0)),0))</f>
        <v/>
      </c>
      <c r="I270" s="8"/>
      <c r="J270" s="8"/>
      <c r="K270" s="13"/>
      <c r="L270" s="14"/>
      <c r="M270" s="8"/>
    </row>
    <row r="271" customFormat="false" ht="15" hidden="false" customHeight="true" outlineLevel="0" collapsed="false">
      <c r="A271" s="11" t="str">
        <f aca="false">IF($B271="","",ROW()-2)</f>
        <v/>
      </c>
      <c r="B271" s="7"/>
      <c r="C271" s="11" t="str">
        <f aca="false">IF($B271="","",IFERROR(INDEX(거래처목록!$B$3:$B$302,MATCH($B271,거래처목록!$A$3:$A$302,0)),"미등록"))</f>
        <v/>
      </c>
      <c r="D271" s="7"/>
      <c r="E271" s="11" t="str">
        <f aca="false">IF($D271="","",IFERROR(INDEX(품목목록!$B$3:$B$202,MATCH($D271,품목목록!$A$3:$A$202,0)),"미등록"))</f>
        <v/>
      </c>
      <c r="F271" s="11" t="str">
        <f aca="false">IF($D271="","",IFERROR(INDEX(품목목록!$D$3:$D$202,MATCH($D271,품목목록!$A$3:$A$202,0)),""))</f>
        <v/>
      </c>
      <c r="G271" s="9"/>
      <c r="H271" s="12" t="str">
        <f aca="false">IF($D271="","",IFERROR(INDEX(품목목록!$E$3:$E$202,MATCH($D271,품목목록!$A$3:$A$202,0)),0))</f>
        <v/>
      </c>
      <c r="I271" s="8"/>
      <c r="J271" s="8"/>
      <c r="K271" s="13"/>
      <c r="L271" s="14"/>
      <c r="M271" s="8"/>
    </row>
    <row r="272" customFormat="false" ht="15" hidden="false" customHeight="true" outlineLevel="0" collapsed="false">
      <c r="A272" s="11" t="str">
        <f aca="false">IF($B272="","",ROW()-2)</f>
        <v/>
      </c>
      <c r="B272" s="7"/>
      <c r="C272" s="11" t="str">
        <f aca="false">IF($B272="","",IFERROR(INDEX(거래처목록!$B$3:$B$302,MATCH($B272,거래처목록!$A$3:$A$302,0)),"미등록"))</f>
        <v/>
      </c>
      <c r="D272" s="7"/>
      <c r="E272" s="11" t="str">
        <f aca="false">IF($D272="","",IFERROR(INDEX(품목목록!$B$3:$B$202,MATCH($D272,품목목록!$A$3:$A$202,0)),"미등록"))</f>
        <v/>
      </c>
      <c r="F272" s="11" t="str">
        <f aca="false">IF($D272="","",IFERROR(INDEX(품목목록!$D$3:$D$202,MATCH($D272,품목목록!$A$3:$A$202,0)),""))</f>
        <v/>
      </c>
      <c r="G272" s="9"/>
      <c r="H272" s="12" t="str">
        <f aca="false">IF($D272="","",IFERROR(INDEX(품목목록!$E$3:$E$202,MATCH($D272,품목목록!$A$3:$A$202,0)),0))</f>
        <v/>
      </c>
      <c r="I272" s="8"/>
      <c r="J272" s="8"/>
      <c r="K272" s="13"/>
      <c r="L272" s="14"/>
      <c r="M272" s="8"/>
    </row>
    <row r="273" customFormat="false" ht="15" hidden="false" customHeight="true" outlineLevel="0" collapsed="false">
      <c r="A273" s="11" t="str">
        <f aca="false">IF($B273="","",ROW()-2)</f>
        <v/>
      </c>
      <c r="B273" s="7"/>
      <c r="C273" s="11" t="str">
        <f aca="false">IF($B273="","",IFERROR(INDEX(거래처목록!$B$3:$B$302,MATCH($B273,거래처목록!$A$3:$A$302,0)),"미등록"))</f>
        <v/>
      </c>
      <c r="D273" s="7"/>
      <c r="E273" s="11" t="str">
        <f aca="false">IF($D273="","",IFERROR(INDEX(품목목록!$B$3:$B$202,MATCH($D273,품목목록!$A$3:$A$202,0)),"미등록"))</f>
        <v/>
      </c>
      <c r="F273" s="11" t="str">
        <f aca="false">IF($D273="","",IFERROR(INDEX(품목목록!$D$3:$D$202,MATCH($D273,품목목록!$A$3:$A$202,0)),""))</f>
        <v/>
      </c>
      <c r="G273" s="9"/>
      <c r="H273" s="12" t="str">
        <f aca="false">IF($D273="","",IFERROR(INDEX(품목목록!$E$3:$E$202,MATCH($D273,품목목록!$A$3:$A$202,0)),0))</f>
        <v/>
      </c>
      <c r="I273" s="8"/>
      <c r="J273" s="8"/>
      <c r="K273" s="13"/>
      <c r="L273" s="14"/>
      <c r="M273" s="8"/>
    </row>
    <row r="274" customFormat="false" ht="15" hidden="false" customHeight="true" outlineLevel="0" collapsed="false">
      <c r="A274" s="11" t="str">
        <f aca="false">IF($B274="","",ROW()-2)</f>
        <v/>
      </c>
      <c r="B274" s="7"/>
      <c r="C274" s="11" t="str">
        <f aca="false">IF($B274="","",IFERROR(INDEX(거래처목록!$B$3:$B$302,MATCH($B274,거래처목록!$A$3:$A$302,0)),"미등록"))</f>
        <v/>
      </c>
      <c r="D274" s="7"/>
      <c r="E274" s="11" t="str">
        <f aca="false">IF($D274="","",IFERROR(INDEX(품목목록!$B$3:$B$202,MATCH($D274,품목목록!$A$3:$A$202,0)),"미등록"))</f>
        <v/>
      </c>
      <c r="F274" s="11" t="str">
        <f aca="false">IF($D274="","",IFERROR(INDEX(품목목록!$D$3:$D$202,MATCH($D274,품목목록!$A$3:$A$202,0)),""))</f>
        <v/>
      </c>
      <c r="G274" s="9"/>
      <c r="H274" s="12" t="str">
        <f aca="false">IF($D274="","",IFERROR(INDEX(품목목록!$E$3:$E$202,MATCH($D274,품목목록!$A$3:$A$202,0)),0))</f>
        <v/>
      </c>
      <c r="I274" s="8"/>
      <c r="J274" s="8"/>
      <c r="K274" s="13"/>
      <c r="L274" s="14"/>
      <c r="M274" s="8"/>
    </row>
    <row r="275" customFormat="false" ht="15" hidden="false" customHeight="true" outlineLevel="0" collapsed="false">
      <c r="A275" s="11" t="str">
        <f aca="false">IF($B275="","",ROW()-2)</f>
        <v/>
      </c>
      <c r="B275" s="7"/>
      <c r="C275" s="11" t="str">
        <f aca="false">IF($B275="","",IFERROR(INDEX(거래처목록!$B$3:$B$302,MATCH($B275,거래처목록!$A$3:$A$302,0)),"미등록"))</f>
        <v/>
      </c>
      <c r="D275" s="7"/>
      <c r="E275" s="11" t="str">
        <f aca="false">IF($D275="","",IFERROR(INDEX(품목목록!$B$3:$B$202,MATCH($D275,품목목록!$A$3:$A$202,0)),"미등록"))</f>
        <v/>
      </c>
      <c r="F275" s="11" t="str">
        <f aca="false">IF($D275="","",IFERROR(INDEX(품목목록!$D$3:$D$202,MATCH($D275,품목목록!$A$3:$A$202,0)),""))</f>
        <v/>
      </c>
      <c r="G275" s="9"/>
      <c r="H275" s="12" t="str">
        <f aca="false">IF($D275="","",IFERROR(INDEX(품목목록!$E$3:$E$202,MATCH($D275,품목목록!$A$3:$A$202,0)),0))</f>
        <v/>
      </c>
      <c r="I275" s="8"/>
      <c r="J275" s="8"/>
      <c r="K275" s="13"/>
      <c r="L275" s="14"/>
      <c r="M275" s="8"/>
    </row>
    <row r="276" customFormat="false" ht="15" hidden="false" customHeight="true" outlineLevel="0" collapsed="false">
      <c r="A276" s="11" t="str">
        <f aca="false">IF($B276="","",ROW()-2)</f>
        <v/>
      </c>
      <c r="B276" s="7"/>
      <c r="C276" s="11" t="str">
        <f aca="false">IF($B276="","",IFERROR(INDEX(거래처목록!$B$3:$B$302,MATCH($B276,거래처목록!$A$3:$A$302,0)),"미등록"))</f>
        <v/>
      </c>
      <c r="D276" s="7"/>
      <c r="E276" s="11" t="str">
        <f aca="false">IF($D276="","",IFERROR(INDEX(품목목록!$B$3:$B$202,MATCH($D276,품목목록!$A$3:$A$202,0)),"미등록"))</f>
        <v/>
      </c>
      <c r="F276" s="11" t="str">
        <f aca="false">IF($D276="","",IFERROR(INDEX(품목목록!$D$3:$D$202,MATCH($D276,품목목록!$A$3:$A$202,0)),""))</f>
        <v/>
      </c>
      <c r="G276" s="9"/>
      <c r="H276" s="12" t="str">
        <f aca="false">IF($D276="","",IFERROR(INDEX(품목목록!$E$3:$E$202,MATCH($D276,품목목록!$A$3:$A$202,0)),0))</f>
        <v/>
      </c>
      <c r="I276" s="8"/>
      <c r="J276" s="8"/>
      <c r="K276" s="13"/>
      <c r="L276" s="14"/>
      <c r="M276" s="8"/>
    </row>
    <row r="277" customFormat="false" ht="15" hidden="false" customHeight="true" outlineLevel="0" collapsed="false">
      <c r="A277" s="11" t="str">
        <f aca="false">IF($B277="","",ROW()-2)</f>
        <v/>
      </c>
      <c r="B277" s="7"/>
      <c r="C277" s="11" t="str">
        <f aca="false">IF($B277="","",IFERROR(INDEX(거래처목록!$B$3:$B$302,MATCH($B277,거래처목록!$A$3:$A$302,0)),"미등록"))</f>
        <v/>
      </c>
      <c r="D277" s="7"/>
      <c r="E277" s="11" t="str">
        <f aca="false">IF($D277="","",IFERROR(INDEX(품목목록!$B$3:$B$202,MATCH($D277,품목목록!$A$3:$A$202,0)),"미등록"))</f>
        <v/>
      </c>
      <c r="F277" s="11" t="str">
        <f aca="false">IF($D277="","",IFERROR(INDEX(품목목록!$D$3:$D$202,MATCH($D277,품목목록!$A$3:$A$202,0)),""))</f>
        <v/>
      </c>
      <c r="G277" s="9"/>
      <c r="H277" s="12" t="str">
        <f aca="false">IF($D277="","",IFERROR(INDEX(품목목록!$E$3:$E$202,MATCH($D277,품목목록!$A$3:$A$202,0)),0))</f>
        <v/>
      </c>
      <c r="I277" s="8"/>
      <c r="J277" s="8"/>
      <c r="K277" s="13"/>
      <c r="L277" s="14"/>
      <c r="M277" s="8"/>
    </row>
    <row r="278" customFormat="false" ht="15" hidden="false" customHeight="true" outlineLevel="0" collapsed="false">
      <c r="A278" s="11" t="str">
        <f aca="false">IF($B278="","",ROW()-2)</f>
        <v/>
      </c>
      <c r="B278" s="7"/>
      <c r="C278" s="11" t="str">
        <f aca="false">IF($B278="","",IFERROR(INDEX(거래처목록!$B$3:$B$302,MATCH($B278,거래처목록!$A$3:$A$302,0)),"미등록"))</f>
        <v/>
      </c>
      <c r="D278" s="7"/>
      <c r="E278" s="11" t="str">
        <f aca="false">IF($D278="","",IFERROR(INDEX(품목목록!$B$3:$B$202,MATCH($D278,품목목록!$A$3:$A$202,0)),"미등록"))</f>
        <v/>
      </c>
      <c r="F278" s="11" t="str">
        <f aca="false">IF($D278="","",IFERROR(INDEX(품목목록!$D$3:$D$202,MATCH($D278,품목목록!$A$3:$A$202,0)),""))</f>
        <v/>
      </c>
      <c r="G278" s="9"/>
      <c r="H278" s="12" t="str">
        <f aca="false">IF($D278="","",IFERROR(INDEX(품목목록!$E$3:$E$202,MATCH($D278,품목목록!$A$3:$A$202,0)),0))</f>
        <v/>
      </c>
      <c r="I278" s="8"/>
      <c r="J278" s="8"/>
      <c r="K278" s="13"/>
      <c r="L278" s="14"/>
      <c r="M278" s="8"/>
    </row>
    <row r="279" customFormat="false" ht="15" hidden="false" customHeight="true" outlineLevel="0" collapsed="false">
      <c r="A279" s="11" t="str">
        <f aca="false">IF($B279="","",ROW()-2)</f>
        <v/>
      </c>
      <c r="B279" s="7"/>
      <c r="C279" s="11" t="str">
        <f aca="false">IF($B279="","",IFERROR(INDEX(거래처목록!$B$3:$B$302,MATCH($B279,거래처목록!$A$3:$A$302,0)),"미등록"))</f>
        <v/>
      </c>
      <c r="D279" s="7"/>
      <c r="E279" s="11" t="str">
        <f aca="false">IF($D279="","",IFERROR(INDEX(품목목록!$B$3:$B$202,MATCH($D279,품목목록!$A$3:$A$202,0)),"미등록"))</f>
        <v/>
      </c>
      <c r="F279" s="11" t="str">
        <f aca="false">IF($D279="","",IFERROR(INDEX(품목목록!$D$3:$D$202,MATCH($D279,품목목록!$A$3:$A$202,0)),""))</f>
        <v/>
      </c>
      <c r="G279" s="9"/>
      <c r="H279" s="12" t="str">
        <f aca="false">IF($D279="","",IFERROR(INDEX(품목목록!$E$3:$E$202,MATCH($D279,품목목록!$A$3:$A$202,0)),0))</f>
        <v/>
      </c>
      <c r="I279" s="8"/>
      <c r="J279" s="8"/>
      <c r="K279" s="13"/>
      <c r="L279" s="14"/>
      <c r="M279" s="8"/>
    </row>
    <row r="280" customFormat="false" ht="15" hidden="false" customHeight="true" outlineLevel="0" collapsed="false">
      <c r="A280" s="11" t="str">
        <f aca="false">IF($B280="","",ROW()-2)</f>
        <v/>
      </c>
      <c r="B280" s="7"/>
      <c r="C280" s="11" t="str">
        <f aca="false">IF($B280="","",IFERROR(INDEX(거래처목록!$B$3:$B$302,MATCH($B280,거래처목록!$A$3:$A$302,0)),"미등록"))</f>
        <v/>
      </c>
      <c r="D280" s="7"/>
      <c r="E280" s="11" t="str">
        <f aca="false">IF($D280="","",IFERROR(INDEX(품목목록!$B$3:$B$202,MATCH($D280,품목목록!$A$3:$A$202,0)),"미등록"))</f>
        <v/>
      </c>
      <c r="F280" s="11" t="str">
        <f aca="false">IF($D280="","",IFERROR(INDEX(품목목록!$D$3:$D$202,MATCH($D280,품목목록!$A$3:$A$202,0)),""))</f>
        <v/>
      </c>
      <c r="G280" s="9"/>
      <c r="H280" s="12" t="str">
        <f aca="false">IF($D280="","",IFERROR(INDEX(품목목록!$E$3:$E$202,MATCH($D280,품목목록!$A$3:$A$202,0)),0))</f>
        <v/>
      </c>
      <c r="I280" s="8"/>
      <c r="J280" s="8"/>
      <c r="K280" s="13"/>
      <c r="L280" s="14"/>
      <c r="M280" s="8"/>
    </row>
    <row r="281" customFormat="false" ht="15" hidden="false" customHeight="true" outlineLevel="0" collapsed="false">
      <c r="A281" s="11" t="str">
        <f aca="false">IF($B281="","",ROW()-2)</f>
        <v/>
      </c>
      <c r="B281" s="7"/>
      <c r="C281" s="11" t="str">
        <f aca="false">IF($B281="","",IFERROR(INDEX(거래처목록!$B$3:$B$302,MATCH($B281,거래처목록!$A$3:$A$302,0)),"미등록"))</f>
        <v/>
      </c>
      <c r="D281" s="7"/>
      <c r="E281" s="11" t="str">
        <f aca="false">IF($D281="","",IFERROR(INDEX(품목목록!$B$3:$B$202,MATCH($D281,품목목록!$A$3:$A$202,0)),"미등록"))</f>
        <v/>
      </c>
      <c r="F281" s="11" t="str">
        <f aca="false">IF($D281="","",IFERROR(INDEX(품목목록!$D$3:$D$202,MATCH($D281,품목목록!$A$3:$A$202,0)),""))</f>
        <v/>
      </c>
      <c r="G281" s="9"/>
      <c r="H281" s="12" t="str">
        <f aca="false">IF($D281="","",IFERROR(INDEX(품목목록!$E$3:$E$202,MATCH($D281,품목목록!$A$3:$A$202,0)),0))</f>
        <v/>
      </c>
      <c r="I281" s="8"/>
      <c r="J281" s="8"/>
      <c r="K281" s="13"/>
      <c r="L281" s="14"/>
      <c r="M281" s="8"/>
    </row>
    <row r="282" customFormat="false" ht="15" hidden="false" customHeight="true" outlineLevel="0" collapsed="false">
      <c r="A282" s="11" t="str">
        <f aca="false">IF($B282="","",ROW()-2)</f>
        <v/>
      </c>
      <c r="B282" s="7"/>
      <c r="C282" s="11" t="str">
        <f aca="false">IF($B282="","",IFERROR(INDEX(거래처목록!$B$3:$B$302,MATCH($B282,거래처목록!$A$3:$A$302,0)),"미등록"))</f>
        <v/>
      </c>
      <c r="D282" s="7"/>
      <c r="E282" s="11" t="str">
        <f aca="false">IF($D282="","",IFERROR(INDEX(품목목록!$B$3:$B$202,MATCH($D282,품목목록!$A$3:$A$202,0)),"미등록"))</f>
        <v/>
      </c>
      <c r="F282" s="11" t="str">
        <f aca="false">IF($D282="","",IFERROR(INDEX(품목목록!$D$3:$D$202,MATCH($D282,품목목록!$A$3:$A$202,0)),""))</f>
        <v/>
      </c>
      <c r="G282" s="9"/>
      <c r="H282" s="12" t="str">
        <f aca="false">IF($D282="","",IFERROR(INDEX(품목목록!$E$3:$E$202,MATCH($D282,품목목록!$A$3:$A$202,0)),0))</f>
        <v/>
      </c>
      <c r="I282" s="8"/>
      <c r="J282" s="8"/>
      <c r="K282" s="13"/>
      <c r="L282" s="14"/>
      <c r="M282" s="8"/>
    </row>
    <row r="283" customFormat="false" ht="15" hidden="false" customHeight="true" outlineLevel="0" collapsed="false">
      <c r="A283" s="11" t="str">
        <f aca="false">IF($B283="","",ROW()-2)</f>
        <v/>
      </c>
      <c r="B283" s="7"/>
      <c r="C283" s="11" t="str">
        <f aca="false">IF($B283="","",IFERROR(INDEX(거래처목록!$B$3:$B$302,MATCH($B283,거래처목록!$A$3:$A$302,0)),"미등록"))</f>
        <v/>
      </c>
      <c r="D283" s="7"/>
      <c r="E283" s="11" t="str">
        <f aca="false">IF($D283="","",IFERROR(INDEX(품목목록!$B$3:$B$202,MATCH($D283,품목목록!$A$3:$A$202,0)),"미등록"))</f>
        <v/>
      </c>
      <c r="F283" s="11" t="str">
        <f aca="false">IF($D283="","",IFERROR(INDEX(품목목록!$D$3:$D$202,MATCH($D283,품목목록!$A$3:$A$202,0)),""))</f>
        <v/>
      </c>
      <c r="G283" s="9"/>
      <c r="H283" s="12" t="str">
        <f aca="false">IF($D283="","",IFERROR(INDEX(품목목록!$E$3:$E$202,MATCH($D283,품목목록!$A$3:$A$202,0)),0))</f>
        <v/>
      </c>
      <c r="I283" s="8"/>
      <c r="J283" s="8"/>
      <c r="K283" s="13"/>
      <c r="L283" s="14"/>
      <c r="M283" s="8"/>
    </row>
    <row r="284" customFormat="false" ht="15" hidden="false" customHeight="true" outlineLevel="0" collapsed="false">
      <c r="A284" s="11" t="str">
        <f aca="false">IF($B284="","",ROW()-2)</f>
        <v/>
      </c>
      <c r="B284" s="7"/>
      <c r="C284" s="11" t="str">
        <f aca="false">IF($B284="","",IFERROR(INDEX(거래처목록!$B$3:$B$302,MATCH($B284,거래처목록!$A$3:$A$302,0)),"미등록"))</f>
        <v/>
      </c>
      <c r="D284" s="7"/>
      <c r="E284" s="11" t="str">
        <f aca="false">IF($D284="","",IFERROR(INDEX(품목목록!$B$3:$B$202,MATCH($D284,품목목록!$A$3:$A$202,0)),"미등록"))</f>
        <v/>
      </c>
      <c r="F284" s="11" t="str">
        <f aca="false">IF($D284="","",IFERROR(INDEX(품목목록!$D$3:$D$202,MATCH($D284,품목목록!$A$3:$A$202,0)),""))</f>
        <v/>
      </c>
      <c r="G284" s="9"/>
      <c r="H284" s="12" t="str">
        <f aca="false">IF($D284="","",IFERROR(INDEX(품목목록!$E$3:$E$202,MATCH($D284,품목목록!$A$3:$A$202,0)),0))</f>
        <v/>
      </c>
      <c r="I284" s="8"/>
      <c r="J284" s="8"/>
      <c r="K284" s="13"/>
      <c r="L284" s="14"/>
      <c r="M284" s="8"/>
    </row>
    <row r="285" customFormat="false" ht="15" hidden="false" customHeight="true" outlineLevel="0" collapsed="false">
      <c r="A285" s="11" t="str">
        <f aca="false">IF($B285="","",ROW()-2)</f>
        <v/>
      </c>
      <c r="B285" s="7"/>
      <c r="C285" s="11" t="str">
        <f aca="false">IF($B285="","",IFERROR(INDEX(거래처목록!$B$3:$B$302,MATCH($B285,거래처목록!$A$3:$A$302,0)),"미등록"))</f>
        <v/>
      </c>
      <c r="D285" s="7"/>
      <c r="E285" s="11" t="str">
        <f aca="false">IF($D285="","",IFERROR(INDEX(품목목록!$B$3:$B$202,MATCH($D285,품목목록!$A$3:$A$202,0)),"미등록"))</f>
        <v/>
      </c>
      <c r="F285" s="11" t="str">
        <f aca="false">IF($D285="","",IFERROR(INDEX(품목목록!$D$3:$D$202,MATCH($D285,품목목록!$A$3:$A$202,0)),""))</f>
        <v/>
      </c>
      <c r="G285" s="9"/>
      <c r="H285" s="12" t="str">
        <f aca="false">IF($D285="","",IFERROR(INDEX(품목목록!$E$3:$E$202,MATCH($D285,품목목록!$A$3:$A$202,0)),0))</f>
        <v/>
      </c>
      <c r="I285" s="8"/>
      <c r="J285" s="8"/>
      <c r="K285" s="13"/>
      <c r="L285" s="14"/>
      <c r="M285" s="8"/>
    </row>
    <row r="286" customFormat="false" ht="15" hidden="false" customHeight="true" outlineLevel="0" collapsed="false">
      <c r="A286" s="11" t="str">
        <f aca="false">IF($B286="","",ROW()-2)</f>
        <v/>
      </c>
      <c r="B286" s="7"/>
      <c r="C286" s="11" t="str">
        <f aca="false">IF($B286="","",IFERROR(INDEX(거래처목록!$B$3:$B$302,MATCH($B286,거래처목록!$A$3:$A$302,0)),"미등록"))</f>
        <v/>
      </c>
      <c r="D286" s="7"/>
      <c r="E286" s="11" t="str">
        <f aca="false">IF($D286="","",IFERROR(INDEX(품목목록!$B$3:$B$202,MATCH($D286,품목목록!$A$3:$A$202,0)),"미등록"))</f>
        <v/>
      </c>
      <c r="F286" s="11" t="str">
        <f aca="false">IF($D286="","",IFERROR(INDEX(품목목록!$D$3:$D$202,MATCH($D286,품목목록!$A$3:$A$202,0)),""))</f>
        <v/>
      </c>
      <c r="G286" s="9"/>
      <c r="H286" s="12" t="str">
        <f aca="false">IF($D286="","",IFERROR(INDEX(품목목록!$E$3:$E$202,MATCH($D286,품목목록!$A$3:$A$202,0)),0))</f>
        <v/>
      </c>
      <c r="I286" s="8"/>
      <c r="J286" s="8"/>
      <c r="K286" s="13"/>
      <c r="L286" s="14"/>
      <c r="M286" s="8"/>
    </row>
    <row r="287" customFormat="false" ht="15" hidden="false" customHeight="true" outlineLevel="0" collapsed="false">
      <c r="A287" s="11" t="str">
        <f aca="false">IF($B287="","",ROW()-2)</f>
        <v/>
      </c>
      <c r="B287" s="7"/>
      <c r="C287" s="11" t="str">
        <f aca="false">IF($B287="","",IFERROR(INDEX(거래처목록!$B$3:$B$302,MATCH($B287,거래처목록!$A$3:$A$302,0)),"미등록"))</f>
        <v/>
      </c>
      <c r="D287" s="7"/>
      <c r="E287" s="11" t="str">
        <f aca="false">IF($D287="","",IFERROR(INDEX(품목목록!$B$3:$B$202,MATCH($D287,품목목록!$A$3:$A$202,0)),"미등록"))</f>
        <v/>
      </c>
      <c r="F287" s="11" t="str">
        <f aca="false">IF($D287="","",IFERROR(INDEX(품목목록!$D$3:$D$202,MATCH($D287,품목목록!$A$3:$A$202,0)),""))</f>
        <v/>
      </c>
      <c r="G287" s="9"/>
      <c r="H287" s="12" t="str">
        <f aca="false">IF($D287="","",IFERROR(INDEX(품목목록!$E$3:$E$202,MATCH($D287,품목목록!$A$3:$A$202,0)),0))</f>
        <v/>
      </c>
      <c r="I287" s="8"/>
      <c r="J287" s="8"/>
      <c r="K287" s="13"/>
      <c r="L287" s="14"/>
      <c r="M287" s="8"/>
    </row>
    <row r="288" customFormat="false" ht="15" hidden="false" customHeight="true" outlineLevel="0" collapsed="false">
      <c r="A288" s="11" t="str">
        <f aca="false">IF($B288="","",ROW()-2)</f>
        <v/>
      </c>
      <c r="B288" s="7"/>
      <c r="C288" s="11" t="str">
        <f aca="false">IF($B288="","",IFERROR(INDEX(거래처목록!$B$3:$B$302,MATCH($B288,거래처목록!$A$3:$A$302,0)),"미등록"))</f>
        <v/>
      </c>
      <c r="D288" s="7"/>
      <c r="E288" s="11" t="str">
        <f aca="false">IF($D288="","",IFERROR(INDEX(품목목록!$B$3:$B$202,MATCH($D288,품목목록!$A$3:$A$202,0)),"미등록"))</f>
        <v/>
      </c>
      <c r="F288" s="11" t="str">
        <f aca="false">IF($D288="","",IFERROR(INDEX(품목목록!$D$3:$D$202,MATCH($D288,품목목록!$A$3:$A$202,0)),""))</f>
        <v/>
      </c>
      <c r="G288" s="9"/>
      <c r="H288" s="12" t="str">
        <f aca="false">IF($D288="","",IFERROR(INDEX(품목목록!$E$3:$E$202,MATCH($D288,품목목록!$A$3:$A$202,0)),0))</f>
        <v/>
      </c>
      <c r="I288" s="8"/>
      <c r="J288" s="8"/>
      <c r="K288" s="13"/>
      <c r="L288" s="14"/>
      <c r="M288" s="8"/>
    </row>
    <row r="289" customFormat="false" ht="15" hidden="false" customHeight="true" outlineLevel="0" collapsed="false">
      <c r="A289" s="11" t="str">
        <f aca="false">IF($B289="","",ROW()-2)</f>
        <v/>
      </c>
      <c r="B289" s="7"/>
      <c r="C289" s="11" t="str">
        <f aca="false">IF($B289="","",IFERROR(INDEX(거래처목록!$B$3:$B$302,MATCH($B289,거래처목록!$A$3:$A$302,0)),"미등록"))</f>
        <v/>
      </c>
      <c r="D289" s="7"/>
      <c r="E289" s="11" t="str">
        <f aca="false">IF($D289="","",IFERROR(INDEX(품목목록!$B$3:$B$202,MATCH($D289,품목목록!$A$3:$A$202,0)),"미등록"))</f>
        <v/>
      </c>
      <c r="F289" s="11" t="str">
        <f aca="false">IF($D289="","",IFERROR(INDEX(품목목록!$D$3:$D$202,MATCH($D289,품목목록!$A$3:$A$202,0)),""))</f>
        <v/>
      </c>
      <c r="G289" s="9"/>
      <c r="H289" s="12" t="str">
        <f aca="false">IF($D289="","",IFERROR(INDEX(품목목록!$E$3:$E$202,MATCH($D289,품목목록!$A$3:$A$202,0)),0))</f>
        <v/>
      </c>
      <c r="I289" s="8"/>
      <c r="J289" s="8"/>
      <c r="K289" s="13"/>
      <c r="L289" s="14"/>
      <c r="M289" s="8"/>
    </row>
    <row r="290" customFormat="false" ht="15" hidden="false" customHeight="true" outlineLevel="0" collapsed="false">
      <c r="A290" s="11" t="str">
        <f aca="false">IF($B290="","",ROW()-2)</f>
        <v/>
      </c>
      <c r="B290" s="7"/>
      <c r="C290" s="11" t="str">
        <f aca="false">IF($B290="","",IFERROR(INDEX(거래처목록!$B$3:$B$302,MATCH($B290,거래처목록!$A$3:$A$302,0)),"미등록"))</f>
        <v/>
      </c>
      <c r="D290" s="7"/>
      <c r="E290" s="11" t="str">
        <f aca="false">IF($D290="","",IFERROR(INDEX(품목목록!$B$3:$B$202,MATCH($D290,품목목록!$A$3:$A$202,0)),"미등록"))</f>
        <v/>
      </c>
      <c r="F290" s="11" t="str">
        <f aca="false">IF($D290="","",IFERROR(INDEX(품목목록!$D$3:$D$202,MATCH($D290,품목목록!$A$3:$A$202,0)),""))</f>
        <v/>
      </c>
      <c r="G290" s="9"/>
      <c r="H290" s="12" t="str">
        <f aca="false">IF($D290="","",IFERROR(INDEX(품목목록!$E$3:$E$202,MATCH($D290,품목목록!$A$3:$A$202,0)),0))</f>
        <v/>
      </c>
      <c r="I290" s="8"/>
      <c r="J290" s="8"/>
      <c r="K290" s="13"/>
      <c r="L290" s="14"/>
      <c r="M290" s="8"/>
    </row>
    <row r="291" customFormat="false" ht="15" hidden="false" customHeight="true" outlineLevel="0" collapsed="false">
      <c r="A291" s="11" t="str">
        <f aca="false">IF($B291="","",ROW()-2)</f>
        <v/>
      </c>
      <c r="B291" s="7"/>
      <c r="C291" s="11" t="str">
        <f aca="false">IF($B291="","",IFERROR(INDEX(거래처목록!$B$3:$B$302,MATCH($B291,거래처목록!$A$3:$A$302,0)),"미등록"))</f>
        <v/>
      </c>
      <c r="D291" s="7"/>
      <c r="E291" s="11" t="str">
        <f aca="false">IF($D291="","",IFERROR(INDEX(품목목록!$B$3:$B$202,MATCH($D291,품목목록!$A$3:$A$202,0)),"미등록"))</f>
        <v/>
      </c>
      <c r="F291" s="11" t="str">
        <f aca="false">IF($D291="","",IFERROR(INDEX(품목목록!$D$3:$D$202,MATCH($D291,품목목록!$A$3:$A$202,0)),""))</f>
        <v/>
      </c>
      <c r="G291" s="9"/>
      <c r="H291" s="12" t="str">
        <f aca="false">IF($D291="","",IFERROR(INDEX(품목목록!$E$3:$E$202,MATCH($D291,품목목록!$A$3:$A$202,0)),0))</f>
        <v/>
      </c>
      <c r="I291" s="8"/>
      <c r="J291" s="8"/>
      <c r="K291" s="13"/>
      <c r="L291" s="14"/>
      <c r="M291" s="8"/>
    </row>
    <row r="292" customFormat="false" ht="15" hidden="false" customHeight="true" outlineLevel="0" collapsed="false">
      <c r="A292" s="11" t="str">
        <f aca="false">IF($B292="","",ROW()-2)</f>
        <v/>
      </c>
      <c r="B292" s="7"/>
      <c r="C292" s="11" t="str">
        <f aca="false">IF($B292="","",IFERROR(INDEX(거래처목록!$B$3:$B$302,MATCH($B292,거래처목록!$A$3:$A$302,0)),"미등록"))</f>
        <v/>
      </c>
      <c r="D292" s="7"/>
      <c r="E292" s="11" t="str">
        <f aca="false">IF($D292="","",IFERROR(INDEX(품목목록!$B$3:$B$202,MATCH($D292,품목목록!$A$3:$A$202,0)),"미등록"))</f>
        <v/>
      </c>
      <c r="F292" s="11" t="str">
        <f aca="false">IF($D292="","",IFERROR(INDEX(품목목록!$D$3:$D$202,MATCH($D292,품목목록!$A$3:$A$202,0)),""))</f>
        <v/>
      </c>
      <c r="G292" s="9"/>
      <c r="H292" s="12" t="str">
        <f aca="false">IF($D292="","",IFERROR(INDEX(품목목록!$E$3:$E$202,MATCH($D292,품목목록!$A$3:$A$202,0)),0))</f>
        <v/>
      </c>
      <c r="I292" s="8"/>
      <c r="J292" s="8"/>
      <c r="K292" s="13"/>
      <c r="L292" s="14"/>
      <c r="M292" s="8"/>
    </row>
    <row r="293" customFormat="false" ht="15" hidden="false" customHeight="true" outlineLevel="0" collapsed="false">
      <c r="A293" s="11" t="str">
        <f aca="false">IF($B293="","",ROW()-2)</f>
        <v/>
      </c>
      <c r="B293" s="7"/>
      <c r="C293" s="11" t="str">
        <f aca="false">IF($B293="","",IFERROR(INDEX(거래처목록!$B$3:$B$302,MATCH($B293,거래처목록!$A$3:$A$302,0)),"미등록"))</f>
        <v/>
      </c>
      <c r="D293" s="7"/>
      <c r="E293" s="11" t="str">
        <f aca="false">IF($D293="","",IFERROR(INDEX(품목목록!$B$3:$B$202,MATCH($D293,품목목록!$A$3:$A$202,0)),"미등록"))</f>
        <v/>
      </c>
      <c r="F293" s="11" t="str">
        <f aca="false">IF($D293="","",IFERROR(INDEX(품목목록!$D$3:$D$202,MATCH($D293,품목목록!$A$3:$A$202,0)),""))</f>
        <v/>
      </c>
      <c r="G293" s="9"/>
      <c r="H293" s="12" t="str">
        <f aca="false">IF($D293="","",IFERROR(INDEX(품목목록!$E$3:$E$202,MATCH($D293,품목목록!$A$3:$A$202,0)),0))</f>
        <v/>
      </c>
      <c r="I293" s="8"/>
      <c r="J293" s="8"/>
      <c r="K293" s="13"/>
      <c r="L293" s="14"/>
      <c r="M293" s="8"/>
    </row>
    <row r="294" customFormat="false" ht="15" hidden="false" customHeight="true" outlineLevel="0" collapsed="false">
      <c r="A294" s="11" t="str">
        <f aca="false">IF($B294="","",ROW()-2)</f>
        <v/>
      </c>
      <c r="B294" s="7"/>
      <c r="C294" s="11" t="str">
        <f aca="false">IF($B294="","",IFERROR(INDEX(거래처목록!$B$3:$B$302,MATCH($B294,거래처목록!$A$3:$A$302,0)),"미등록"))</f>
        <v/>
      </c>
      <c r="D294" s="7"/>
      <c r="E294" s="11" t="str">
        <f aca="false">IF($D294="","",IFERROR(INDEX(품목목록!$B$3:$B$202,MATCH($D294,품목목록!$A$3:$A$202,0)),"미등록"))</f>
        <v/>
      </c>
      <c r="F294" s="11" t="str">
        <f aca="false">IF($D294="","",IFERROR(INDEX(품목목록!$D$3:$D$202,MATCH($D294,품목목록!$A$3:$A$202,0)),""))</f>
        <v/>
      </c>
      <c r="G294" s="9"/>
      <c r="H294" s="12" t="str">
        <f aca="false">IF($D294="","",IFERROR(INDEX(품목목록!$E$3:$E$202,MATCH($D294,품목목록!$A$3:$A$202,0)),0))</f>
        <v/>
      </c>
      <c r="I294" s="8"/>
      <c r="J294" s="8"/>
      <c r="K294" s="13"/>
      <c r="L294" s="14"/>
      <c r="M294" s="8"/>
    </row>
    <row r="295" customFormat="false" ht="15" hidden="false" customHeight="true" outlineLevel="0" collapsed="false">
      <c r="A295" s="11" t="str">
        <f aca="false">IF($B295="","",ROW()-2)</f>
        <v/>
      </c>
      <c r="B295" s="7"/>
      <c r="C295" s="11" t="str">
        <f aca="false">IF($B295="","",IFERROR(INDEX(거래처목록!$B$3:$B$302,MATCH($B295,거래처목록!$A$3:$A$302,0)),"미등록"))</f>
        <v/>
      </c>
      <c r="D295" s="7"/>
      <c r="E295" s="11" t="str">
        <f aca="false">IF($D295="","",IFERROR(INDEX(품목목록!$B$3:$B$202,MATCH($D295,품목목록!$A$3:$A$202,0)),"미등록"))</f>
        <v/>
      </c>
      <c r="F295" s="11" t="str">
        <f aca="false">IF($D295="","",IFERROR(INDEX(품목목록!$D$3:$D$202,MATCH($D295,품목목록!$A$3:$A$202,0)),""))</f>
        <v/>
      </c>
      <c r="G295" s="9"/>
      <c r="H295" s="12" t="str">
        <f aca="false">IF($D295="","",IFERROR(INDEX(품목목록!$E$3:$E$202,MATCH($D295,품목목록!$A$3:$A$202,0)),0))</f>
        <v/>
      </c>
      <c r="I295" s="8"/>
      <c r="J295" s="8"/>
      <c r="K295" s="13"/>
      <c r="L295" s="14"/>
      <c r="M295" s="8"/>
    </row>
    <row r="296" customFormat="false" ht="15" hidden="false" customHeight="true" outlineLevel="0" collapsed="false">
      <c r="A296" s="11" t="str">
        <f aca="false">IF($B296="","",ROW()-2)</f>
        <v/>
      </c>
      <c r="B296" s="7"/>
      <c r="C296" s="11" t="str">
        <f aca="false">IF($B296="","",IFERROR(INDEX(거래처목록!$B$3:$B$302,MATCH($B296,거래처목록!$A$3:$A$302,0)),"미등록"))</f>
        <v/>
      </c>
      <c r="D296" s="7"/>
      <c r="E296" s="11" t="str">
        <f aca="false">IF($D296="","",IFERROR(INDEX(품목목록!$B$3:$B$202,MATCH($D296,품목목록!$A$3:$A$202,0)),"미등록"))</f>
        <v/>
      </c>
      <c r="F296" s="11" t="str">
        <f aca="false">IF($D296="","",IFERROR(INDEX(품목목록!$D$3:$D$202,MATCH($D296,품목목록!$A$3:$A$202,0)),""))</f>
        <v/>
      </c>
      <c r="G296" s="9"/>
      <c r="H296" s="12" t="str">
        <f aca="false">IF($D296="","",IFERROR(INDEX(품목목록!$E$3:$E$202,MATCH($D296,품목목록!$A$3:$A$202,0)),0))</f>
        <v/>
      </c>
      <c r="I296" s="8"/>
      <c r="J296" s="8"/>
      <c r="K296" s="13"/>
      <c r="L296" s="14"/>
      <c r="M296" s="8"/>
    </row>
    <row r="297" customFormat="false" ht="15" hidden="false" customHeight="true" outlineLevel="0" collapsed="false">
      <c r="A297" s="11" t="str">
        <f aca="false">IF($B297="","",ROW()-2)</f>
        <v/>
      </c>
      <c r="B297" s="7"/>
      <c r="C297" s="11" t="str">
        <f aca="false">IF($B297="","",IFERROR(INDEX(거래처목록!$B$3:$B$302,MATCH($B297,거래처목록!$A$3:$A$302,0)),"미등록"))</f>
        <v/>
      </c>
      <c r="D297" s="7"/>
      <c r="E297" s="11" t="str">
        <f aca="false">IF($D297="","",IFERROR(INDEX(품목목록!$B$3:$B$202,MATCH($D297,품목목록!$A$3:$A$202,0)),"미등록"))</f>
        <v/>
      </c>
      <c r="F297" s="11" t="str">
        <f aca="false">IF($D297="","",IFERROR(INDEX(품목목록!$D$3:$D$202,MATCH($D297,품목목록!$A$3:$A$202,0)),""))</f>
        <v/>
      </c>
      <c r="G297" s="9"/>
      <c r="H297" s="12" t="str">
        <f aca="false">IF($D297="","",IFERROR(INDEX(품목목록!$E$3:$E$202,MATCH($D297,품목목록!$A$3:$A$202,0)),0))</f>
        <v/>
      </c>
      <c r="I297" s="8"/>
      <c r="J297" s="8"/>
      <c r="K297" s="13"/>
      <c r="L297" s="14"/>
      <c r="M297" s="8"/>
    </row>
    <row r="298" customFormat="false" ht="15" hidden="false" customHeight="true" outlineLevel="0" collapsed="false">
      <c r="A298" s="11" t="str">
        <f aca="false">IF($B298="","",ROW()-2)</f>
        <v/>
      </c>
      <c r="B298" s="7"/>
      <c r="C298" s="11" t="str">
        <f aca="false">IF($B298="","",IFERROR(INDEX(거래처목록!$B$3:$B$302,MATCH($B298,거래처목록!$A$3:$A$302,0)),"미등록"))</f>
        <v/>
      </c>
      <c r="D298" s="7"/>
      <c r="E298" s="11" t="str">
        <f aca="false">IF($D298="","",IFERROR(INDEX(품목목록!$B$3:$B$202,MATCH($D298,품목목록!$A$3:$A$202,0)),"미등록"))</f>
        <v/>
      </c>
      <c r="F298" s="11" t="str">
        <f aca="false">IF($D298="","",IFERROR(INDEX(품목목록!$D$3:$D$202,MATCH($D298,품목목록!$A$3:$A$202,0)),""))</f>
        <v/>
      </c>
      <c r="G298" s="9"/>
      <c r="H298" s="12" t="str">
        <f aca="false">IF($D298="","",IFERROR(INDEX(품목목록!$E$3:$E$202,MATCH($D298,품목목록!$A$3:$A$202,0)),0))</f>
        <v/>
      </c>
      <c r="I298" s="8"/>
      <c r="J298" s="8"/>
      <c r="K298" s="13"/>
      <c r="L298" s="14"/>
      <c r="M298" s="8"/>
    </row>
    <row r="299" customFormat="false" ht="15" hidden="false" customHeight="true" outlineLevel="0" collapsed="false">
      <c r="A299" s="11" t="str">
        <f aca="false">IF($B299="","",ROW()-2)</f>
        <v/>
      </c>
      <c r="B299" s="7"/>
      <c r="C299" s="11" t="str">
        <f aca="false">IF($B299="","",IFERROR(INDEX(거래처목록!$B$3:$B$302,MATCH($B299,거래처목록!$A$3:$A$302,0)),"미등록"))</f>
        <v/>
      </c>
      <c r="D299" s="7"/>
      <c r="E299" s="11" t="str">
        <f aca="false">IF($D299="","",IFERROR(INDEX(품목목록!$B$3:$B$202,MATCH($D299,품목목록!$A$3:$A$202,0)),"미등록"))</f>
        <v/>
      </c>
      <c r="F299" s="11" t="str">
        <f aca="false">IF($D299="","",IFERROR(INDEX(품목목록!$D$3:$D$202,MATCH($D299,품목목록!$A$3:$A$202,0)),""))</f>
        <v/>
      </c>
      <c r="G299" s="9"/>
      <c r="H299" s="12" t="str">
        <f aca="false">IF($D299="","",IFERROR(INDEX(품목목록!$E$3:$E$202,MATCH($D299,품목목록!$A$3:$A$202,0)),0))</f>
        <v/>
      </c>
      <c r="I299" s="8"/>
      <c r="J299" s="8"/>
      <c r="K299" s="13"/>
      <c r="L299" s="14"/>
      <c r="M299" s="8"/>
    </row>
    <row r="300" customFormat="false" ht="15" hidden="false" customHeight="true" outlineLevel="0" collapsed="false">
      <c r="A300" s="11" t="str">
        <f aca="false">IF($B300="","",ROW()-2)</f>
        <v/>
      </c>
      <c r="B300" s="7"/>
      <c r="C300" s="11" t="str">
        <f aca="false">IF($B300="","",IFERROR(INDEX(거래처목록!$B$3:$B$302,MATCH($B300,거래처목록!$A$3:$A$302,0)),"미등록"))</f>
        <v/>
      </c>
      <c r="D300" s="7"/>
      <c r="E300" s="11" t="str">
        <f aca="false">IF($D300="","",IFERROR(INDEX(품목목록!$B$3:$B$202,MATCH($D300,품목목록!$A$3:$A$202,0)),"미등록"))</f>
        <v/>
      </c>
      <c r="F300" s="11" t="str">
        <f aca="false">IF($D300="","",IFERROR(INDEX(품목목록!$D$3:$D$202,MATCH($D300,품목목록!$A$3:$A$202,0)),""))</f>
        <v/>
      </c>
      <c r="G300" s="9"/>
      <c r="H300" s="12" t="str">
        <f aca="false">IF($D300="","",IFERROR(INDEX(품목목록!$E$3:$E$202,MATCH($D300,품목목록!$A$3:$A$202,0)),0))</f>
        <v/>
      </c>
      <c r="I300" s="8"/>
      <c r="J300" s="8"/>
      <c r="K300" s="13"/>
      <c r="L300" s="14"/>
      <c r="M300" s="8"/>
    </row>
    <row r="301" customFormat="false" ht="15" hidden="false" customHeight="true" outlineLevel="0" collapsed="false">
      <c r="A301" s="11" t="str">
        <f aca="false">IF($B301="","",ROW()-2)</f>
        <v/>
      </c>
      <c r="B301" s="7"/>
      <c r="C301" s="11" t="str">
        <f aca="false">IF($B301="","",IFERROR(INDEX(거래처목록!$B$3:$B$302,MATCH($B301,거래처목록!$A$3:$A$302,0)),"미등록"))</f>
        <v/>
      </c>
      <c r="D301" s="7"/>
      <c r="E301" s="11" t="str">
        <f aca="false">IF($D301="","",IFERROR(INDEX(품목목록!$B$3:$B$202,MATCH($D301,품목목록!$A$3:$A$202,0)),"미등록"))</f>
        <v/>
      </c>
      <c r="F301" s="11" t="str">
        <f aca="false">IF($D301="","",IFERROR(INDEX(품목목록!$D$3:$D$202,MATCH($D301,품목목록!$A$3:$A$202,0)),""))</f>
        <v/>
      </c>
      <c r="G301" s="9"/>
      <c r="H301" s="12" t="str">
        <f aca="false">IF($D301="","",IFERROR(INDEX(품목목록!$E$3:$E$202,MATCH($D301,품목목록!$A$3:$A$202,0)),0))</f>
        <v/>
      </c>
      <c r="I301" s="8"/>
      <c r="J301" s="8"/>
      <c r="K301" s="13"/>
      <c r="L301" s="14"/>
      <c r="M301" s="8"/>
    </row>
    <row r="302" customFormat="false" ht="15" hidden="false" customHeight="true" outlineLevel="0" collapsed="false">
      <c r="A302" s="11" t="str">
        <f aca="false">IF($B302="","",ROW()-2)</f>
        <v/>
      </c>
      <c r="B302" s="7"/>
      <c r="C302" s="11" t="str">
        <f aca="false">IF($B302="","",IFERROR(INDEX(거래처목록!$B$3:$B$302,MATCH($B302,거래처목록!$A$3:$A$302,0)),"미등록"))</f>
        <v/>
      </c>
      <c r="D302" s="7"/>
      <c r="E302" s="11" t="str">
        <f aca="false">IF($D302="","",IFERROR(INDEX(품목목록!$B$3:$B$202,MATCH($D302,품목목록!$A$3:$A$202,0)),"미등록"))</f>
        <v/>
      </c>
      <c r="F302" s="11" t="str">
        <f aca="false">IF($D302="","",IFERROR(INDEX(품목목록!$D$3:$D$202,MATCH($D302,품목목록!$A$3:$A$202,0)),""))</f>
        <v/>
      </c>
      <c r="G302" s="9"/>
      <c r="H302" s="12" t="str">
        <f aca="false">IF($D302="","",IFERROR(INDEX(품목목록!$E$3:$E$202,MATCH($D302,품목목록!$A$3:$A$202,0)),0))</f>
        <v/>
      </c>
      <c r="I302" s="8"/>
      <c r="J302" s="8"/>
      <c r="K302" s="13"/>
      <c r="L302" s="14"/>
      <c r="M302" s="8"/>
    </row>
    <row r="304" customFormat="false" ht="15" hidden="false" customHeight="true" outlineLevel="0" collapsed="false">
      <c r="A304" s="5" t="s">
        <v>82</v>
      </c>
    </row>
    <row r="305" customFormat="false" ht="15" hidden="false" customHeight="true" outlineLevel="0" collapsed="false">
      <c r="A305" s="5" t="s">
        <v>83</v>
      </c>
    </row>
  </sheetData>
  <mergeCells count="1">
    <mergeCell ref="A1:M1"/>
  </mergeCells>
  <conditionalFormatting sqref="A3:M302">
    <cfRule type="expression" priority="2" aboveAverage="0" equalAverage="0" bottom="0" percent="0" rank="0" text="" dxfId="0">
      <formula>$M3="중지"</formula>
    </cfRule>
  </conditionalFormatting>
  <dataValidations count="5">
    <dataValidation allowBlank="true" errorStyle="stop" operator="between" showDropDown="false" showErrorMessage="false" showInputMessage="false" sqref="B3:B302" type="list">
      <formula1>거래처목록!$A$3:$A$302</formula1>
      <formula2>0</formula2>
    </dataValidation>
    <dataValidation allowBlank="true" errorStyle="stop" operator="between" showDropDown="false" showErrorMessage="false" showInputMessage="false" sqref="D3:D302" type="list">
      <formula1>품목목록!$A$3:$A$202</formula1>
      <formula2>0</formula2>
    </dataValidation>
    <dataValidation allowBlank="true" errorStyle="stop" operator="between" showDropDown="false" showErrorMessage="false" showInputMessage="false" sqref="I3:I302" type="list">
      <formula1>"매일,매주,격주,매월"</formula1>
      <formula2>0</formula2>
    </dataValidation>
    <dataValidation allowBlank="true" errorStyle="stop" operator="between" showDropDown="false" showErrorMessage="false" showInputMessage="false" sqref="J3:J302" type="list">
      <formula1>"일,월,화,수,목,금,토"</formula1>
      <formula2>0</formula2>
    </dataValidation>
    <dataValidation allowBlank="true" errorStyle="stop" operator="between" showDropDown="false" showErrorMessage="false" showInputMessage="false" sqref="M3:M302" type="list">
      <formula1>"사용,중지"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4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2" min="11" style="1" width="12"/>
    <col collapsed="false" customWidth="true" hidden="false" outlineLevel="0" max="13" min="13" style="1" width="13"/>
  </cols>
  <sheetData>
    <row r="1" customFormat="false" ht="25.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85</v>
      </c>
      <c r="B3" s="15" t="n">
        <v>46280</v>
      </c>
      <c r="C3" s="16" t="str">
        <f aca="false">CHOOSE(WEEKDAY($B$3),"일","월","화","수","목","금","토")&amp;"요일"</f>
        <v>화요일</v>
      </c>
      <c r="D3" s="5" t="s">
        <v>86</v>
      </c>
      <c r="F3" s="3" t="s">
        <v>87</v>
      </c>
      <c r="G3" s="17" t="n">
        <f aca="false">COUNTIF($K$6:$K$305,TRUE())</f>
        <v>3</v>
      </c>
    </row>
    <row r="5" customFormat="false" ht="15" hidden="false" customHeight="true" outlineLevel="0" collapsed="false">
      <c r="A5" s="6" t="s">
        <v>88</v>
      </c>
      <c r="B5" s="6" t="s">
        <v>24</v>
      </c>
      <c r="C5" s="6" t="s">
        <v>25</v>
      </c>
      <c r="D5" s="6" t="s">
        <v>42</v>
      </c>
      <c r="E5" s="6" t="s">
        <v>43</v>
      </c>
      <c r="F5" s="6" t="s">
        <v>45</v>
      </c>
      <c r="G5" s="6" t="s">
        <v>89</v>
      </c>
      <c r="H5" s="6" t="s">
        <v>63</v>
      </c>
      <c r="I5" s="6" t="s">
        <v>90</v>
      </c>
      <c r="K5" s="5" t="s">
        <v>91</v>
      </c>
      <c r="L5" s="5" t="s">
        <v>92</v>
      </c>
      <c r="M5" s="5" t="s">
        <v>93</v>
      </c>
    </row>
    <row r="6" customFormat="false" ht="15" hidden="false" customHeight="true" outlineLevel="0" collapsed="false">
      <c r="A6" s="18" t="n">
        <f aca="false">IF($C6="","",$B$3)</f>
        <v>46280</v>
      </c>
      <c r="B6" s="19" t="str">
        <f aca="false">IFERROR(INDEX(정기주문설정!$B$3:$B$302,MATCH("R"&amp;1,주문생성!$M$6:$M$305,0)),"")</f>
        <v>C001</v>
      </c>
      <c r="C6" s="19" t="str">
        <f aca="false">IF($B6="","",IFERROR(INDEX(정기주문설정!$C$3:$C$302,MATCH("R"&amp;1,주문생성!$M$6:$M$305,0)),""))</f>
        <v>○○식당</v>
      </c>
      <c r="D6" s="19" t="str">
        <f aca="false">IF($B6="","",IFERROR(INDEX(정기주문설정!$D$3:$D$302,MATCH("R"&amp;1,주문생성!$M$6:$M$305,0)),""))</f>
        <v>P001</v>
      </c>
      <c r="E6" s="19" t="str">
        <f aca="false">IF($B6="","",IFERROR(INDEX(정기주문설정!$E$3:$E$302,MATCH("R"&amp;1,주문생성!$M$6:$M$305,0)),""))</f>
        <v>폐식용유 수거</v>
      </c>
      <c r="F6" s="19" t="str">
        <f aca="false">IF($B6="","",IFERROR(INDEX(정기주문설정!$F$3:$F$302,MATCH("R"&amp;1,주문생성!$M$6:$M$305,0)),""))</f>
        <v>통</v>
      </c>
      <c r="G6" s="20" t="n">
        <f aca="false">IF($B6="","",IFERROR(INDEX(정기주문설정!$G$3:$G$302,MATCH("R"&amp;1,주문생성!$M$6:$M$305,0)),""))</f>
        <v>2</v>
      </c>
      <c r="H6" s="12" t="n">
        <f aca="false">IF($B6="","",IFERROR(INDEX(정기주문설정!$H$3:$H$302,MATCH("R"&amp;1,주문생성!$M$6:$M$305,0)),""))</f>
        <v>12000</v>
      </c>
      <c r="I6" s="12" t="n">
        <f aca="false">IF($B6="","",ROUND($G6*$H6,0))</f>
        <v>24000</v>
      </c>
      <c r="K6" s="21" t="b">
        <f aca="false">IF(정기주문설정!$B3="",FALSE(),IF(정기주문설정!$M3="중지",FALSE(),IF(정기주문설정!$L3&lt;&gt;"",IF($B$3&lt;정기주문설정!$L3,FALSE(),IF(정기주문설정!$I3="매일",TRUE(),IF(정기주문설정!$I3="매주",(WEEKDAY($B$3)=IFERROR(MATCH(정기주문설정!$J3,정기주문설정!$O$3:$O$9,0),0)),IF(정기주문설정!$I3="격주",AND((WEEKDAY($B$3)=IFERROR(MATCH(정기주문설정!$J3,정기주문설정!$O$3:$O$9,0),0)),MOD(INT(($B$3-정기주문설정!$L3)/7),2)=0),IF(정기주문설정!$I3="매월",DAY($B$3)=정기주문설정!$K3,FALSE()))))),IF(정기주문설정!$I3="매일",TRUE(),IF(정기주문설정!$I3="매주",(WEEKDAY($B$3)=IFERROR(MATCH(정기주문설정!$J3,정기주문설정!$O$3:$O$9,0),0)),IF(정기주문설정!$I3="매월",DAY($B$3)=정기주문설정!$K3,FALSE()))))))</f>
        <v>1</v>
      </c>
      <c r="L6" s="5" t="n">
        <f aca="false">IF($K6=FALSE(),"",COUNTIF($K$6:$K6,TRUE()))</f>
        <v>1</v>
      </c>
      <c r="M6" s="5" t="str">
        <f aca="false">IF($L6="","","R"&amp;$L6)</f>
        <v>R1</v>
      </c>
    </row>
    <row r="7" customFormat="false" ht="15" hidden="false" customHeight="true" outlineLevel="0" collapsed="false">
      <c r="A7" s="18" t="n">
        <f aca="false">IF($C7="","",$B$3)</f>
        <v>46280</v>
      </c>
      <c r="B7" s="19" t="str">
        <f aca="false">IFERROR(INDEX(정기주문설정!$B$3:$B$302,MATCH("R"&amp;2,주문생성!$M$6:$M$305,0)),"")</f>
        <v>C002</v>
      </c>
      <c r="C7" s="19" t="str">
        <f aca="false">IF($B7="","",IFERROR(INDEX(정기주문설정!$C$3:$C$302,MATCH("R"&amp;2,주문생성!$M$6:$M$305,0)),""))</f>
        <v>△△치킨</v>
      </c>
      <c r="D7" s="19" t="str">
        <f aca="false">IF($B7="","",IFERROR(INDEX(정기주문설정!$D$3:$D$302,MATCH("R"&amp;2,주문생성!$M$6:$M$305,0)),""))</f>
        <v>P001</v>
      </c>
      <c r="E7" s="19" t="str">
        <f aca="false">IF($B7="","",IFERROR(INDEX(정기주문설정!$E$3:$E$302,MATCH("R"&amp;2,주문생성!$M$6:$M$305,0)),""))</f>
        <v>폐식용유 수거</v>
      </c>
      <c r="F7" s="19" t="str">
        <f aca="false">IF($B7="","",IFERROR(INDEX(정기주문설정!$F$3:$F$302,MATCH("R"&amp;2,주문생성!$M$6:$M$305,0)),""))</f>
        <v>통</v>
      </c>
      <c r="G7" s="20" t="n">
        <f aca="false">IF($B7="","",IFERROR(INDEX(정기주문설정!$G$3:$G$302,MATCH("R"&amp;2,주문생성!$M$6:$M$305,0)),""))</f>
        <v>3</v>
      </c>
      <c r="H7" s="12" t="n">
        <f aca="false">IF($B7="","",IFERROR(INDEX(정기주문설정!$H$3:$H$302,MATCH("R"&amp;2,주문생성!$M$6:$M$305,0)),""))</f>
        <v>12000</v>
      </c>
      <c r="I7" s="12" t="n">
        <f aca="false">IF($B7="","",ROUND($G7*$H7,0))</f>
        <v>36000</v>
      </c>
      <c r="K7" s="21" t="b">
        <f aca="false">IF(정기주문설정!$B4="",FALSE(),IF(정기주문설정!$M4="중지",FALSE(),IF(정기주문설정!$L4&lt;&gt;"",IF($B$3&lt;정기주문설정!$L4,FALSE(),IF(정기주문설정!$I4="매일",TRUE(),IF(정기주문설정!$I4="매주",(WEEKDAY($B$3)=IFERROR(MATCH(정기주문설정!$J4,정기주문설정!$O$3:$O$9,0),0)),IF(정기주문설정!$I4="격주",AND((WEEKDAY($B$3)=IFERROR(MATCH(정기주문설정!$J4,정기주문설정!$O$3:$O$9,0),0)),MOD(INT(($B$3-정기주문설정!$L4)/7),2)=0),IF(정기주문설정!$I4="매월",DAY($B$3)=정기주문설정!$K4,FALSE()))))),IF(정기주문설정!$I4="매일",TRUE(),IF(정기주문설정!$I4="매주",(WEEKDAY($B$3)=IFERROR(MATCH(정기주문설정!$J4,정기주문설정!$O$3:$O$9,0),0)),IF(정기주문설정!$I4="매월",DAY($B$3)=정기주문설정!$K4,FALSE()))))))</f>
        <v>1</v>
      </c>
      <c r="L7" s="5" t="n">
        <f aca="false">IF($K7=FALSE(),"",COUNTIF($K$6:$K7,TRUE()))</f>
        <v>2</v>
      </c>
      <c r="M7" s="5" t="str">
        <f aca="false">IF($L7="","","R"&amp;$L7)</f>
        <v>R2</v>
      </c>
    </row>
    <row r="8" customFormat="false" ht="15" hidden="false" customHeight="true" outlineLevel="0" collapsed="false">
      <c r="A8" s="18" t="n">
        <f aca="false">IF($C8="","",$B$3)</f>
        <v>46280</v>
      </c>
      <c r="B8" s="19" t="str">
        <f aca="false">IFERROR(INDEX(정기주문설정!$B$3:$B$302,MATCH("R"&amp;3,주문생성!$M$6:$M$305,0)),"")</f>
        <v>C003</v>
      </c>
      <c r="C8" s="19" t="str">
        <f aca="false">IF($B8="","",IFERROR(INDEX(정기주문설정!$C$3:$C$302,MATCH("R"&amp;3,주문생성!$M$6:$M$305,0)),""))</f>
        <v>□□분식</v>
      </c>
      <c r="D8" s="19" t="str">
        <f aca="false">IF($B8="","",IFERROR(INDEX(정기주문설정!$D$3:$D$302,MATCH("R"&amp;3,주문생성!$M$6:$M$305,0)),""))</f>
        <v>P002</v>
      </c>
      <c r="E8" s="19" t="str">
        <f aca="false">IF($B8="","",IFERROR(INDEX(정기주문설정!$E$3:$E$302,MATCH("R"&amp;3,주문생성!$M$6:$M$305,0)),""))</f>
        <v>식용유 납품</v>
      </c>
      <c r="F8" s="19" t="str">
        <f aca="false">IF($B8="","",IFERROR(INDEX(정기주문설정!$F$3:$F$302,MATCH("R"&amp;3,주문생성!$M$6:$M$305,0)),""))</f>
        <v>통</v>
      </c>
      <c r="G8" s="20" t="n">
        <f aca="false">IF($B8="","",IFERROR(INDEX(정기주문설정!$G$3:$G$302,MATCH("R"&amp;3,주문생성!$M$6:$M$305,0)),""))</f>
        <v>1</v>
      </c>
      <c r="H8" s="12" t="n">
        <f aca="false">IF($B8="","",IFERROR(INDEX(정기주문설정!$H$3:$H$302,MATCH("R"&amp;3,주문생성!$M$6:$M$305,0)),""))</f>
        <v>42000</v>
      </c>
      <c r="I8" s="12" t="n">
        <f aca="false">IF($B8="","",ROUND($G8*$H8,0))</f>
        <v>42000</v>
      </c>
      <c r="K8" s="21" t="b">
        <f aca="false">IF(정기주문설정!$B5="",FALSE(),IF(정기주문설정!$M5="중지",FALSE(),IF(정기주문설정!$L5&lt;&gt;"",IF($B$3&lt;정기주문설정!$L5,FALSE(),IF(정기주문설정!$I5="매일",TRUE(),IF(정기주문설정!$I5="매주",(WEEKDAY($B$3)=IFERROR(MATCH(정기주문설정!$J5,정기주문설정!$O$3:$O$9,0),0)),IF(정기주문설정!$I5="격주",AND((WEEKDAY($B$3)=IFERROR(MATCH(정기주문설정!$J5,정기주문설정!$O$3:$O$9,0),0)),MOD(INT(($B$3-정기주문설정!$L5)/7),2)=0),IF(정기주문설정!$I5="매월",DAY($B$3)=정기주문설정!$K5,FALSE()))))),IF(정기주문설정!$I5="매일",TRUE(),IF(정기주문설정!$I5="매주",(WEEKDAY($B$3)=IFERROR(MATCH(정기주문설정!$J5,정기주문설정!$O$3:$O$9,0),0)),IF(정기주문설정!$I5="매월",DAY($B$3)=정기주문설정!$K5,FALSE()))))))</f>
        <v>1</v>
      </c>
      <c r="L8" s="5" t="n">
        <f aca="false">IF($K8=FALSE(),"",COUNTIF($K$6:$K8,TRUE()))</f>
        <v>3</v>
      </c>
      <c r="M8" s="5" t="str">
        <f aca="false">IF($L8="","","R"&amp;$L8)</f>
        <v>R3</v>
      </c>
    </row>
    <row r="9" customFormat="false" ht="15" hidden="false" customHeight="true" outlineLevel="0" collapsed="false">
      <c r="A9" s="18" t="str">
        <f aca="false">IF($C9="","",$B$3)</f>
        <v/>
      </c>
      <c r="B9" s="19" t="str">
        <f aca="false">IFERROR(INDEX(정기주문설정!$B$3:$B$302,MATCH("R"&amp;4,주문생성!$M$6:$M$305,0)),"")</f>
        <v/>
      </c>
      <c r="C9" s="19" t="str">
        <f aca="false">IF($B9="","",IFERROR(INDEX(정기주문설정!$C$3:$C$302,MATCH("R"&amp;4,주문생성!$M$6:$M$305,0)),""))</f>
        <v/>
      </c>
      <c r="D9" s="19" t="str">
        <f aca="false">IF($B9="","",IFERROR(INDEX(정기주문설정!$D$3:$D$302,MATCH("R"&amp;4,주문생성!$M$6:$M$305,0)),""))</f>
        <v/>
      </c>
      <c r="E9" s="19" t="str">
        <f aca="false">IF($B9="","",IFERROR(INDEX(정기주문설정!$E$3:$E$302,MATCH("R"&amp;4,주문생성!$M$6:$M$305,0)),""))</f>
        <v/>
      </c>
      <c r="F9" s="19" t="str">
        <f aca="false">IF($B9="","",IFERROR(INDEX(정기주문설정!$F$3:$F$302,MATCH("R"&amp;4,주문생성!$M$6:$M$305,0)),""))</f>
        <v/>
      </c>
      <c r="G9" s="20" t="str">
        <f aca="false">IF($B9="","",IFERROR(INDEX(정기주문설정!$G$3:$G$302,MATCH("R"&amp;4,주문생성!$M$6:$M$305,0)),""))</f>
        <v/>
      </c>
      <c r="H9" s="12" t="str">
        <f aca="false">IF($B9="","",IFERROR(INDEX(정기주문설정!$H$3:$H$302,MATCH("R"&amp;4,주문생성!$M$6:$M$305,0)),""))</f>
        <v/>
      </c>
      <c r="I9" s="12" t="str">
        <f aca="false">IF($B9="","",ROUND($G9*$H9,0))</f>
        <v/>
      </c>
      <c r="K9" s="21" t="b">
        <f aca="false">IF(정기주문설정!$B6="",FALSE(),IF(정기주문설정!$M6="중지",FALSE(),IF(정기주문설정!$L6&lt;&gt;"",IF($B$3&lt;정기주문설정!$L6,FALSE(),IF(정기주문설정!$I6="매일",TRUE(),IF(정기주문설정!$I6="매주",(WEEKDAY($B$3)=IFERROR(MATCH(정기주문설정!$J6,정기주문설정!$O$3:$O$9,0),0)),IF(정기주문설정!$I6="격주",AND((WEEKDAY($B$3)=IFERROR(MATCH(정기주문설정!$J6,정기주문설정!$O$3:$O$9,0),0)),MOD(INT(($B$3-정기주문설정!$L6)/7),2)=0),IF(정기주문설정!$I6="매월",DAY($B$3)=정기주문설정!$K6,FALSE()))))),IF(정기주문설정!$I6="매일",TRUE(),IF(정기주문설정!$I6="매주",(WEEKDAY($B$3)=IFERROR(MATCH(정기주문설정!$J6,정기주문설정!$O$3:$O$9,0),0)),IF(정기주문설정!$I6="매월",DAY($B$3)=정기주문설정!$K6,FALSE()))))))</f>
        <v>0</v>
      </c>
      <c r="L9" s="5" t="str">
        <f aca="false">IF($K9=FALSE(),"",COUNTIF($K$6:$K9,TRUE()))</f>
        <v/>
      </c>
      <c r="M9" s="5" t="str">
        <f aca="false">IF($L9="","","R"&amp;$L9)</f>
        <v/>
      </c>
    </row>
    <row r="10" customFormat="false" ht="15" hidden="false" customHeight="true" outlineLevel="0" collapsed="false">
      <c r="A10" s="18" t="str">
        <f aca="false">IF($C10="","",$B$3)</f>
        <v/>
      </c>
      <c r="B10" s="19" t="str">
        <f aca="false">IFERROR(INDEX(정기주문설정!$B$3:$B$302,MATCH("R"&amp;5,주문생성!$M$6:$M$305,0)),"")</f>
        <v/>
      </c>
      <c r="C10" s="19" t="str">
        <f aca="false">IF($B10="","",IFERROR(INDEX(정기주문설정!$C$3:$C$302,MATCH("R"&amp;5,주문생성!$M$6:$M$305,0)),""))</f>
        <v/>
      </c>
      <c r="D10" s="19" t="str">
        <f aca="false">IF($B10="","",IFERROR(INDEX(정기주문설정!$D$3:$D$302,MATCH("R"&amp;5,주문생성!$M$6:$M$305,0)),""))</f>
        <v/>
      </c>
      <c r="E10" s="19" t="str">
        <f aca="false">IF($B10="","",IFERROR(INDEX(정기주문설정!$E$3:$E$302,MATCH("R"&amp;5,주문생성!$M$6:$M$305,0)),""))</f>
        <v/>
      </c>
      <c r="F10" s="19" t="str">
        <f aca="false">IF($B10="","",IFERROR(INDEX(정기주문설정!$F$3:$F$302,MATCH("R"&amp;5,주문생성!$M$6:$M$305,0)),""))</f>
        <v/>
      </c>
      <c r="G10" s="20" t="str">
        <f aca="false">IF($B10="","",IFERROR(INDEX(정기주문설정!$G$3:$G$302,MATCH("R"&amp;5,주문생성!$M$6:$M$305,0)),""))</f>
        <v/>
      </c>
      <c r="H10" s="12" t="str">
        <f aca="false">IF($B10="","",IFERROR(INDEX(정기주문설정!$H$3:$H$302,MATCH("R"&amp;5,주문생성!$M$6:$M$305,0)),""))</f>
        <v/>
      </c>
      <c r="I10" s="12" t="str">
        <f aca="false">IF($B10="","",ROUND($G10*$H10,0))</f>
        <v/>
      </c>
      <c r="K10" s="21" t="b">
        <f aca="false">IF(정기주문설정!$B7="",FALSE(),IF(정기주문설정!$M7="중지",FALSE(),IF(정기주문설정!$L7&lt;&gt;"",IF($B$3&lt;정기주문설정!$L7,FALSE(),IF(정기주문설정!$I7="매일",TRUE(),IF(정기주문설정!$I7="매주",(WEEKDAY($B$3)=IFERROR(MATCH(정기주문설정!$J7,정기주문설정!$O$3:$O$9,0),0)),IF(정기주문설정!$I7="격주",AND((WEEKDAY($B$3)=IFERROR(MATCH(정기주문설정!$J7,정기주문설정!$O$3:$O$9,0),0)),MOD(INT(($B$3-정기주문설정!$L7)/7),2)=0),IF(정기주문설정!$I7="매월",DAY($B$3)=정기주문설정!$K7,FALSE()))))),IF(정기주문설정!$I7="매일",TRUE(),IF(정기주문설정!$I7="매주",(WEEKDAY($B$3)=IFERROR(MATCH(정기주문설정!$J7,정기주문설정!$O$3:$O$9,0),0)),IF(정기주문설정!$I7="매월",DAY($B$3)=정기주문설정!$K7,FALSE()))))))</f>
        <v>0</v>
      </c>
      <c r="L10" s="5" t="str">
        <f aca="false">IF($K10=FALSE(),"",COUNTIF($K$6:$K10,TRUE()))</f>
        <v/>
      </c>
      <c r="M10" s="5" t="str">
        <f aca="false">IF($L10="","","R"&amp;$L10)</f>
        <v/>
      </c>
    </row>
    <row r="11" customFormat="false" ht="15" hidden="false" customHeight="true" outlineLevel="0" collapsed="false">
      <c r="A11" s="18" t="str">
        <f aca="false">IF($C11="","",$B$3)</f>
        <v/>
      </c>
      <c r="B11" s="19" t="str">
        <f aca="false">IFERROR(INDEX(정기주문설정!$B$3:$B$302,MATCH("R"&amp;6,주문생성!$M$6:$M$305,0)),"")</f>
        <v/>
      </c>
      <c r="C11" s="19" t="str">
        <f aca="false">IF($B11="","",IFERROR(INDEX(정기주문설정!$C$3:$C$302,MATCH("R"&amp;6,주문생성!$M$6:$M$305,0)),""))</f>
        <v/>
      </c>
      <c r="D11" s="19" t="str">
        <f aca="false">IF($B11="","",IFERROR(INDEX(정기주문설정!$D$3:$D$302,MATCH("R"&amp;6,주문생성!$M$6:$M$305,0)),""))</f>
        <v/>
      </c>
      <c r="E11" s="19" t="str">
        <f aca="false">IF($B11="","",IFERROR(INDEX(정기주문설정!$E$3:$E$302,MATCH("R"&amp;6,주문생성!$M$6:$M$305,0)),""))</f>
        <v/>
      </c>
      <c r="F11" s="19" t="str">
        <f aca="false">IF($B11="","",IFERROR(INDEX(정기주문설정!$F$3:$F$302,MATCH("R"&amp;6,주문생성!$M$6:$M$305,0)),""))</f>
        <v/>
      </c>
      <c r="G11" s="20" t="str">
        <f aca="false">IF($B11="","",IFERROR(INDEX(정기주문설정!$G$3:$G$302,MATCH("R"&amp;6,주문생성!$M$6:$M$305,0)),""))</f>
        <v/>
      </c>
      <c r="H11" s="12" t="str">
        <f aca="false">IF($B11="","",IFERROR(INDEX(정기주문설정!$H$3:$H$302,MATCH("R"&amp;6,주문생성!$M$6:$M$305,0)),""))</f>
        <v/>
      </c>
      <c r="I11" s="12" t="str">
        <f aca="false">IF($B11="","",ROUND($G11*$H11,0))</f>
        <v/>
      </c>
      <c r="K11" s="21" t="b">
        <f aca="false">IF(정기주문설정!$B8="",FALSE(),IF(정기주문설정!$M8="중지",FALSE(),IF(정기주문설정!$L8&lt;&gt;"",IF($B$3&lt;정기주문설정!$L8,FALSE(),IF(정기주문설정!$I8="매일",TRUE(),IF(정기주문설정!$I8="매주",(WEEKDAY($B$3)=IFERROR(MATCH(정기주문설정!$J8,정기주문설정!$O$3:$O$9,0),0)),IF(정기주문설정!$I8="격주",AND((WEEKDAY($B$3)=IFERROR(MATCH(정기주문설정!$J8,정기주문설정!$O$3:$O$9,0),0)),MOD(INT(($B$3-정기주문설정!$L8)/7),2)=0),IF(정기주문설정!$I8="매월",DAY($B$3)=정기주문설정!$K8,FALSE()))))),IF(정기주문설정!$I8="매일",TRUE(),IF(정기주문설정!$I8="매주",(WEEKDAY($B$3)=IFERROR(MATCH(정기주문설정!$J8,정기주문설정!$O$3:$O$9,0),0)),IF(정기주문설정!$I8="매월",DAY($B$3)=정기주문설정!$K8,FALSE()))))))</f>
        <v>0</v>
      </c>
      <c r="L11" s="5" t="str">
        <f aca="false">IF($K11=FALSE(),"",COUNTIF($K$6:$K11,TRUE()))</f>
        <v/>
      </c>
      <c r="M11" s="5" t="str">
        <f aca="false">IF($L11="","","R"&amp;$L11)</f>
        <v/>
      </c>
    </row>
    <row r="12" customFormat="false" ht="15" hidden="false" customHeight="true" outlineLevel="0" collapsed="false">
      <c r="A12" s="18" t="str">
        <f aca="false">IF($C12="","",$B$3)</f>
        <v/>
      </c>
      <c r="B12" s="19" t="str">
        <f aca="false">IFERROR(INDEX(정기주문설정!$B$3:$B$302,MATCH("R"&amp;7,주문생성!$M$6:$M$305,0)),"")</f>
        <v/>
      </c>
      <c r="C12" s="19" t="str">
        <f aca="false">IF($B12="","",IFERROR(INDEX(정기주문설정!$C$3:$C$302,MATCH("R"&amp;7,주문생성!$M$6:$M$305,0)),""))</f>
        <v/>
      </c>
      <c r="D12" s="19" t="str">
        <f aca="false">IF($B12="","",IFERROR(INDEX(정기주문설정!$D$3:$D$302,MATCH("R"&amp;7,주문생성!$M$6:$M$305,0)),""))</f>
        <v/>
      </c>
      <c r="E12" s="19" t="str">
        <f aca="false">IF($B12="","",IFERROR(INDEX(정기주문설정!$E$3:$E$302,MATCH("R"&amp;7,주문생성!$M$6:$M$305,0)),""))</f>
        <v/>
      </c>
      <c r="F12" s="19" t="str">
        <f aca="false">IF($B12="","",IFERROR(INDEX(정기주문설정!$F$3:$F$302,MATCH("R"&amp;7,주문생성!$M$6:$M$305,0)),""))</f>
        <v/>
      </c>
      <c r="G12" s="20" t="str">
        <f aca="false">IF($B12="","",IFERROR(INDEX(정기주문설정!$G$3:$G$302,MATCH("R"&amp;7,주문생성!$M$6:$M$305,0)),""))</f>
        <v/>
      </c>
      <c r="H12" s="12" t="str">
        <f aca="false">IF($B12="","",IFERROR(INDEX(정기주문설정!$H$3:$H$302,MATCH("R"&amp;7,주문생성!$M$6:$M$305,0)),""))</f>
        <v/>
      </c>
      <c r="I12" s="12" t="str">
        <f aca="false">IF($B12="","",ROUND($G12*$H12,0))</f>
        <v/>
      </c>
      <c r="K12" s="21" t="b">
        <f aca="false">IF(정기주문설정!$B9="",FALSE(),IF(정기주문설정!$M9="중지",FALSE(),IF(정기주문설정!$L9&lt;&gt;"",IF($B$3&lt;정기주문설정!$L9,FALSE(),IF(정기주문설정!$I9="매일",TRUE(),IF(정기주문설정!$I9="매주",(WEEKDAY($B$3)=IFERROR(MATCH(정기주문설정!$J9,정기주문설정!$O$3:$O$9,0),0)),IF(정기주문설정!$I9="격주",AND((WEEKDAY($B$3)=IFERROR(MATCH(정기주문설정!$J9,정기주문설정!$O$3:$O$9,0),0)),MOD(INT(($B$3-정기주문설정!$L9)/7),2)=0),IF(정기주문설정!$I9="매월",DAY($B$3)=정기주문설정!$K9,FALSE()))))),IF(정기주문설정!$I9="매일",TRUE(),IF(정기주문설정!$I9="매주",(WEEKDAY($B$3)=IFERROR(MATCH(정기주문설정!$J9,정기주문설정!$O$3:$O$9,0),0)),IF(정기주문설정!$I9="매월",DAY($B$3)=정기주문설정!$K9,FALSE()))))))</f>
        <v>0</v>
      </c>
      <c r="L12" s="5" t="str">
        <f aca="false">IF($K12=FALSE(),"",COUNTIF($K$6:$K12,TRUE()))</f>
        <v/>
      </c>
      <c r="M12" s="5" t="str">
        <f aca="false">IF($L12="","","R"&amp;$L12)</f>
        <v/>
      </c>
    </row>
    <row r="13" customFormat="false" ht="15" hidden="false" customHeight="true" outlineLevel="0" collapsed="false">
      <c r="A13" s="18" t="str">
        <f aca="false">IF($C13="","",$B$3)</f>
        <v/>
      </c>
      <c r="B13" s="19" t="str">
        <f aca="false">IFERROR(INDEX(정기주문설정!$B$3:$B$302,MATCH("R"&amp;8,주문생성!$M$6:$M$305,0)),"")</f>
        <v/>
      </c>
      <c r="C13" s="19" t="str">
        <f aca="false">IF($B13="","",IFERROR(INDEX(정기주문설정!$C$3:$C$302,MATCH("R"&amp;8,주문생성!$M$6:$M$305,0)),""))</f>
        <v/>
      </c>
      <c r="D13" s="19" t="str">
        <f aca="false">IF($B13="","",IFERROR(INDEX(정기주문설정!$D$3:$D$302,MATCH("R"&amp;8,주문생성!$M$6:$M$305,0)),""))</f>
        <v/>
      </c>
      <c r="E13" s="19" t="str">
        <f aca="false">IF($B13="","",IFERROR(INDEX(정기주문설정!$E$3:$E$302,MATCH("R"&amp;8,주문생성!$M$6:$M$305,0)),""))</f>
        <v/>
      </c>
      <c r="F13" s="19" t="str">
        <f aca="false">IF($B13="","",IFERROR(INDEX(정기주문설정!$F$3:$F$302,MATCH("R"&amp;8,주문생성!$M$6:$M$305,0)),""))</f>
        <v/>
      </c>
      <c r="G13" s="20" t="str">
        <f aca="false">IF($B13="","",IFERROR(INDEX(정기주문설정!$G$3:$G$302,MATCH("R"&amp;8,주문생성!$M$6:$M$305,0)),""))</f>
        <v/>
      </c>
      <c r="H13" s="12" t="str">
        <f aca="false">IF($B13="","",IFERROR(INDEX(정기주문설정!$H$3:$H$302,MATCH("R"&amp;8,주문생성!$M$6:$M$305,0)),""))</f>
        <v/>
      </c>
      <c r="I13" s="12" t="str">
        <f aca="false">IF($B13="","",ROUND($G13*$H13,0))</f>
        <v/>
      </c>
      <c r="K13" s="21" t="b">
        <f aca="false">IF(정기주문설정!$B10="",FALSE(),IF(정기주문설정!$M10="중지",FALSE(),IF(정기주문설정!$L10&lt;&gt;"",IF($B$3&lt;정기주문설정!$L10,FALSE(),IF(정기주문설정!$I10="매일",TRUE(),IF(정기주문설정!$I10="매주",(WEEKDAY($B$3)=IFERROR(MATCH(정기주문설정!$J10,정기주문설정!$O$3:$O$9,0),0)),IF(정기주문설정!$I10="격주",AND((WEEKDAY($B$3)=IFERROR(MATCH(정기주문설정!$J10,정기주문설정!$O$3:$O$9,0),0)),MOD(INT(($B$3-정기주문설정!$L10)/7),2)=0),IF(정기주문설정!$I10="매월",DAY($B$3)=정기주문설정!$K10,FALSE()))))),IF(정기주문설정!$I10="매일",TRUE(),IF(정기주문설정!$I10="매주",(WEEKDAY($B$3)=IFERROR(MATCH(정기주문설정!$J10,정기주문설정!$O$3:$O$9,0),0)),IF(정기주문설정!$I10="매월",DAY($B$3)=정기주문설정!$K10,FALSE()))))))</f>
        <v>0</v>
      </c>
      <c r="L13" s="5" t="str">
        <f aca="false">IF($K13=FALSE(),"",COUNTIF($K$6:$K13,TRUE()))</f>
        <v/>
      </c>
      <c r="M13" s="5" t="str">
        <f aca="false">IF($L13="","","R"&amp;$L13)</f>
        <v/>
      </c>
    </row>
    <row r="14" customFormat="false" ht="15" hidden="false" customHeight="true" outlineLevel="0" collapsed="false">
      <c r="A14" s="18" t="str">
        <f aca="false">IF($C14="","",$B$3)</f>
        <v/>
      </c>
      <c r="B14" s="19" t="str">
        <f aca="false">IFERROR(INDEX(정기주문설정!$B$3:$B$302,MATCH("R"&amp;9,주문생성!$M$6:$M$305,0)),"")</f>
        <v/>
      </c>
      <c r="C14" s="19" t="str">
        <f aca="false">IF($B14="","",IFERROR(INDEX(정기주문설정!$C$3:$C$302,MATCH("R"&amp;9,주문생성!$M$6:$M$305,0)),""))</f>
        <v/>
      </c>
      <c r="D14" s="19" t="str">
        <f aca="false">IF($B14="","",IFERROR(INDEX(정기주문설정!$D$3:$D$302,MATCH("R"&amp;9,주문생성!$M$6:$M$305,0)),""))</f>
        <v/>
      </c>
      <c r="E14" s="19" t="str">
        <f aca="false">IF($B14="","",IFERROR(INDEX(정기주문설정!$E$3:$E$302,MATCH("R"&amp;9,주문생성!$M$6:$M$305,0)),""))</f>
        <v/>
      </c>
      <c r="F14" s="19" t="str">
        <f aca="false">IF($B14="","",IFERROR(INDEX(정기주문설정!$F$3:$F$302,MATCH("R"&amp;9,주문생성!$M$6:$M$305,0)),""))</f>
        <v/>
      </c>
      <c r="G14" s="20" t="str">
        <f aca="false">IF($B14="","",IFERROR(INDEX(정기주문설정!$G$3:$G$302,MATCH("R"&amp;9,주문생성!$M$6:$M$305,0)),""))</f>
        <v/>
      </c>
      <c r="H14" s="12" t="str">
        <f aca="false">IF($B14="","",IFERROR(INDEX(정기주문설정!$H$3:$H$302,MATCH("R"&amp;9,주문생성!$M$6:$M$305,0)),""))</f>
        <v/>
      </c>
      <c r="I14" s="12" t="str">
        <f aca="false">IF($B14="","",ROUND($G14*$H14,0))</f>
        <v/>
      </c>
      <c r="K14" s="21" t="b">
        <f aca="false">IF(정기주문설정!$B11="",FALSE(),IF(정기주문설정!$M11="중지",FALSE(),IF(정기주문설정!$L11&lt;&gt;"",IF($B$3&lt;정기주문설정!$L11,FALSE(),IF(정기주문설정!$I11="매일",TRUE(),IF(정기주문설정!$I11="매주",(WEEKDAY($B$3)=IFERROR(MATCH(정기주문설정!$J11,정기주문설정!$O$3:$O$9,0),0)),IF(정기주문설정!$I11="격주",AND((WEEKDAY($B$3)=IFERROR(MATCH(정기주문설정!$J11,정기주문설정!$O$3:$O$9,0),0)),MOD(INT(($B$3-정기주문설정!$L11)/7),2)=0),IF(정기주문설정!$I11="매월",DAY($B$3)=정기주문설정!$K11,FALSE()))))),IF(정기주문설정!$I11="매일",TRUE(),IF(정기주문설정!$I11="매주",(WEEKDAY($B$3)=IFERROR(MATCH(정기주문설정!$J11,정기주문설정!$O$3:$O$9,0),0)),IF(정기주문설정!$I11="매월",DAY($B$3)=정기주문설정!$K11,FALSE()))))))</f>
        <v>0</v>
      </c>
      <c r="L14" s="5" t="str">
        <f aca="false">IF($K14=FALSE(),"",COUNTIF($K$6:$K14,TRUE()))</f>
        <v/>
      </c>
      <c r="M14" s="5" t="str">
        <f aca="false">IF($L14="","","R"&amp;$L14)</f>
        <v/>
      </c>
    </row>
    <row r="15" customFormat="false" ht="15" hidden="false" customHeight="true" outlineLevel="0" collapsed="false">
      <c r="A15" s="18" t="str">
        <f aca="false">IF($C15="","",$B$3)</f>
        <v/>
      </c>
      <c r="B15" s="19" t="str">
        <f aca="false">IFERROR(INDEX(정기주문설정!$B$3:$B$302,MATCH("R"&amp;10,주문생성!$M$6:$M$305,0)),"")</f>
        <v/>
      </c>
      <c r="C15" s="19" t="str">
        <f aca="false">IF($B15="","",IFERROR(INDEX(정기주문설정!$C$3:$C$302,MATCH("R"&amp;10,주문생성!$M$6:$M$305,0)),""))</f>
        <v/>
      </c>
      <c r="D15" s="19" t="str">
        <f aca="false">IF($B15="","",IFERROR(INDEX(정기주문설정!$D$3:$D$302,MATCH("R"&amp;10,주문생성!$M$6:$M$305,0)),""))</f>
        <v/>
      </c>
      <c r="E15" s="19" t="str">
        <f aca="false">IF($B15="","",IFERROR(INDEX(정기주문설정!$E$3:$E$302,MATCH("R"&amp;10,주문생성!$M$6:$M$305,0)),""))</f>
        <v/>
      </c>
      <c r="F15" s="19" t="str">
        <f aca="false">IF($B15="","",IFERROR(INDEX(정기주문설정!$F$3:$F$302,MATCH("R"&amp;10,주문생성!$M$6:$M$305,0)),""))</f>
        <v/>
      </c>
      <c r="G15" s="20" t="str">
        <f aca="false">IF($B15="","",IFERROR(INDEX(정기주문설정!$G$3:$G$302,MATCH("R"&amp;10,주문생성!$M$6:$M$305,0)),""))</f>
        <v/>
      </c>
      <c r="H15" s="12" t="str">
        <f aca="false">IF($B15="","",IFERROR(INDEX(정기주문설정!$H$3:$H$302,MATCH("R"&amp;10,주문생성!$M$6:$M$305,0)),""))</f>
        <v/>
      </c>
      <c r="I15" s="12" t="str">
        <f aca="false">IF($B15="","",ROUND($G15*$H15,0))</f>
        <v/>
      </c>
      <c r="K15" s="21" t="b">
        <f aca="false">IF(정기주문설정!$B12="",FALSE(),IF(정기주문설정!$M12="중지",FALSE(),IF(정기주문설정!$L12&lt;&gt;"",IF($B$3&lt;정기주문설정!$L12,FALSE(),IF(정기주문설정!$I12="매일",TRUE(),IF(정기주문설정!$I12="매주",(WEEKDAY($B$3)=IFERROR(MATCH(정기주문설정!$J12,정기주문설정!$O$3:$O$9,0),0)),IF(정기주문설정!$I12="격주",AND((WEEKDAY($B$3)=IFERROR(MATCH(정기주문설정!$J12,정기주문설정!$O$3:$O$9,0),0)),MOD(INT(($B$3-정기주문설정!$L12)/7),2)=0),IF(정기주문설정!$I12="매월",DAY($B$3)=정기주문설정!$K12,FALSE()))))),IF(정기주문설정!$I12="매일",TRUE(),IF(정기주문설정!$I12="매주",(WEEKDAY($B$3)=IFERROR(MATCH(정기주문설정!$J12,정기주문설정!$O$3:$O$9,0),0)),IF(정기주문설정!$I12="매월",DAY($B$3)=정기주문설정!$K12,FALSE()))))))</f>
        <v>0</v>
      </c>
      <c r="L15" s="5" t="str">
        <f aca="false">IF($K15=FALSE(),"",COUNTIF($K$6:$K15,TRUE()))</f>
        <v/>
      </c>
      <c r="M15" s="5" t="str">
        <f aca="false">IF($L15="","","R"&amp;$L15)</f>
        <v/>
      </c>
    </row>
    <row r="16" customFormat="false" ht="15" hidden="false" customHeight="true" outlineLevel="0" collapsed="false">
      <c r="A16" s="18" t="str">
        <f aca="false">IF($C16="","",$B$3)</f>
        <v/>
      </c>
      <c r="B16" s="19" t="str">
        <f aca="false">IFERROR(INDEX(정기주문설정!$B$3:$B$302,MATCH("R"&amp;11,주문생성!$M$6:$M$305,0)),"")</f>
        <v/>
      </c>
      <c r="C16" s="19" t="str">
        <f aca="false">IF($B16="","",IFERROR(INDEX(정기주문설정!$C$3:$C$302,MATCH("R"&amp;11,주문생성!$M$6:$M$305,0)),""))</f>
        <v/>
      </c>
      <c r="D16" s="19" t="str">
        <f aca="false">IF($B16="","",IFERROR(INDEX(정기주문설정!$D$3:$D$302,MATCH("R"&amp;11,주문생성!$M$6:$M$305,0)),""))</f>
        <v/>
      </c>
      <c r="E16" s="19" t="str">
        <f aca="false">IF($B16="","",IFERROR(INDEX(정기주문설정!$E$3:$E$302,MATCH("R"&amp;11,주문생성!$M$6:$M$305,0)),""))</f>
        <v/>
      </c>
      <c r="F16" s="19" t="str">
        <f aca="false">IF($B16="","",IFERROR(INDEX(정기주문설정!$F$3:$F$302,MATCH("R"&amp;11,주문생성!$M$6:$M$305,0)),""))</f>
        <v/>
      </c>
      <c r="G16" s="20" t="str">
        <f aca="false">IF($B16="","",IFERROR(INDEX(정기주문설정!$G$3:$G$302,MATCH("R"&amp;11,주문생성!$M$6:$M$305,0)),""))</f>
        <v/>
      </c>
      <c r="H16" s="12" t="str">
        <f aca="false">IF($B16="","",IFERROR(INDEX(정기주문설정!$H$3:$H$302,MATCH("R"&amp;11,주문생성!$M$6:$M$305,0)),""))</f>
        <v/>
      </c>
      <c r="I16" s="12" t="str">
        <f aca="false">IF($B16="","",ROUND($G16*$H16,0))</f>
        <v/>
      </c>
      <c r="K16" s="21" t="b">
        <f aca="false">IF(정기주문설정!$B13="",FALSE(),IF(정기주문설정!$M13="중지",FALSE(),IF(정기주문설정!$L13&lt;&gt;"",IF($B$3&lt;정기주문설정!$L13,FALSE(),IF(정기주문설정!$I13="매일",TRUE(),IF(정기주문설정!$I13="매주",(WEEKDAY($B$3)=IFERROR(MATCH(정기주문설정!$J13,정기주문설정!$O$3:$O$9,0),0)),IF(정기주문설정!$I13="격주",AND((WEEKDAY($B$3)=IFERROR(MATCH(정기주문설정!$J13,정기주문설정!$O$3:$O$9,0),0)),MOD(INT(($B$3-정기주문설정!$L13)/7),2)=0),IF(정기주문설정!$I13="매월",DAY($B$3)=정기주문설정!$K13,FALSE()))))),IF(정기주문설정!$I13="매일",TRUE(),IF(정기주문설정!$I13="매주",(WEEKDAY($B$3)=IFERROR(MATCH(정기주문설정!$J13,정기주문설정!$O$3:$O$9,0),0)),IF(정기주문설정!$I13="매월",DAY($B$3)=정기주문설정!$K13,FALSE()))))))</f>
        <v>0</v>
      </c>
      <c r="L16" s="5" t="str">
        <f aca="false">IF($K16=FALSE(),"",COUNTIF($K$6:$K16,TRUE()))</f>
        <v/>
      </c>
      <c r="M16" s="5" t="str">
        <f aca="false">IF($L16="","","R"&amp;$L16)</f>
        <v/>
      </c>
    </row>
    <row r="17" customFormat="false" ht="15" hidden="false" customHeight="true" outlineLevel="0" collapsed="false">
      <c r="A17" s="18" t="str">
        <f aca="false">IF($C17="","",$B$3)</f>
        <v/>
      </c>
      <c r="B17" s="19" t="str">
        <f aca="false">IFERROR(INDEX(정기주문설정!$B$3:$B$302,MATCH("R"&amp;12,주문생성!$M$6:$M$305,0)),"")</f>
        <v/>
      </c>
      <c r="C17" s="19" t="str">
        <f aca="false">IF($B17="","",IFERROR(INDEX(정기주문설정!$C$3:$C$302,MATCH("R"&amp;12,주문생성!$M$6:$M$305,0)),""))</f>
        <v/>
      </c>
      <c r="D17" s="19" t="str">
        <f aca="false">IF($B17="","",IFERROR(INDEX(정기주문설정!$D$3:$D$302,MATCH("R"&amp;12,주문생성!$M$6:$M$305,0)),""))</f>
        <v/>
      </c>
      <c r="E17" s="19" t="str">
        <f aca="false">IF($B17="","",IFERROR(INDEX(정기주문설정!$E$3:$E$302,MATCH("R"&amp;12,주문생성!$M$6:$M$305,0)),""))</f>
        <v/>
      </c>
      <c r="F17" s="19" t="str">
        <f aca="false">IF($B17="","",IFERROR(INDEX(정기주문설정!$F$3:$F$302,MATCH("R"&amp;12,주문생성!$M$6:$M$305,0)),""))</f>
        <v/>
      </c>
      <c r="G17" s="20" t="str">
        <f aca="false">IF($B17="","",IFERROR(INDEX(정기주문설정!$G$3:$G$302,MATCH("R"&amp;12,주문생성!$M$6:$M$305,0)),""))</f>
        <v/>
      </c>
      <c r="H17" s="12" t="str">
        <f aca="false">IF($B17="","",IFERROR(INDEX(정기주문설정!$H$3:$H$302,MATCH("R"&amp;12,주문생성!$M$6:$M$305,0)),""))</f>
        <v/>
      </c>
      <c r="I17" s="12" t="str">
        <f aca="false">IF($B17="","",ROUND($G17*$H17,0))</f>
        <v/>
      </c>
      <c r="K17" s="21" t="b">
        <f aca="false">IF(정기주문설정!$B14="",FALSE(),IF(정기주문설정!$M14="중지",FALSE(),IF(정기주문설정!$L14&lt;&gt;"",IF($B$3&lt;정기주문설정!$L14,FALSE(),IF(정기주문설정!$I14="매일",TRUE(),IF(정기주문설정!$I14="매주",(WEEKDAY($B$3)=IFERROR(MATCH(정기주문설정!$J14,정기주문설정!$O$3:$O$9,0),0)),IF(정기주문설정!$I14="격주",AND((WEEKDAY($B$3)=IFERROR(MATCH(정기주문설정!$J14,정기주문설정!$O$3:$O$9,0),0)),MOD(INT(($B$3-정기주문설정!$L14)/7),2)=0),IF(정기주문설정!$I14="매월",DAY($B$3)=정기주문설정!$K14,FALSE()))))),IF(정기주문설정!$I14="매일",TRUE(),IF(정기주문설정!$I14="매주",(WEEKDAY($B$3)=IFERROR(MATCH(정기주문설정!$J14,정기주문설정!$O$3:$O$9,0),0)),IF(정기주문설정!$I14="매월",DAY($B$3)=정기주문설정!$K14,FALSE()))))))</f>
        <v>0</v>
      </c>
      <c r="L17" s="5" t="str">
        <f aca="false">IF($K17=FALSE(),"",COUNTIF($K$6:$K17,TRUE()))</f>
        <v/>
      </c>
      <c r="M17" s="5" t="str">
        <f aca="false">IF($L17="","","R"&amp;$L17)</f>
        <v/>
      </c>
    </row>
    <row r="18" customFormat="false" ht="15" hidden="false" customHeight="true" outlineLevel="0" collapsed="false">
      <c r="A18" s="18" t="str">
        <f aca="false">IF($C18="","",$B$3)</f>
        <v/>
      </c>
      <c r="B18" s="19" t="str">
        <f aca="false">IFERROR(INDEX(정기주문설정!$B$3:$B$302,MATCH("R"&amp;13,주문생성!$M$6:$M$305,0)),"")</f>
        <v/>
      </c>
      <c r="C18" s="19" t="str">
        <f aca="false">IF($B18="","",IFERROR(INDEX(정기주문설정!$C$3:$C$302,MATCH("R"&amp;13,주문생성!$M$6:$M$305,0)),""))</f>
        <v/>
      </c>
      <c r="D18" s="19" t="str">
        <f aca="false">IF($B18="","",IFERROR(INDEX(정기주문설정!$D$3:$D$302,MATCH("R"&amp;13,주문생성!$M$6:$M$305,0)),""))</f>
        <v/>
      </c>
      <c r="E18" s="19" t="str">
        <f aca="false">IF($B18="","",IFERROR(INDEX(정기주문설정!$E$3:$E$302,MATCH("R"&amp;13,주문생성!$M$6:$M$305,0)),""))</f>
        <v/>
      </c>
      <c r="F18" s="19" t="str">
        <f aca="false">IF($B18="","",IFERROR(INDEX(정기주문설정!$F$3:$F$302,MATCH("R"&amp;13,주문생성!$M$6:$M$305,0)),""))</f>
        <v/>
      </c>
      <c r="G18" s="20" t="str">
        <f aca="false">IF($B18="","",IFERROR(INDEX(정기주문설정!$G$3:$G$302,MATCH("R"&amp;13,주문생성!$M$6:$M$305,0)),""))</f>
        <v/>
      </c>
      <c r="H18" s="12" t="str">
        <f aca="false">IF($B18="","",IFERROR(INDEX(정기주문설정!$H$3:$H$302,MATCH("R"&amp;13,주문생성!$M$6:$M$305,0)),""))</f>
        <v/>
      </c>
      <c r="I18" s="12" t="str">
        <f aca="false">IF($B18="","",ROUND($G18*$H18,0))</f>
        <v/>
      </c>
      <c r="K18" s="21" t="b">
        <f aca="false">IF(정기주문설정!$B15="",FALSE(),IF(정기주문설정!$M15="중지",FALSE(),IF(정기주문설정!$L15&lt;&gt;"",IF($B$3&lt;정기주문설정!$L15,FALSE(),IF(정기주문설정!$I15="매일",TRUE(),IF(정기주문설정!$I15="매주",(WEEKDAY($B$3)=IFERROR(MATCH(정기주문설정!$J15,정기주문설정!$O$3:$O$9,0),0)),IF(정기주문설정!$I15="격주",AND((WEEKDAY($B$3)=IFERROR(MATCH(정기주문설정!$J15,정기주문설정!$O$3:$O$9,0),0)),MOD(INT(($B$3-정기주문설정!$L15)/7),2)=0),IF(정기주문설정!$I15="매월",DAY($B$3)=정기주문설정!$K15,FALSE()))))),IF(정기주문설정!$I15="매일",TRUE(),IF(정기주문설정!$I15="매주",(WEEKDAY($B$3)=IFERROR(MATCH(정기주문설정!$J15,정기주문설정!$O$3:$O$9,0),0)),IF(정기주문설정!$I15="매월",DAY($B$3)=정기주문설정!$K15,FALSE()))))))</f>
        <v>0</v>
      </c>
      <c r="L18" s="5" t="str">
        <f aca="false">IF($K18=FALSE(),"",COUNTIF($K$6:$K18,TRUE()))</f>
        <v/>
      </c>
      <c r="M18" s="5" t="str">
        <f aca="false">IF($L18="","","R"&amp;$L18)</f>
        <v/>
      </c>
    </row>
    <row r="19" customFormat="false" ht="15" hidden="false" customHeight="true" outlineLevel="0" collapsed="false">
      <c r="A19" s="18" t="str">
        <f aca="false">IF($C19="","",$B$3)</f>
        <v/>
      </c>
      <c r="B19" s="19" t="str">
        <f aca="false">IFERROR(INDEX(정기주문설정!$B$3:$B$302,MATCH("R"&amp;14,주문생성!$M$6:$M$305,0)),"")</f>
        <v/>
      </c>
      <c r="C19" s="19" t="str">
        <f aca="false">IF($B19="","",IFERROR(INDEX(정기주문설정!$C$3:$C$302,MATCH("R"&amp;14,주문생성!$M$6:$M$305,0)),""))</f>
        <v/>
      </c>
      <c r="D19" s="19" t="str">
        <f aca="false">IF($B19="","",IFERROR(INDEX(정기주문설정!$D$3:$D$302,MATCH("R"&amp;14,주문생성!$M$6:$M$305,0)),""))</f>
        <v/>
      </c>
      <c r="E19" s="19" t="str">
        <f aca="false">IF($B19="","",IFERROR(INDEX(정기주문설정!$E$3:$E$302,MATCH("R"&amp;14,주문생성!$M$6:$M$305,0)),""))</f>
        <v/>
      </c>
      <c r="F19" s="19" t="str">
        <f aca="false">IF($B19="","",IFERROR(INDEX(정기주문설정!$F$3:$F$302,MATCH("R"&amp;14,주문생성!$M$6:$M$305,0)),""))</f>
        <v/>
      </c>
      <c r="G19" s="20" t="str">
        <f aca="false">IF($B19="","",IFERROR(INDEX(정기주문설정!$G$3:$G$302,MATCH("R"&amp;14,주문생성!$M$6:$M$305,0)),""))</f>
        <v/>
      </c>
      <c r="H19" s="12" t="str">
        <f aca="false">IF($B19="","",IFERROR(INDEX(정기주문설정!$H$3:$H$302,MATCH("R"&amp;14,주문생성!$M$6:$M$305,0)),""))</f>
        <v/>
      </c>
      <c r="I19" s="12" t="str">
        <f aca="false">IF($B19="","",ROUND($G19*$H19,0))</f>
        <v/>
      </c>
      <c r="K19" s="21" t="b">
        <f aca="false">IF(정기주문설정!$B16="",FALSE(),IF(정기주문설정!$M16="중지",FALSE(),IF(정기주문설정!$L16&lt;&gt;"",IF($B$3&lt;정기주문설정!$L16,FALSE(),IF(정기주문설정!$I16="매일",TRUE(),IF(정기주문설정!$I16="매주",(WEEKDAY($B$3)=IFERROR(MATCH(정기주문설정!$J16,정기주문설정!$O$3:$O$9,0),0)),IF(정기주문설정!$I16="격주",AND((WEEKDAY($B$3)=IFERROR(MATCH(정기주문설정!$J16,정기주문설정!$O$3:$O$9,0),0)),MOD(INT(($B$3-정기주문설정!$L16)/7),2)=0),IF(정기주문설정!$I16="매월",DAY($B$3)=정기주문설정!$K16,FALSE()))))),IF(정기주문설정!$I16="매일",TRUE(),IF(정기주문설정!$I16="매주",(WEEKDAY($B$3)=IFERROR(MATCH(정기주문설정!$J16,정기주문설정!$O$3:$O$9,0),0)),IF(정기주문설정!$I16="매월",DAY($B$3)=정기주문설정!$K16,FALSE()))))))</f>
        <v>0</v>
      </c>
      <c r="L19" s="5" t="str">
        <f aca="false">IF($K19=FALSE(),"",COUNTIF($K$6:$K19,TRUE()))</f>
        <v/>
      </c>
      <c r="M19" s="5" t="str">
        <f aca="false">IF($L19="","","R"&amp;$L19)</f>
        <v/>
      </c>
    </row>
    <row r="20" customFormat="false" ht="15" hidden="false" customHeight="true" outlineLevel="0" collapsed="false">
      <c r="A20" s="18" t="str">
        <f aca="false">IF($C20="","",$B$3)</f>
        <v/>
      </c>
      <c r="B20" s="19" t="str">
        <f aca="false">IFERROR(INDEX(정기주문설정!$B$3:$B$302,MATCH("R"&amp;15,주문생성!$M$6:$M$305,0)),"")</f>
        <v/>
      </c>
      <c r="C20" s="19" t="str">
        <f aca="false">IF($B20="","",IFERROR(INDEX(정기주문설정!$C$3:$C$302,MATCH("R"&amp;15,주문생성!$M$6:$M$305,0)),""))</f>
        <v/>
      </c>
      <c r="D20" s="19" t="str">
        <f aca="false">IF($B20="","",IFERROR(INDEX(정기주문설정!$D$3:$D$302,MATCH("R"&amp;15,주문생성!$M$6:$M$305,0)),""))</f>
        <v/>
      </c>
      <c r="E20" s="19" t="str">
        <f aca="false">IF($B20="","",IFERROR(INDEX(정기주문설정!$E$3:$E$302,MATCH("R"&amp;15,주문생성!$M$6:$M$305,0)),""))</f>
        <v/>
      </c>
      <c r="F20" s="19" t="str">
        <f aca="false">IF($B20="","",IFERROR(INDEX(정기주문설정!$F$3:$F$302,MATCH("R"&amp;15,주문생성!$M$6:$M$305,0)),""))</f>
        <v/>
      </c>
      <c r="G20" s="20" t="str">
        <f aca="false">IF($B20="","",IFERROR(INDEX(정기주문설정!$G$3:$G$302,MATCH("R"&amp;15,주문생성!$M$6:$M$305,0)),""))</f>
        <v/>
      </c>
      <c r="H20" s="12" t="str">
        <f aca="false">IF($B20="","",IFERROR(INDEX(정기주문설정!$H$3:$H$302,MATCH("R"&amp;15,주문생성!$M$6:$M$305,0)),""))</f>
        <v/>
      </c>
      <c r="I20" s="12" t="str">
        <f aca="false">IF($B20="","",ROUND($G20*$H20,0))</f>
        <v/>
      </c>
      <c r="K20" s="21" t="b">
        <f aca="false">IF(정기주문설정!$B17="",FALSE(),IF(정기주문설정!$M17="중지",FALSE(),IF(정기주문설정!$L17&lt;&gt;"",IF($B$3&lt;정기주문설정!$L17,FALSE(),IF(정기주문설정!$I17="매일",TRUE(),IF(정기주문설정!$I17="매주",(WEEKDAY($B$3)=IFERROR(MATCH(정기주문설정!$J17,정기주문설정!$O$3:$O$9,0),0)),IF(정기주문설정!$I17="격주",AND((WEEKDAY($B$3)=IFERROR(MATCH(정기주문설정!$J17,정기주문설정!$O$3:$O$9,0),0)),MOD(INT(($B$3-정기주문설정!$L17)/7),2)=0),IF(정기주문설정!$I17="매월",DAY($B$3)=정기주문설정!$K17,FALSE()))))),IF(정기주문설정!$I17="매일",TRUE(),IF(정기주문설정!$I17="매주",(WEEKDAY($B$3)=IFERROR(MATCH(정기주문설정!$J17,정기주문설정!$O$3:$O$9,0),0)),IF(정기주문설정!$I17="매월",DAY($B$3)=정기주문설정!$K17,FALSE()))))))</f>
        <v>0</v>
      </c>
      <c r="L20" s="5" t="str">
        <f aca="false">IF($K20=FALSE(),"",COUNTIF($K$6:$K20,TRUE()))</f>
        <v/>
      </c>
      <c r="M20" s="5" t="str">
        <f aca="false">IF($L20="","","R"&amp;$L20)</f>
        <v/>
      </c>
    </row>
    <row r="21" customFormat="false" ht="15" hidden="false" customHeight="true" outlineLevel="0" collapsed="false">
      <c r="A21" s="18" t="str">
        <f aca="false">IF($C21="","",$B$3)</f>
        <v/>
      </c>
      <c r="B21" s="19" t="str">
        <f aca="false">IFERROR(INDEX(정기주문설정!$B$3:$B$302,MATCH("R"&amp;16,주문생성!$M$6:$M$305,0)),"")</f>
        <v/>
      </c>
      <c r="C21" s="19" t="str">
        <f aca="false">IF($B21="","",IFERROR(INDEX(정기주문설정!$C$3:$C$302,MATCH("R"&amp;16,주문생성!$M$6:$M$305,0)),""))</f>
        <v/>
      </c>
      <c r="D21" s="19" t="str">
        <f aca="false">IF($B21="","",IFERROR(INDEX(정기주문설정!$D$3:$D$302,MATCH("R"&amp;16,주문생성!$M$6:$M$305,0)),""))</f>
        <v/>
      </c>
      <c r="E21" s="19" t="str">
        <f aca="false">IF($B21="","",IFERROR(INDEX(정기주문설정!$E$3:$E$302,MATCH("R"&amp;16,주문생성!$M$6:$M$305,0)),""))</f>
        <v/>
      </c>
      <c r="F21" s="19" t="str">
        <f aca="false">IF($B21="","",IFERROR(INDEX(정기주문설정!$F$3:$F$302,MATCH("R"&amp;16,주문생성!$M$6:$M$305,0)),""))</f>
        <v/>
      </c>
      <c r="G21" s="20" t="str">
        <f aca="false">IF($B21="","",IFERROR(INDEX(정기주문설정!$G$3:$G$302,MATCH("R"&amp;16,주문생성!$M$6:$M$305,0)),""))</f>
        <v/>
      </c>
      <c r="H21" s="12" t="str">
        <f aca="false">IF($B21="","",IFERROR(INDEX(정기주문설정!$H$3:$H$302,MATCH("R"&amp;16,주문생성!$M$6:$M$305,0)),""))</f>
        <v/>
      </c>
      <c r="I21" s="12" t="str">
        <f aca="false">IF($B21="","",ROUND($G21*$H21,0))</f>
        <v/>
      </c>
      <c r="K21" s="21" t="b">
        <f aca="false">IF(정기주문설정!$B18="",FALSE(),IF(정기주문설정!$M18="중지",FALSE(),IF(정기주문설정!$L18&lt;&gt;"",IF($B$3&lt;정기주문설정!$L18,FALSE(),IF(정기주문설정!$I18="매일",TRUE(),IF(정기주문설정!$I18="매주",(WEEKDAY($B$3)=IFERROR(MATCH(정기주문설정!$J18,정기주문설정!$O$3:$O$9,0),0)),IF(정기주문설정!$I18="격주",AND((WEEKDAY($B$3)=IFERROR(MATCH(정기주문설정!$J18,정기주문설정!$O$3:$O$9,0),0)),MOD(INT(($B$3-정기주문설정!$L18)/7),2)=0),IF(정기주문설정!$I18="매월",DAY($B$3)=정기주문설정!$K18,FALSE()))))),IF(정기주문설정!$I18="매일",TRUE(),IF(정기주문설정!$I18="매주",(WEEKDAY($B$3)=IFERROR(MATCH(정기주문설정!$J18,정기주문설정!$O$3:$O$9,0),0)),IF(정기주문설정!$I18="매월",DAY($B$3)=정기주문설정!$K18,FALSE()))))))</f>
        <v>0</v>
      </c>
      <c r="L21" s="5" t="str">
        <f aca="false">IF($K21=FALSE(),"",COUNTIF($K$6:$K21,TRUE()))</f>
        <v/>
      </c>
      <c r="M21" s="5" t="str">
        <f aca="false">IF($L21="","","R"&amp;$L21)</f>
        <v/>
      </c>
    </row>
    <row r="22" customFormat="false" ht="15" hidden="false" customHeight="true" outlineLevel="0" collapsed="false">
      <c r="A22" s="18" t="str">
        <f aca="false">IF($C22="","",$B$3)</f>
        <v/>
      </c>
      <c r="B22" s="19" t="str">
        <f aca="false">IFERROR(INDEX(정기주문설정!$B$3:$B$302,MATCH("R"&amp;17,주문생성!$M$6:$M$305,0)),"")</f>
        <v/>
      </c>
      <c r="C22" s="19" t="str">
        <f aca="false">IF($B22="","",IFERROR(INDEX(정기주문설정!$C$3:$C$302,MATCH("R"&amp;17,주문생성!$M$6:$M$305,0)),""))</f>
        <v/>
      </c>
      <c r="D22" s="19" t="str">
        <f aca="false">IF($B22="","",IFERROR(INDEX(정기주문설정!$D$3:$D$302,MATCH("R"&amp;17,주문생성!$M$6:$M$305,0)),""))</f>
        <v/>
      </c>
      <c r="E22" s="19" t="str">
        <f aca="false">IF($B22="","",IFERROR(INDEX(정기주문설정!$E$3:$E$302,MATCH("R"&amp;17,주문생성!$M$6:$M$305,0)),""))</f>
        <v/>
      </c>
      <c r="F22" s="19" t="str">
        <f aca="false">IF($B22="","",IFERROR(INDEX(정기주문설정!$F$3:$F$302,MATCH("R"&amp;17,주문생성!$M$6:$M$305,0)),""))</f>
        <v/>
      </c>
      <c r="G22" s="20" t="str">
        <f aca="false">IF($B22="","",IFERROR(INDEX(정기주문설정!$G$3:$G$302,MATCH("R"&amp;17,주문생성!$M$6:$M$305,0)),""))</f>
        <v/>
      </c>
      <c r="H22" s="12" t="str">
        <f aca="false">IF($B22="","",IFERROR(INDEX(정기주문설정!$H$3:$H$302,MATCH("R"&amp;17,주문생성!$M$6:$M$305,0)),""))</f>
        <v/>
      </c>
      <c r="I22" s="12" t="str">
        <f aca="false">IF($B22="","",ROUND($G22*$H22,0))</f>
        <v/>
      </c>
      <c r="K22" s="21" t="b">
        <f aca="false">IF(정기주문설정!$B19="",FALSE(),IF(정기주문설정!$M19="중지",FALSE(),IF(정기주문설정!$L19&lt;&gt;"",IF($B$3&lt;정기주문설정!$L19,FALSE(),IF(정기주문설정!$I19="매일",TRUE(),IF(정기주문설정!$I19="매주",(WEEKDAY($B$3)=IFERROR(MATCH(정기주문설정!$J19,정기주문설정!$O$3:$O$9,0),0)),IF(정기주문설정!$I19="격주",AND((WEEKDAY($B$3)=IFERROR(MATCH(정기주문설정!$J19,정기주문설정!$O$3:$O$9,0),0)),MOD(INT(($B$3-정기주문설정!$L19)/7),2)=0),IF(정기주문설정!$I19="매월",DAY($B$3)=정기주문설정!$K19,FALSE()))))),IF(정기주문설정!$I19="매일",TRUE(),IF(정기주문설정!$I19="매주",(WEEKDAY($B$3)=IFERROR(MATCH(정기주문설정!$J19,정기주문설정!$O$3:$O$9,0),0)),IF(정기주문설정!$I19="매월",DAY($B$3)=정기주문설정!$K19,FALSE()))))))</f>
        <v>0</v>
      </c>
      <c r="L22" s="5" t="str">
        <f aca="false">IF($K22=FALSE(),"",COUNTIF($K$6:$K22,TRUE()))</f>
        <v/>
      </c>
      <c r="M22" s="5" t="str">
        <f aca="false">IF($L22="","","R"&amp;$L22)</f>
        <v/>
      </c>
    </row>
    <row r="23" customFormat="false" ht="15" hidden="false" customHeight="true" outlineLevel="0" collapsed="false">
      <c r="A23" s="18" t="str">
        <f aca="false">IF($C23="","",$B$3)</f>
        <v/>
      </c>
      <c r="B23" s="19" t="str">
        <f aca="false">IFERROR(INDEX(정기주문설정!$B$3:$B$302,MATCH("R"&amp;18,주문생성!$M$6:$M$305,0)),"")</f>
        <v/>
      </c>
      <c r="C23" s="19" t="str">
        <f aca="false">IF($B23="","",IFERROR(INDEX(정기주문설정!$C$3:$C$302,MATCH("R"&amp;18,주문생성!$M$6:$M$305,0)),""))</f>
        <v/>
      </c>
      <c r="D23" s="19" t="str">
        <f aca="false">IF($B23="","",IFERROR(INDEX(정기주문설정!$D$3:$D$302,MATCH("R"&amp;18,주문생성!$M$6:$M$305,0)),""))</f>
        <v/>
      </c>
      <c r="E23" s="19" t="str">
        <f aca="false">IF($B23="","",IFERROR(INDEX(정기주문설정!$E$3:$E$302,MATCH("R"&amp;18,주문생성!$M$6:$M$305,0)),""))</f>
        <v/>
      </c>
      <c r="F23" s="19" t="str">
        <f aca="false">IF($B23="","",IFERROR(INDEX(정기주문설정!$F$3:$F$302,MATCH("R"&amp;18,주문생성!$M$6:$M$305,0)),""))</f>
        <v/>
      </c>
      <c r="G23" s="20" t="str">
        <f aca="false">IF($B23="","",IFERROR(INDEX(정기주문설정!$G$3:$G$302,MATCH("R"&amp;18,주문생성!$M$6:$M$305,0)),""))</f>
        <v/>
      </c>
      <c r="H23" s="12" t="str">
        <f aca="false">IF($B23="","",IFERROR(INDEX(정기주문설정!$H$3:$H$302,MATCH("R"&amp;18,주문생성!$M$6:$M$305,0)),""))</f>
        <v/>
      </c>
      <c r="I23" s="12" t="str">
        <f aca="false">IF($B23="","",ROUND($G23*$H23,0))</f>
        <v/>
      </c>
      <c r="K23" s="21" t="b">
        <f aca="false">IF(정기주문설정!$B20="",FALSE(),IF(정기주문설정!$M20="중지",FALSE(),IF(정기주문설정!$L20&lt;&gt;"",IF($B$3&lt;정기주문설정!$L20,FALSE(),IF(정기주문설정!$I20="매일",TRUE(),IF(정기주문설정!$I20="매주",(WEEKDAY($B$3)=IFERROR(MATCH(정기주문설정!$J20,정기주문설정!$O$3:$O$9,0),0)),IF(정기주문설정!$I20="격주",AND((WEEKDAY($B$3)=IFERROR(MATCH(정기주문설정!$J20,정기주문설정!$O$3:$O$9,0),0)),MOD(INT(($B$3-정기주문설정!$L20)/7),2)=0),IF(정기주문설정!$I20="매월",DAY($B$3)=정기주문설정!$K20,FALSE()))))),IF(정기주문설정!$I20="매일",TRUE(),IF(정기주문설정!$I20="매주",(WEEKDAY($B$3)=IFERROR(MATCH(정기주문설정!$J20,정기주문설정!$O$3:$O$9,0),0)),IF(정기주문설정!$I20="매월",DAY($B$3)=정기주문설정!$K20,FALSE()))))))</f>
        <v>0</v>
      </c>
      <c r="L23" s="5" t="str">
        <f aca="false">IF($K23=FALSE(),"",COUNTIF($K$6:$K23,TRUE()))</f>
        <v/>
      </c>
      <c r="M23" s="5" t="str">
        <f aca="false">IF($L23="","","R"&amp;$L23)</f>
        <v/>
      </c>
    </row>
    <row r="24" customFormat="false" ht="15" hidden="false" customHeight="true" outlineLevel="0" collapsed="false">
      <c r="A24" s="18" t="str">
        <f aca="false">IF($C24="","",$B$3)</f>
        <v/>
      </c>
      <c r="B24" s="19" t="str">
        <f aca="false">IFERROR(INDEX(정기주문설정!$B$3:$B$302,MATCH("R"&amp;19,주문생성!$M$6:$M$305,0)),"")</f>
        <v/>
      </c>
      <c r="C24" s="19" t="str">
        <f aca="false">IF($B24="","",IFERROR(INDEX(정기주문설정!$C$3:$C$302,MATCH("R"&amp;19,주문생성!$M$6:$M$305,0)),""))</f>
        <v/>
      </c>
      <c r="D24" s="19" t="str">
        <f aca="false">IF($B24="","",IFERROR(INDEX(정기주문설정!$D$3:$D$302,MATCH("R"&amp;19,주문생성!$M$6:$M$305,0)),""))</f>
        <v/>
      </c>
      <c r="E24" s="19" t="str">
        <f aca="false">IF($B24="","",IFERROR(INDEX(정기주문설정!$E$3:$E$302,MATCH("R"&amp;19,주문생성!$M$6:$M$305,0)),""))</f>
        <v/>
      </c>
      <c r="F24" s="19" t="str">
        <f aca="false">IF($B24="","",IFERROR(INDEX(정기주문설정!$F$3:$F$302,MATCH("R"&amp;19,주문생성!$M$6:$M$305,0)),""))</f>
        <v/>
      </c>
      <c r="G24" s="20" t="str">
        <f aca="false">IF($B24="","",IFERROR(INDEX(정기주문설정!$G$3:$G$302,MATCH("R"&amp;19,주문생성!$M$6:$M$305,0)),""))</f>
        <v/>
      </c>
      <c r="H24" s="12" t="str">
        <f aca="false">IF($B24="","",IFERROR(INDEX(정기주문설정!$H$3:$H$302,MATCH("R"&amp;19,주문생성!$M$6:$M$305,0)),""))</f>
        <v/>
      </c>
      <c r="I24" s="12" t="str">
        <f aca="false">IF($B24="","",ROUND($G24*$H24,0))</f>
        <v/>
      </c>
      <c r="K24" s="21" t="b">
        <f aca="false">IF(정기주문설정!$B21="",FALSE(),IF(정기주문설정!$M21="중지",FALSE(),IF(정기주문설정!$L21&lt;&gt;"",IF($B$3&lt;정기주문설정!$L21,FALSE(),IF(정기주문설정!$I21="매일",TRUE(),IF(정기주문설정!$I21="매주",(WEEKDAY($B$3)=IFERROR(MATCH(정기주문설정!$J21,정기주문설정!$O$3:$O$9,0),0)),IF(정기주문설정!$I21="격주",AND((WEEKDAY($B$3)=IFERROR(MATCH(정기주문설정!$J21,정기주문설정!$O$3:$O$9,0),0)),MOD(INT(($B$3-정기주문설정!$L21)/7),2)=0),IF(정기주문설정!$I21="매월",DAY($B$3)=정기주문설정!$K21,FALSE()))))),IF(정기주문설정!$I21="매일",TRUE(),IF(정기주문설정!$I21="매주",(WEEKDAY($B$3)=IFERROR(MATCH(정기주문설정!$J21,정기주문설정!$O$3:$O$9,0),0)),IF(정기주문설정!$I21="매월",DAY($B$3)=정기주문설정!$K21,FALSE()))))))</f>
        <v>0</v>
      </c>
      <c r="L24" s="5" t="str">
        <f aca="false">IF($K24=FALSE(),"",COUNTIF($K$6:$K24,TRUE()))</f>
        <v/>
      </c>
      <c r="M24" s="5" t="str">
        <f aca="false">IF($L24="","","R"&amp;$L24)</f>
        <v/>
      </c>
    </row>
    <row r="25" customFormat="false" ht="15" hidden="false" customHeight="true" outlineLevel="0" collapsed="false">
      <c r="A25" s="18" t="str">
        <f aca="false">IF($C25="","",$B$3)</f>
        <v/>
      </c>
      <c r="B25" s="19" t="str">
        <f aca="false">IFERROR(INDEX(정기주문설정!$B$3:$B$302,MATCH("R"&amp;20,주문생성!$M$6:$M$305,0)),"")</f>
        <v/>
      </c>
      <c r="C25" s="19" t="str">
        <f aca="false">IF($B25="","",IFERROR(INDEX(정기주문설정!$C$3:$C$302,MATCH("R"&amp;20,주문생성!$M$6:$M$305,0)),""))</f>
        <v/>
      </c>
      <c r="D25" s="19" t="str">
        <f aca="false">IF($B25="","",IFERROR(INDEX(정기주문설정!$D$3:$D$302,MATCH("R"&amp;20,주문생성!$M$6:$M$305,0)),""))</f>
        <v/>
      </c>
      <c r="E25" s="19" t="str">
        <f aca="false">IF($B25="","",IFERROR(INDEX(정기주문설정!$E$3:$E$302,MATCH("R"&amp;20,주문생성!$M$6:$M$305,0)),""))</f>
        <v/>
      </c>
      <c r="F25" s="19" t="str">
        <f aca="false">IF($B25="","",IFERROR(INDEX(정기주문설정!$F$3:$F$302,MATCH("R"&amp;20,주문생성!$M$6:$M$305,0)),""))</f>
        <v/>
      </c>
      <c r="G25" s="20" t="str">
        <f aca="false">IF($B25="","",IFERROR(INDEX(정기주문설정!$G$3:$G$302,MATCH("R"&amp;20,주문생성!$M$6:$M$305,0)),""))</f>
        <v/>
      </c>
      <c r="H25" s="12" t="str">
        <f aca="false">IF($B25="","",IFERROR(INDEX(정기주문설정!$H$3:$H$302,MATCH("R"&amp;20,주문생성!$M$6:$M$305,0)),""))</f>
        <v/>
      </c>
      <c r="I25" s="12" t="str">
        <f aca="false">IF($B25="","",ROUND($G25*$H25,0))</f>
        <v/>
      </c>
      <c r="K25" s="21" t="b">
        <f aca="false">IF(정기주문설정!$B22="",FALSE(),IF(정기주문설정!$M22="중지",FALSE(),IF(정기주문설정!$L22&lt;&gt;"",IF($B$3&lt;정기주문설정!$L22,FALSE(),IF(정기주문설정!$I22="매일",TRUE(),IF(정기주문설정!$I22="매주",(WEEKDAY($B$3)=IFERROR(MATCH(정기주문설정!$J22,정기주문설정!$O$3:$O$9,0),0)),IF(정기주문설정!$I22="격주",AND((WEEKDAY($B$3)=IFERROR(MATCH(정기주문설정!$J22,정기주문설정!$O$3:$O$9,0),0)),MOD(INT(($B$3-정기주문설정!$L22)/7),2)=0),IF(정기주문설정!$I22="매월",DAY($B$3)=정기주문설정!$K22,FALSE()))))),IF(정기주문설정!$I22="매일",TRUE(),IF(정기주문설정!$I22="매주",(WEEKDAY($B$3)=IFERROR(MATCH(정기주문설정!$J22,정기주문설정!$O$3:$O$9,0),0)),IF(정기주문설정!$I22="매월",DAY($B$3)=정기주문설정!$K22,FALSE()))))))</f>
        <v>0</v>
      </c>
      <c r="L25" s="5" t="str">
        <f aca="false">IF($K25=FALSE(),"",COUNTIF($K$6:$K25,TRUE()))</f>
        <v/>
      </c>
      <c r="M25" s="5" t="str">
        <f aca="false">IF($L25="","","R"&amp;$L25)</f>
        <v/>
      </c>
    </row>
    <row r="26" customFormat="false" ht="15" hidden="false" customHeight="true" outlineLevel="0" collapsed="false">
      <c r="A26" s="18" t="str">
        <f aca="false">IF($C26="","",$B$3)</f>
        <v/>
      </c>
      <c r="B26" s="19" t="str">
        <f aca="false">IFERROR(INDEX(정기주문설정!$B$3:$B$302,MATCH("R"&amp;21,주문생성!$M$6:$M$305,0)),"")</f>
        <v/>
      </c>
      <c r="C26" s="19" t="str">
        <f aca="false">IF($B26="","",IFERROR(INDEX(정기주문설정!$C$3:$C$302,MATCH("R"&amp;21,주문생성!$M$6:$M$305,0)),""))</f>
        <v/>
      </c>
      <c r="D26" s="19" t="str">
        <f aca="false">IF($B26="","",IFERROR(INDEX(정기주문설정!$D$3:$D$302,MATCH("R"&amp;21,주문생성!$M$6:$M$305,0)),""))</f>
        <v/>
      </c>
      <c r="E26" s="19" t="str">
        <f aca="false">IF($B26="","",IFERROR(INDEX(정기주문설정!$E$3:$E$302,MATCH("R"&amp;21,주문생성!$M$6:$M$305,0)),""))</f>
        <v/>
      </c>
      <c r="F26" s="19" t="str">
        <f aca="false">IF($B26="","",IFERROR(INDEX(정기주문설정!$F$3:$F$302,MATCH("R"&amp;21,주문생성!$M$6:$M$305,0)),""))</f>
        <v/>
      </c>
      <c r="G26" s="20" t="str">
        <f aca="false">IF($B26="","",IFERROR(INDEX(정기주문설정!$G$3:$G$302,MATCH("R"&amp;21,주문생성!$M$6:$M$305,0)),""))</f>
        <v/>
      </c>
      <c r="H26" s="12" t="str">
        <f aca="false">IF($B26="","",IFERROR(INDEX(정기주문설정!$H$3:$H$302,MATCH("R"&amp;21,주문생성!$M$6:$M$305,0)),""))</f>
        <v/>
      </c>
      <c r="I26" s="12" t="str">
        <f aca="false">IF($B26="","",ROUND($G26*$H26,0))</f>
        <v/>
      </c>
      <c r="K26" s="21" t="b">
        <f aca="false">IF(정기주문설정!$B23="",FALSE(),IF(정기주문설정!$M23="중지",FALSE(),IF(정기주문설정!$L23&lt;&gt;"",IF($B$3&lt;정기주문설정!$L23,FALSE(),IF(정기주문설정!$I23="매일",TRUE(),IF(정기주문설정!$I23="매주",(WEEKDAY($B$3)=IFERROR(MATCH(정기주문설정!$J23,정기주문설정!$O$3:$O$9,0),0)),IF(정기주문설정!$I23="격주",AND((WEEKDAY($B$3)=IFERROR(MATCH(정기주문설정!$J23,정기주문설정!$O$3:$O$9,0),0)),MOD(INT(($B$3-정기주문설정!$L23)/7),2)=0),IF(정기주문설정!$I23="매월",DAY($B$3)=정기주문설정!$K23,FALSE()))))),IF(정기주문설정!$I23="매일",TRUE(),IF(정기주문설정!$I23="매주",(WEEKDAY($B$3)=IFERROR(MATCH(정기주문설정!$J23,정기주문설정!$O$3:$O$9,0),0)),IF(정기주문설정!$I23="매월",DAY($B$3)=정기주문설정!$K23,FALSE()))))))</f>
        <v>0</v>
      </c>
      <c r="L26" s="5" t="str">
        <f aca="false">IF($K26=FALSE(),"",COUNTIF($K$6:$K26,TRUE()))</f>
        <v/>
      </c>
      <c r="M26" s="5" t="str">
        <f aca="false">IF($L26="","","R"&amp;$L26)</f>
        <v/>
      </c>
    </row>
    <row r="27" customFormat="false" ht="15" hidden="false" customHeight="true" outlineLevel="0" collapsed="false">
      <c r="A27" s="18" t="str">
        <f aca="false">IF($C27="","",$B$3)</f>
        <v/>
      </c>
      <c r="B27" s="19" t="str">
        <f aca="false">IFERROR(INDEX(정기주문설정!$B$3:$B$302,MATCH("R"&amp;22,주문생성!$M$6:$M$305,0)),"")</f>
        <v/>
      </c>
      <c r="C27" s="19" t="str">
        <f aca="false">IF($B27="","",IFERROR(INDEX(정기주문설정!$C$3:$C$302,MATCH("R"&amp;22,주문생성!$M$6:$M$305,0)),""))</f>
        <v/>
      </c>
      <c r="D27" s="19" t="str">
        <f aca="false">IF($B27="","",IFERROR(INDEX(정기주문설정!$D$3:$D$302,MATCH("R"&amp;22,주문생성!$M$6:$M$305,0)),""))</f>
        <v/>
      </c>
      <c r="E27" s="19" t="str">
        <f aca="false">IF($B27="","",IFERROR(INDEX(정기주문설정!$E$3:$E$302,MATCH("R"&amp;22,주문생성!$M$6:$M$305,0)),""))</f>
        <v/>
      </c>
      <c r="F27" s="19" t="str">
        <f aca="false">IF($B27="","",IFERROR(INDEX(정기주문설정!$F$3:$F$302,MATCH("R"&amp;22,주문생성!$M$6:$M$305,0)),""))</f>
        <v/>
      </c>
      <c r="G27" s="20" t="str">
        <f aca="false">IF($B27="","",IFERROR(INDEX(정기주문설정!$G$3:$G$302,MATCH("R"&amp;22,주문생성!$M$6:$M$305,0)),""))</f>
        <v/>
      </c>
      <c r="H27" s="12" t="str">
        <f aca="false">IF($B27="","",IFERROR(INDEX(정기주문설정!$H$3:$H$302,MATCH("R"&amp;22,주문생성!$M$6:$M$305,0)),""))</f>
        <v/>
      </c>
      <c r="I27" s="12" t="str">
        <f aca="false">IF($B27="","",ROUND($G27*$H27,0))</f>
        <v/>
      </c>
      <c r="K27" s="21" t="b">
        <f aca="false">IF(정기주문설정!$B24="",FALSE(),IF(정기주문설정!$M24="중지",FALSE(),IF(정기주문설정!$L24&lt;&gt;"",IF($B$3&lt;정기주문설정!$L24,FALSE(),IF(정기주문설정!$I24="매일",TRUE(),IF(정기주문설정!$I24="매주",(WEEKDAY($B$3)=IFERROR(MATCH(정기주문설정!$J24,정기주문설정!$O$3:$O$9,0),0)),IF(정기주문설정!$I24="격주",AND((WEEKDAY($B$3)=IFERROR(MATCH(정기주문설정!$J24,정기주문설정!$O$3:$O$9,0),0)),MOD(INT(($B$3-정기주문설정!$L24)/7),2)=0),IF(정기주문설정!$I24="매월",DAY($B$3)=정기주문설정!$K24,FALSE()))))),IF(정기주문설정!$I24="매일",TRUE(),IF(정기주문설정!$I24="매주",(WEEKDAY($B$3)=IFERROR(MATCH(정기주문설정!$J24,정기주문설정!$O$3:$O$9,0),0)),IF(정기주문설정!$I24="매월",DAY($B$3)=정기주문설정!$K24,FALSE()))))))</f>
        <v>0</v>
      </c>
      <c r="L27" s="5" t="str">
        <f aca="false">IF($K27=FALSE(),"",COUNTIF($K$6:$K27,TRUE()))</f>
        <v/>
      </c>
      <c r="M27" s="5" t="str">
        <f aca="false">IF($L27="","","R"&amp;$L27)</f>
        <v/>
      </c>
    </row>
    <row r="28" customFormat="false" ht="15" hidden="false" customHeight="true" outlineLevel="0" collapsed="false">
      <c r="A28" s="18" t="str">
        <f aca="false">IF($C28="","",$B$3)</f>
        <v/>
      </c>
      <c r="B28" s="19" t="str">
        <f aca="false">IFERROR(INDEX(정기주문설정!$B$3:$B$302,MATCH("R"&amp;23,주문생성!$M$6:$M$305,0)),"")</f>
        <v/>
      </c>
      <c r="C28" s="19" t="str">
        <f aca="false">IF($B28="","",IFERROR(INDEX(정기주문설정!$C$3:$C$302,MATCH("R"&amp;23,주문생성!$M$6:$M$305,0)),""))</f>
        <v/>
      </c>
      <c r="D28" s="19" t="str">
        <f aca="false">IF($B28="","",IFERROR(INDEX(정기주문설정!$D$3:$D$302,MATCH("R"&amp;23,주문생성!$M$6:$M$305,0)),""))</f>
        <v/>
      </c>
      <c r="E28" s="19" t="str">
        <f aca="false">IF($B28="","",IFERROR(INDEX(정기주문설정!$E$3:$E$302,MATCH("R"&amp;23,주문생성!$M$6:$M$305,0)),""))</f>
        <v/>
      </c>
      <c r="F28" s="19" t="str">
        <f aca="false">IF($B28="","",IFERROR(INDEX(정기주문설정!$F$3:$F$302,MATCH("R"&amp;23,주문생성!$M$6:$M$305,0)),""))</f>
        <v/>
      </c>
      <c r="G28" s="20" t="str">
        <f aca="false">IF($B28="","",IFERROR(INDEX(정기주문설정!$G$3:$G$302,MATCH("R"&amp;23,주문생성!$M$6:$M$305,0)),""))</f>
        <v/>
      </c>
      <c r="H28" s="12" t="str">
        <f aca="false">IF($B28="","",IFERROR(INDEX(정기주문설정!$H$3:$H$302,MATCH("R"&amp;23,주문생성!$M$6:$M$305,0)),""))</f>
        <v/>
      </c>
      <c r="I28" s="12" t="str">
        <f aca="false">IF($B28="","",ROUND($G28*$H28,0))</f>
        <v/>
      </c>
      <c r="K28" s="21" t="b">
        <f aca="false">IF(정기주문설정!$B25="",FALSE(),IF(정기주문설정!$M25="중지",FALSE(),IF(정기주문설정!$L25&lt;&gt;"",IF($B$3&lt;정기주문설정!$L25,FALSE(),IF(정기주문설정!$I25="매일",TRUE(),IF(정기주문설정!$I25="매주",(WEEKDAY($B$3)=IFERROR(MATCH(정기주문설정!$J25,정기주문설정!$O$3:$O$9,0),0)),IF(정기주문설정!$I25="격주",AND((WEEKDAY($B$3)=IFERROR(MATCH(정기주문설정!$J25,정기주문설정!$O$3:$O$9,0),0)),MOD(INT(($B$3-정기주문설정!$L25)/7),2)=0),IF(정기주문설정!$I25="매월",DAY($B$3)=정기주문설정!$K25,FALSE()))))),IF(정기주문설정!$I25="매일",TRUE(),IF(정기주문설정!$I25="매주",(WEEKDAY($B$3)=IFERROR(MATCH(정기주문설정!$J25,정기주문설정!$O$3:$O$9,0),0)),IF(정기주문설정!$I25="매월",DAY($B$3)=정기주문설정!$K25,FALSE()))))))</f>
        <v>0</v>
      </c>
      <c r="L28" s="5" t="str">
        <f aca="false">IF($K28=FALSE(),"",COUNTIF($K$6:$K28,TRUE()))</f>
        <v/>
      </c>
      <c r="M28" s="5" t="str">
        <f aca="false">IF($L28="","","R"&amp;$L28)</f>
        <v/>
      </c>
    </row>
    <row r="29" customFormat="false" ht="15" hidden="false" customHeight="true" outlineLevel="0" collapsed="false">
      <c r="A29" s="18" t="str">
        <f aca="false">IF($C29="","",$B$3)</f>
        <v/>
      </c>
      <c r="B29" s="19" t="str">
        <f aca="false">IFERROR(INDEX(정기주문설정!$B$3:$B$302,MATCH("R"&amp;24,주문생성!$M$6:$M$305,0)),"")</f>
        <v/>
      </c>
      <c r="C29" s="19" t="str">
        <f aca="false">IF($B29="","",IFERROR(INDEX(정기주문설정!$C$3:$C$302,MATCH("R"&amp;24,주문생성!$M$6:$M$305,0)),""))</f>
        <v/>
      </c>
      <c r="D29" s="19" t="str">
        <f aca="false">IF($B29="","",IFERROR(INDEX(정기주문설정!$D$3:$D$302,MATCH("R"&amp;24,주문생성!$M$6:$M$305,0)),""))</f>
        <v/>
      </c>
      <c r="E29" s="19" t="str">
        <f aca="false">IF($B29="","",IFERROR(INDEX(정기주문설정!$E$3:$E$302,MATCH("R"&amp;24,주문생성!$M$6:$M$305,0)),""))</f>
        <v/>
      </c>
      <c r="F29" s="19" t="str">
        <f aca="false">IF($B29="","",IFERROR(INDEX(정기주문설정!$F$3:$F$302,MATCH("R"&amp;24,주문생성!$M$6:$M$305,0)),""))</f>
        <v/>
      </c>
      <c r="G29" s="20" t="str">
        <f aca="false">IF($B29="","",IFERROR(INDEX(정기주문설정!$G$3:$G$302,MATCH("R"&amp;24,주문생성!$M$6:$M$305,0)),""))</f>
        <v/>
      </c>
      <c r="H29" s="12" t="str">
        <f aca="false">IF($B29="","",IFERROR(INDEX(정기주문설정!$H$3:$H$302,MATCH("R"&amp;24,주문생성!$M$6:$M$305,0)),""))</f>
        <v/>
      </c>
      <c r="I29" s="12" t="str">
        <f aca="false">IF($B29="","",ROUND($G29*$H29,0))</f>
        <v/>
      </c>
      <c r="K29" s="21" t="b">
        <f aca="false">IF(정기주문설정!$B26="",FALSE(),IF(정기주문설정!$M26="중지",FALSE(),IF(정기주문설정!$L26&lt;&gt;"",IF($B$3&lt;정기주문설정!$L26,FALSE(),IF(정기주문설정!$I26="매일",TRUE(),IF(정기주문설정!$I26="매주",(WEEKDAY($B$3)=IFERROR(MATCH(정기주문설정!$J26,정기주문설정!$O$3:$O$9,0),0)),IF(정기주문설정!$I26="격주",AND((WEEKDAY($B$3)=IFERROR(MATCH(정기주문설정!$J26,정기주문설정!$O$3:$O$9,0),0)),MOD(INT(($B$3-정기주문설정!$L26)/7),2)=0),IF(정기주문설정!$I26="매월",DAY($B$3)=정기주문설정!$K26,FALSE()))))),IF(정기주문설정!$I26="매일",TRUE(),IF(정기주문설정!$I26="매주",(WEEKDAY($B$3)=IFERROR(MATCH(정기주문설정!$J26,정기주문설정!$O$3:$O$9,0),0)),IF(정기주문설정!$I26="매월",DAY($B$3)=정기주문설정!$K26,FALSE()))))))</f>
        <v>0</v>
      </c>
      <c r="L29" s="5" t="str">
        <f aca="false">IF($K29=FALSE(),"",COUNTIF($K$6:$K29,TRUE()))</f>
        <v/>
      </c>
      <c r="M29" s="5" t="str">
        <f aca="false">IF($L29="","","R"&amp;$L29)</f>
        <v/>
      </c>
    </row>
    <row r="30" customFormat="false" ht="15" hidden="false" customHeight="true" outlineLevel="0" collapsed="false">
      <c r="A30" s="18" t="str">
        <f aca="false">IF($C30="","",$B$3)</f>
        <v/>
      </c>
      <c r="B30" s="19" t="str">
        <f aca="false">IFERROR(INDEX(정기주문설정!$B$3:$B$302,MATCH("R"&amp;25,주문생성!$M$6:$M$305,0)),"")</f>
        <v/>
      </c>
      <c r="C30" s="19" t="str">
        <f aca="false">IF($B30="","",IFERROR(INDEX(정기주문설정!$C$3:$C$302,MATCH("R"&amp;25,주문생성!$M$6:$M$305,0)),""))</f>
        <v/>
      </c>
      <c r="D30" s="19" t="str">
        <f aca="false">IF($B30="","",IFERROR(INDEX(정기주문설정!$D$3:$D$302,MATCH("R"&amp;25,주문생성!$M$6:$M$305,0)),""))</f>
        <v/>
      </c>
      <c r="E30" s="19" t="str">
        <f aca="false">IF($B30="","",IFERROR(INDEX(정기주문설정!$E$3:$E$302,MATCH("R"&amp;25,주문생성!$M$6:$M$305,0)),""))</f>
        <v/>
      </c>
      <c r="F30" s="19" t="str">
        <f aca="false">IF($B30="","",IFERROR(INDEX(정기주문설정!$F$3:$F$302,MATCH("R"&amp;25,주문생성!$M$6:$M$305,0)),""))</f>
        <v/>
      </c>
      <c r="G30" s="20" t="str">
        <f aca="false">IF($B30="","",IFERROR(INDEX(정기주문설정!$G$3:$G$302,MATCH("R"&amp;25,주문생성!$M$6:$M$305,0)),""))</f>
        <v/>
      </c>
      <c r="H30" s="12" t="str">
        <f aca="false">IF($B30="","",IFERROR(INDEX(정기주문설정!$H$3:$H$302,MATCH("R"&amp;25,주문생성!$M$6:$M$305,0)),""))</f>
        <v/>
      </c>
      <c r="I30" s="12" t="str">
        <f aca="false">IF($B30="","",ROUND($G30*$H30,0))</f>
        <v/>
      </c>
      <c r="K30" s="21" t="b">
        <f aca="false">IF(정기주문설정!$B27="",FALSE(),IF(정기주문설정!$M27="중지",FALSE(),IF(정기주문설정!$L27&lt;&gt;"",IF($B$3&lt;정기주문설정!$L27,FALSE(),IF(정기주문설정!$I27="매일",TRUE(),IF(정기주문설정!$I27="매주",(WEEKDAY($B$3)=IFERROR(MATCH(정기주문설정!$J27,정기주문설정!$O$3:$O$9,0),0)),IF(정기주문설정!$I27="격주",AND((WEEKDAY($B$3)=IFERROR(MATCH(정기주문설정!$J27,정기주문설정!$O$3:$O$9,0),0)),MOD(INT(($B$3-정기주문설정!$L27)/7),2)=0),IF(정기주문설정!$I27="매월",DAY($B$3)=정기주문설정!$K27,FALSE()))))),IF(정기주문설정!$I27="매일",TRUE(),IF(정기주문설정!$I27="매주",(WEEKDAY($B$3)=IFERROR(MATCH(정기주문설정!$J27,정기주문설정!$O$3:$O$9,0),0)),IF(정기주문설정!$I27="매월",DAY($B$3)=정기주문설정!$K27,FALSE()))))))</f>
        <v>0</v>
      </c>
      <c r="L30" s="5" t="str">
        <f aca="false">IF($K30=FALSE(),"",COUNTIF($K$6:$K30,TRUE()))</f>
        <v/>
      </c>
      <c r="M30" s="5" t="str">
        <f aca="false">IF($L30="","","R"&amp;$L30)</f>
        <v/>
      </c>
    </row>
    <row r="31" customFormat="false" ht="15" hidden="false" customHeight="true" outlineLevel="0" collapsed="false">
      <c r="A31" s="18" t="str">
        <f aca="false">IF($C31="","",$B$3)</f>
        <v/>
      </c>
      <c r="B31" s="19" t="str">
        <f aca="false">IFERROR(INDEX(정기주문설정!$B$3:$B$302,MATCH("R"&amp;26,주문생성!$M$6:$M$305,0)),"")</f>
        <v/>
      </c>
      <c r="C31" s="19" t="str">
        <f aca="false">IF($B31="","",IFERROR(INDEX(정기주문설정!$C$3:$C$302,MATCH("R"&amp;26,주문생성!$M$6:$M$305,0)),""))</f>
        <v/>
      </c>
      <c r="D31" s="19" t="str">
        <f aca="false">IF($B31="","",IFERROR(INDEX(정기주문설정!$D$3:$D$302,MATCH("R"&amp;26,주문생성!$M$6:$M$305,0)),""))</f>
        <v/>
      </c>
      <c r="E31" s="19" t="str">
        <f aca="false">IF($B31="","",IFERROR(INDEX(정기주문설정!$E$3:$E$302,MATCH("R"&amp;26,주문생성!$M$6:$M$305,0)),""))</f>
        <v/>
      </c>
      <c r="F31" s="19" t="str">
        <f aca="false">IF($B31="","",IFERROR(INDEX(정기주문설정!$F$3:$F$302,MATCH("R"&amp;26,주문생성!$M$6:$M$305,0)),""))</f>
        <v/>
      </c>
      <c r="G31" s="20" t="str">
        <f aca="false">IF($B31="","",IFERROR(INDEX(정기주문설정!$G$3:$G$302,MATCH("R"&amp;26,주문생성!$M$6:$M$305,0)),""))</f>
        <v/>
      </c>
      <c r="H31" s="12" t="str">
        <f aca="false">IF($B31="","",IFERROR(INDEX(정기주문설정!$H$3:$H$302,MATCH("R"&amp;26,주문생성!$M$6:$M$305,0)),""))</f>
        <v/>
      </c>
      <c r="I31" s="12" t="str">
        <f aca="false">IF($B31="","",ROUND($G31*$H31,0))</f>
        <v/>
      </c>
      <c r="K31" s="21" t="b">
        <f aca="false">IF(정기주문설정!$B28="",FALSE(),IF(정기주문설정!$M28="중지",FALSE(),IF(정기주문설정!$L28&lt;&gt;"",IF($B$3&lt;정기주문설정!$L28,FALSE(),IF(정기주문설정!$I28="매일",TRUE(),IF(정기주문설정!$I28="매주",(WEEKDAY($B$3)=IFERROR(MATCH(정기주문설정!$J28,정기주문설정!$O$3:$O$9,0),0)),IF(정기주문설정!$I28="격주",AND((WEEKDAY($B$3)=IFERROR(MATCH(정기주문설정!$J28,정기주문설정!$O$3:$O$9,0),0)),MOD(INT(($B$3-정기주문설정!$L28)/7),2)=0),IF(정기주문설정!$I28="매월",DAY($B$3)=정기주문설정!$K28,FALSE()))))),IF(정기주문설정!$I28="매일",TRUE(),IF(정기주문설정!$I28="매주",(WEEKDAY($B$3)=IFERROR(MATCH(정기주문설정!$J28,정기주문설정!$O$3:$O$9,0),0)),IF(정기주문설정!$I28="매월",DAY($B$3)=정기주문설정!$K28,FALSE()))))))</f>
        <v>0</v>
      </c>
      <c r="L31" s="5" t="str">
        <f aca="false">IF($K31=FALSE(),"",COUNTIF($K$6:$K31,TRUE()))</f>
        <v/>
      </c>
      <c r="M31" s="5" t="str">
        <f aca="false">IF($L31="","","R"&amp;$L31)</f>
        <v/>
      </c>
    </row>
    <row r="32" customFormat="false" ht="15" hidden="false" customHeight="true" outlineLevel="0" collapsed="false">
      <c r="A32" s="18" t="str">
        <f aca="false">IF($C32="","",$B$3)</f>
        <v/>
      </c>
      <c r="B32" s="19" t="str">
        <f aca="false">IFERROR(INDEX(정기주문설정!$B$3:$B$302,MATCH("R"&amp;27,주문생성!$M$6:$M$305,0)),"")</f>
        <v/>
      </c>
      <c r="C32" s="19" t="str">
        <f aca="false">IF($B32="","",IFERROR(INDEX(정기주문설정!$C$3:$C$302,MATCH("R"&amp;27,주문생성!$M$6:$M$305,0)),""))</f>
        <v/>
      </c>
      <c r="D32" s="19" t="str">
        <f aca="false">IF($B32="","",IFERROR(INDEX(정기주문설정!$D$3:$D$302,MATCH("R"&amp;27,주문생성!$M$6:$M$305,0)),""))</f>
        <v/>
      </c>
      <c r="E32" s="19" t="str">
        <f aca="false">IF($B32="","",IFERROR(INDEX(정기주문설정!$E$3:$E$302,MATCH("R"&amp;27,주문생성!$M$6:$M$305,0)),""))</f>
        <v/>
      </c>
      <c r="F32" s="19" t="str">
        <f aca="false">IF($B32="","",IFERROR(INDEX(정기주문설정!$F$3:$F$302,MATCH("R"&amp;27,주문생성!$M$6:$M$305,0)),""))</f>
        <v/>
      </c>
      <c r="G32" s="20" t="str">
        <f aca="false">IF($B32="","",IFERROR(INDEX(정기주문설정!$G$3:$G$302,MATCH("R"&amp;27,주문생성!$M$6:$M$305,0)),""))</f>
        <v/>
      </c>
      <c r="H32" s="12" t="str">
        <f aca="false">IF($B32="","",IFERROR(INDEX(정기주문설정!$H$3:$H$302,MATCH("R"&amp;27,주문생성!$M$6:$M$305,0)),""))</f>
        <v/>
      </c>
      <c r="I32" s="12" t="str">
        <f aca="false">IF($B32="","",ROUND($G32*$H32,0))</f>
        <v/>
      </c>
      <c r="K32" s="21" t="b">
        <f aca="false">IF(정기주문설정!$B29="",FALSE(),IF(정기주문설정!$M29="중지",FALSE(),IF(정기주문설정!$L29&lt;&gt;"",IF($B$3&lt;정기주문설정!$L29,FALSE(),IF(정기주문설정!$I29="매일",TRUE(),IF(정기주문설정!$I29="매주",(WEEKDAY($B$3)=IFERROR(MATCH(정기주문설정!$J29,정기주문설정!$O$3:$O$9,0),0)),IF(정기주문설정!$I29="격주",AND((WEEKDAY($B$3)=IFERROR(MATCH(정기주문설정!$J29,정기주문설정!$O$3:$O$9,0),0)),MOD(INT(($B$3-정기주문설정!$L29)/7),2)=0),IF(정기주문설정!$I29="매월",DAY($B$3)=정기주문설정!$K29,FALSE()))))),IF(정기주문설정!$I29="매일",TRUE(),IF(정기주문설정!$I29="매주",(WEEKDAY($B$3)=IFERROR(MATCH(정기주문설정!$J29,정기주문설정!$O$3:$O$9,0),0)),IF(정기주문설정!$I29="매월",DAY($B$3)=정기주문설정!$K29,FALSE()))))))</f>
        <v>0</v>
      </c>
      <c r="L32" s="5" t="str">
        <f aca="false">IF($K32=FALSE(),"",COUNTIF($K$6:$K32,TRUE()))</f>
        <v/>
      </c>
      <c r="M32" s="5" t="str">
        <f aca="false">IF($L32="","","R"&amp;$L32)</f>
        <v/>
      </c>
    </row>
    <row r="33" customFormat="false" ht="15" hidden="false" customHeight="true" outlineLevel="0" collapsed="false">
      <c r="A33" s="18" t="str">
        <f aca="false">IF($C33="","",$B$3)</f>
        <v/>
      </c>
      <c r="B33" s="19" t="str">
        <f aca="false">IFERROR(INDEX(정기주문설정!$B$3:$B$302,MATCH("R"&amp;28,주문생성!$M$6:$M$305,0)),"")</f>
        <v/>
      </c>
      <c r="C33" s="19" t="str">
        <f aca="false">IF($B33="","",IFERROR(INDEX(정기주문설정!$C$3:$C$302,MATCH("R"&amp;28,주문생성!$M$6:$M$305,0)),""))</f>
        <v/>
      </c>
      <c r="D33" s="19" t="str">
        <f aca="false">IF($B33="","",IFERROR(INDEX(정기주문설정!$D$3:$D$302,MATCH("R"&amp;28,주문생성!$M$6:$M$305,0)),""))</f>
        <v/>
      </c>
      <c r="E33" s="19" t="str">
        <f aca="false">IF($B33="","",IFERROR(INDEX(정기주문설정!$E$3:$E$302,MATCH("R"&amp;28,주문생성!$M$6:$M$305,0)),""))</f>
        <v/>
      </c>
      <c r="F33" s="19" t="str">
        <f aca="false">IF($B33="","",IFERROR(INDEX(정기주문설정!$F$3:$F$302,MATCH("R"&amp;28,주문생성!$M$6:$M$305,0)),""))</f>
        <v/>
      </c>
      <c r="G33" s="20" t="str">
        <f aca="false">IF($B33="","",IFERROR(INDEX(정기주문설정!$G$3:$G$302,MATCH("R"&amp;28,주문생성!$M$6:$M$305,0)),""))</f>
        <v/>
      </c>
      <c r="H33" s="12" t="str">
        <f aca="false">IF($B33="","",IFERROR(INDEX(정기주문설정!$H$3:$H$302,MATCH("R"&amp;28,주문생성!$M$6:$M$305,0)),""))</f>
        <v/>
      </c>
      <c r="I33" s="12" t="str">
        <f aca="false">IF($B33="","",ROUND($G33*$H33,0))</f>
        <v/>
      </c>
      <c r="K33" s="21" t="b">
        <f aca="false">IF(정기주문설정!$B30="",FALSE(),IF(정기주문설정!$M30="중지",FALSE(),IF(정기주문설정!$L30&lt;&gt;"",IF($B$3&lt;정기주문설정!$L30,FALSE(),IF(정기주문설정!$I30="매일",TRUE(),IF(정기주문설정!$I30="매주",(WEEKDAY($B$3)=IFERROR(MATCH(정기주문설정!$J30,정기주문설정!$O$3:$O$9,0),0)),IF(정기주문설정!$I30="격주",AND((WEEKDAY($B$3)=IFERROR(MATCH(정기주문설정!$J30,정기주문설정!$O$3:$O$9,0),0)),MOD(INT(($B$3-정기주문설정!$L30)/7),2)=0),IF(정기주문설정!$I30="매월",DAY($B$3)=정기주문설정!$K30,FALSE()))))),IF(정기주문설정!$I30="매일",TRUE(),IF(정기주문설정!$I30="매주",(WEEKDAY($B$3)=IFERROR(MATCH(정기주문설정!$J30,정기주문설정!$O$3:$O$9,0),0)),IF(정기주문설정!$I30="매월",DAY($B$3)=정기주문설정!$K30,FALSE()))))))</f>
        <v>0</v>
      </c>
      <c r="L33" s="5" t="str">
        <f aca="false">IF($K33=FALSE(),"",COUNTIF($K$6:$K33,TRUE()))</f>
        <v/>
      </c>
      <c r="M33" s="5" t="str">
        <f aca="false">IF($L33="","","R"&amp;$L33)</f>
        <v/>
      </c>
    </row>
    <row r="34" customFormat="false" ht="15" hidden="false" customHeight="true" outlineLevel="0" collapsed="false">
      <c r="A34" s="18" t="str">
        <f aca="false">IF($C34="","",$B$3)</f>
        <v/>
      </c>
      <c r="B34" s="19" t="str">
        <f aca="false">IFERROR(INDEX(정기주문설정!$B$3:$B$302,MATCH("R"&amp;29,주문생성!$M$6:$M$305,0)),"")</f>
        <v/>
      </c>
      <c r="C34" s="19" t="str">
        <f aca="false">IF($B34="","",IFERROR(INDEX(정기주문설정!$C$3:$C$302,MATCH("R"&amp;29,주문생성!$M$6:$M$305,0)),""))</f>
        <v/>
      </c>
      <c r="D34" s="19" t="str">
        <f aca="false">IF($B34="","",IFERROR(INDEX(정기주문설정!$D$3:$D$302,MATCH("R"&amp;29,주문생성!$M$6:$M$305,0)),""))</f>
        <v/>
      </c>
      <c r="E34" s="19" t="str">
        <f aca="false">IF($B34="","",IFERROR(INDEX(정기주문설정!$E$3:$E$302,MATCH("R"&amp;29,주문생성!$M$6:$M$305,0)),""))</f>
        <v/>
      </c>
      <c r="F34" s="19" t="str">
        <f aca="false">IF($B34="","",IFERROR(INDEX(정기주문설정!$F$3:$F$302,MATCH("R"&amp;29,주문생성!$M$6:$M$305,0)),""))</f>
        <v/>
      </c>
      <c r="G34" s="20" t="str">
        <f aca="false">IF($B34="","",IFERROR(INDEX(정기주문설정!$G$3:$G$302,MATCH("R"&amp;29,주문생성!$M$6:$M$305,0)),""))</f>
        <v/>
      </c>
      <c r="H34" s="12" t="str">
        <f aca="false">IF($B34="","",IFERROR(INDEX(정기주문설정!$H$3:$H$302,MATCH("R"&amp;29,주문생성!$M$6:$M$305,0)),""))</f>
        <v/>
      </c>
      <c r="I34" s="12" t="str">
        <f aca="false">IF($B34="","",ROUND($G34*$H34,0))</f>
        <v/>
      </c>
      <c r="K34" s="21" t="b">
        <f aca="false">IF(정기주문설정!$B31="",FALSE(),IF(정기주문설정!$M31="중지",FALSE(),IF(정기주문설정!$L31&lt;&gt;"",IF($B$3&lt;정기주문설정!$L31,FALSE(),IF(정기주문설정!$I31="매일",TRUE(),IF(정기주문설정!$I31="매주",(WEEKDAY($B$3)=IFERROR(MATCH(정기주문설정!$J31,정기주문설정!$O$3:$O$9,0),0)),IF(정기주문설정!$I31="격주",AND((WEEKDAY($B$3)=IFERROR(MATCH(정기주문설정!$J31,정기주문설정!$O$3:$O$9,0),0)),MOD(INT(($B$3-정기주문설정!$L31)/7),2)=0),IF(정기주문설정!$I31="매월",DAY($B$3)=정기주문설정!$K31,FALSE()))))),IF(정기주문설정!$I31="매일",TRUE(),IF(정기주문설정!$I31="매주",(WEEKDAY($B$3)=IFERROR(MATCH(정기주문설정!$J31,정기주문설정!$O$3:$O$9,0),0)),IF(정기주문설정!$I31="매월",DAY($B$3)=정기주문설정!$K31,FALSE()))))))</f>
        <v>0</v>
      </c>
      <c r="L34" s="5" t="str">
        <f aca="false">IF($K34=FALSE(),"",COUNTIF($K$6:$K34,TRUE()))</f>
        <v/>
      </c>
      <c r="M34" s="5" t="str">
        <f aca="false">IF($L34="","","R"&amp;$L34)</f>
        <v/>
      </c>
    </row>
    <row r="35" customFormat="false" ht="15" hidden="false" customHeight="true" outlineLevel="0" collapsed="false">
      <c r="A35" s="18" t="str">
        <f aca="false">IF($C35="","",$B$3)</f>
        <v/>
      </c>
      <c r="B35" s="19" t="str">
        <f aca="false">IFERROR(INDEX(정기주문설정!$B$3:$B$302,MATCH("R"&amp;30,주문생성!$M$6:$M$305,0)),"")</f>
        <v/>
      </c>
      <c r="C35" s="19" t="str">
        <f aca="false">IF($B35="","",IFERROR(INDEX(정기주문설정!$C$3:$C$302,MATCH("R"&amp;30,주문생성!$M$6:$M$305,0)),""))</f>
        <v/>
      </c>
      <c r="D35" s="19" t="str">
        <f aca="false">IF($B35="","",IFERROR(INDEX(정기주문설정!$D$3:$D$302,MATCH("R"&amp;30,주문생성!$M$6:$M$305,0)),""))</f>
        <v/>
      </c>
      <c r="E35" s="19" t="str">
        <f aca="false">IF($B35="","",IFERROR(INDEX(정기주문설정!$E$3:$E$302,MATCH("R"&amp;30,주문생성!$M$6:$M$305,0)),""))</f>
        <v/>
      </c>
      <c r="F35" s="19" t="str">
        <f aca="false">IF($B35="","",IFERROR(INDEX(정기주문설정!$F$3:$F$302,MATCH("R"&amp;30,주문생성!$M$6:$M$305,0)),""))</f>
        <v/>
      </c>
      <c r="G35" s="20" t="str">
        <f aca="false">IF($B35="","",IFERROR(INDEX(정기주문설정!$G$3:$G$302,MATCH("R"&amp;30,주문생성!$M$6:$M$305,0)),""))</f>
        <v/>
      </c>
      <c r="H35" s="12" t="str">
        <f aca="false">IF($B35="","",IFERROR(INDEX(정기주문설정!$H$3:$H$302,MATCH("R"&amp;30,주문생성!$M$6:$M$305,0)),""))</f>
        <v/>
      </c>
      <c r="I35" s="12" t="str">
        <f aca="false">IF($B35="","",ROUND($G35*$H35,0))</f>
        <v/>
      </c>
      <c r="K35" s="21" t="b">
        <f aca="false">IF(정기주문설정!$B32="",FALSE(),IF(정기주문설정!$M32="중지",FALSE(),IF(정기주문설정!$L32&lt;&gt;"",IF($B$3&lt;정기주문설정!$L32,FALSE(),IF(정기주문설정!$I32="매일",TRUE(),IF(정기주문설정!$I32="매주",(WEEKDAY($B$3)=IFERROR(MATCH(정기주문설정!$J32,정기주문설정!$O$3:$O$9,0),0)),IF(정기주문설정!$I32="격주",AND((WEEKDAY($B$3)=IFERROR(MATCH(정기주문설정!$J32,정기주문설정!$O$3:$O$9,0),0)),MOD(INT(($B$3-정기주문설정!$L32)/7),2)=0),IF(정기주문설정!$I32="매월",DAY($B$3)=정기주문설정!$K32,FALSE()))))),IF(정기주문설정!$I32="매일",TRUE(),IF(정기주문설정!$I32="매주",(WEEKDAY($B$3)=IFERROR(MATCH(정기주문설정!$J32,정기주문설정!$O$3:$O$9,0),0)),IF(정기주문설정!$I32="매월",DAY($B$3)=정기주문설정!$K32,FALSE()))))))</f>
        <v>0</v>
      </c>
      <c r="L35" s="5" t="str">
        <f aca="false">IF($K35=FALSE(),"",COUNTIF($K$6:$K35,TRUE()))</f>
        <v/>
      </c>
      <c r="M35" s="5" t="str">
        <f aca="false">IF($L35="","","R"&amp;$L35)</f>
        <v/>
      </c>
    </row>
    <row r="36" customFormat="false" ht="15" hidden="false" customHeight="true" outlineLevel="0" collapsed="false">
      <c r="A36" s="18" t="str">
        <f aca="false">IF($C36="","",$B$3)</f>
        <v/>
      </c>
      <c r="B36" s="19" t="str">
        <f aca="false">IFERROR(INDEX(정기주문설정!$B$3:$B$302,MATCH("R"&amp;31,주문생성!$M$6:$M$305,0)),"")</f>
        <v/>
      </c>
      <c r="C36" s="19" t="str">
        <f aca="false">IF($B36="","",IFERROR(INDEX(정기주문설정!$C$3:$C$302,MATCH("R"&amp;31,주문생성!$M$6:$M$305,0)),""))</f>
        <v/>
      </c>
      <c r="D36" s="19" t="str">
        <f aca="false">IF($B36="","",IFERROR(INDEX(정기주문설정!$D$3:$D$302,MATCH("R"&amp;31,주문생성!$M$6:$M$305,0)),""))</f>
        <v/>
      </c>
      <c r="E36" s="19" t="str">
        <f aca="false">IF($B36="","",IFERROR(INDEX(정기주문설정!$E$3:$E$302,MATCH("R"&amp;31,주문생성!$M$6:$M$305,0)),""))</f>
        <v/>
      </c>
      <c r="F36" s="19" t="str">
        <f aca="false">IF($B36="","",IFERROR(INDEX(정기주문설정!$F$3:$F$302,MATCH("R"&amp;31,주문생성!$M$6:$M$305,0)),""))</f>
        <v/>
      </c>
      <c r="G36" s="20" t="str">
        <f aca="false">IF($B36="","",IFERROR(INDEX(정기주문설정!$G$3:$G$302,MATCH("R"&amp;31,주문생성!$M$6:$M$305,0)),""))</f>
        <v/>
      </c>
      <c r="H36" s="12" t="str">
        <f aca="false">IF($B36="","",IFERROR(INDEX(정기주문설정!$H$3:$H$302,MATCH("R"&amp;31,주문생성!$M$6:$M$305,0)),""))</f>
        <v/>
      </c>
      <c r="I36" s="12" t="str">
        <f aca="false">IF($B36="","",ROUND($G36*$H36,0))</f>
        <v/>
      </c>
      <c r="K36" s="21" t="b">
        <f aca="false">IF(정기주문설정!$B33="",FALSE(),IF(정기주문설정!$M33="중지",FALSE(),IF(정기주문설정!$L33&lt;&gt;"",IF($B$3&lt;정기주문설정!$L33,FALSE(),IF(정기주문설정!$I33="매일",TRUE(),IF(정기주문설정!$I33="매주",(WEEKDAY($B$3)=IFERROR(MATCH(정기주문설정!$J33,정기주문설정!$O$3:$O$9,0),0)),IF(정기주문설정!$I33="격주",AND((WEEKDAY($B$3)=IFERROR(MATCH(정기주문설정!$J33,정기주문설정!$O$3:$O$9,0),0)),MOD(INT(($B$3-정기주문설정!$L33)/7),2)=0),IF(정기주문설정!$I33="매월",DAY($B$3)=정기주문설정!$K33,FALSE()))))),IF(정기주문설정!$I33="매일",TRUE(),IF(정기주문설정!$I33="매주",(WEEKDAY($B$3)=IFERROR(MATCH(정기주문설정!$J33,정기주문설정!$O$3:$O$9,0),0)),IF(정기주문설정!$I33="매월",DAY($B$3)=정기주문설정!$K33,FALSE()))))))</f>
        <v>0</v>
      </c>
      <c r="L36" s="5" t="str">
        <f aca="false">IF($K36=FALSE(),"",COUNTIF($K$6:$K36,TRUE()))</f>
        <v/>
      </c>
      <c r="M36" s="5" t="str">
        <f aca="false">IF($L36="","","R"&amp;$L36)</f>
        <v/>
      </c>
    </row>
    <row r="37" customFormat="false" ht="15" hidden="false" customHeight="true" outlineLevel="0" collapsed="false">
      <c r="A37" s="18" t="str">
        <f aca="false">IF($C37="","",$B$3)</f>
        <v/>
      </c>
      <c r="B37" s="19" t="str">
        <f aca="false">IFERROR(INDEX(정기주문설정!$B$3:$B$302,MATCH("R"&amp;32,주문생성!$M$6:$M$305,0)),"")</f>
        <v/>
      </c>
      <c r="C37" s="19" t="str">
        <f aca="false">IF($B37="","",IFERROR(INDEX(정기주문설정!$C$3:$C$302,MATCH("R"&amp;32,주문생성!$M$6:$M$305,0)),""))</f>
        <v/>
      </c>
      <c r="D37" s="19" t="str">
        <f aca="false">IF($B37="","",IFERROR(INDEX(정기주문설정!$D$3:$D$302,MATCH("R"&amp;32,주문생성!$M$6:$M$305,0)),""))</f>
        <v/>
      </c>
      <c r="E37" s="19" t="str">
        <f aca="false">IF($B37="","",IFERROR(INDEX(정기주문설정!$E$3:$E$302,MATCH("R"&amp;32,주문생성!$M$6:$M$305,0)),""))</f>
        <v/>
      </c>
      <c r="F37" s="19" t="str">
        <f aca="false">IF($B37="","",IFERROR(INDEX(정기주문설정!$F$3:$F$302,MATCH("R"&amp;32,주문생성!$M$6:$M$305,0)),""))</f>
        <v/>
      </c>
      <c r="G37" s="20" t="str">
        <f aca="false">IF($B37="","",IFERROR(INDEX(정기주문설정!$G$3:$G$302,MATCH("R"&amp;32,주문생성!$M$6:$M$305,0)),""))</f>
        <v/>
      </c>
      <c r="H37" s="12" t="str">
        <f aca="false">IF($B37="","",IFERROR(INDEX(정기주문설정!$H$3:$H$302,MATCH("R"&amp;32,주문생성!$M$6:$M$305,0)),""))</f>
        <v/>
      </c>
      <c r="I37" s="12" t="str">
        <f aca="false">IF($B37="","",ROUND($G37*$H37,0))</f>
        <v/>
      </c>
      <c r="K37" s="21" t="b">
        <f aca="false">IF(정기주문설정!$B34="",FALSE(),IF(정기주문설정!$M34="중지",FALSE(),IF(정기주문설정!$L34&lt;&gt;"",IF($B$3&lt;정기주문설정!$L34,FALSE(),IF(정기주문설정!$I34="매일",TRUE(),IF(정기주문설정!$I34="매주",(WEEKDAY($B$3)=IFERROR(MATCH(정기주문설정!$J34,정기주문설정!$O$3:$O$9,0),0)),IF(정기주문설정!$I34="격주",AND((WEEKDAY($B$3)=IFERROR(MATCH(정기주문설정!$J34,정기주문설정!$O$3:$O$9,0),0)),MOD(INT(($B$3-정기주문설정!$L34)/7),2)=0),IF(정기주문설정!$I34="매월",DAY($B$3)=정기주문설정!$K34,FALSE()))))),IF(정기주문설정!$I34="매일",TRUE(),IF(정기주문설정!$I34="매주",(WEEKDAY($B$3)=IFERROR(MATCH(정기주문설정!$J34,정기주문설정!$O$3:$O$9,0),0)),IF(정기주문설정!$I34="매월",DAY($B$3)=정기주문설정!$K34,FALSE()))))))</f>
        <v>0</v>
      </c>
      <c r="L37" s="5" t="str">
        <f aca="false">IF($K37=FALSE(),"",COUNTIF($K$6:$K37,TRUE()))</f>
        <v/>
      </c>
      <c r="M37" s="5" t="str">
        <f aca="false">IF($L37="","","R"&amp;$L37)</f>
        <v/>
      </c>
    </row>
    <row r="38" customFormat="false" ht="15" hidden="false" customHeight="true" outlineLevel="0" collapsed="false">
      <c r="A38" s="18" t="str">
        <f aca="false">IF($C38="","",$B$3)</f>
        <v/>
      </c>
      <c r="B38" s="19" t="str">
        <f aca="false">IFERROR(INDEX(정기주문설정!$B$3:$B$302,MATCH("R"&amp;33,주문생성!$M$6:$M$305,0)),"")</f>
        <v/>
      </c>
      <c r="C38" s="19" t="str">
        <f aca="false">IF($B38="","",IFERROR(INDEX(정기주문설정!$C$3:$C$302,MATCH("R"&amp;33,주문생성!$M$6:$M$305,0)),""))</f>
        <v/>
      </c>
      <c r="D38" s="19" t="str">
        <f aca="false">IF($B38="","",IFERROR(INDEX(정기주문설정!$D$3:$D$302,MATCH("R"&amp;33,주문생성!$M$6:$M$305,0)),""))</f>
        <v/>
      </c>
      <c r="E38" s="19" t="str">
        <f aca="false">IF($B38="","",IFERROR(INDEX(정기주문설정!$E$3:$E$302,MATCH("R"&amp;33,주문생성!$M$6:$M$305,0)),""))</f>
        <v/>
      </c>
      <c r="F38" s="19" t="str">
        <f aca="false">IF($B38="","",IFERROR(INDEX(정기주문설정!$F$3:$F$302,MATCH("R"&amp;33,주문생성!$M$6:$M$305,0)),""))</f>
        <v/>
      </c>
      <c r="G38" s="20" t="str">
        <f aca="false">IF($B38="","",IFERROR(INDEX(정기주문설정!$G$3:$G$302,MATCH("R"&amp;33,주문생성!$M$6:$M$305,0)),""))</f>
        <v/>
      </c>
      <c r="H38" s="12" t="str">
        <f aca="false">IF($B38="","",IFERROR(INDEX(정기주문설정!$H$3:$H$302,MATCH("R"&amp;33,주문생성!$M$6:$M$305,0)),""))</f>
        <v/>
      </c>
      <c r="I38" s="12" t="str">
        <f aca="false">IF($B38="","",ROUND($G38*$H38,0))</f>
        <v/>
      </c>
      <c r="K38" s="21" t="b">
        <f aca="false">IF(정기주문설정!$B35="",FALSE(),IF(정기주문설정!$M35="중지",FALSE(),IF(정기주문설정!$L35&lt;&gt;"",IF($B$3&lt;정기주문설정!$L35,FALSE(),IF(정기주문설정!$I35="매일",TRUE(),IF(정기주문설정!$I35="매주",(WEEKDAY($B$3)=IFERROR(MATCH(정기주문설정!$J35,정기주문설정!$O$3:$O$9,0),0)),IF(정기주문설정!$I35="격주",AND((WEEKDAY($B$3)=IFERROR(MATCH(정기주문설정!$J35,정기주문설정!$O$3:$O$9,0),0)),MOD(INT(($B$3-정기주문설정!$L35)/7),2)=0),IF(정기주문설정!$I35="매월",DAY($B$3)=정기주문설정!$K35,FALSE()))))),IF(정기주문설정!$I35="매일",TRUE(),IF(정기주문설정!$I35="매주",(WEEKDAY($B$3)=IFERROR(MATCH(정기주문설정!$J35,정기주문설정!$O$3:$O$9,0),0)),IF(정기주문설정!$I35="매월",DAY($B$3)=정기주문설정!$K35,FALSE()))))))</f>
        <v>0</v>
      </c>
      <c r="L38" s="5" t="str">
        <f aca="false">IF($K38=FALSE(),"",COUNTIF($K$6:$K38,TRUE()))</f>
        <v/>
      </c>
      <c r="M38" s="5" t="str">
        <f aca="false">IF($L38="","","R"&amp;$L38)</f>
        <v/>
      </c>
    </row>
    <row r="39" customFormat="false" ht="15" hidden="false" customHeight="true" outlineLevel="0" collapsed="false">
      <c r="A39" s="18" t="str">
        <f aca="false">IF($C39="","",$B$3)</f>
        <v/>
      </c>
      <c r="B39" s="19" t="str">
        <f aca="false">IFERROR(INDEX(정기주문설정!$B$3:$B$302,MATCH("R"&amp;34,주문생성!$M$6:$M$305,0)),"")</f>
        <v/>
      </c>
      <c r="C39" s="19" t="str">
        <f aca="false">IF($B39="","",IFERROR(INDEX(정기주문설정!$C$3:$C$302,MATCH("R"&amp;34,주문생성!$M$6:$M$305,0)),""))</f>
        <v/>
      </c>
      <c r="D39" s="19" t="str">
        <f aca="false">IF($B39="","",IFERROR(INDEX(정기주문설정!$D$3:$D$302,MATCH("R"&amp;34,주문생성!$M$6:$M$305,0)),""))</f>
        <v/>
      </c>
      <c r="E39" s="19" t="str">
        <f aca="false">IF($B39="","",IFERROR(INDEX(정기주문설정!$E$3:$E$302,MATCH("R"&amp;34,주문생성!$M$6:$M$305,0)),""))</f>
        <v/>
      </c>
      <c r="F39" s="19" t="str">
        <f aca="false">IF($B39="","",IFERROR(INDEX(정기주문설정!$F$3:$F$302,MATCH("R"&amp;34,주문생성!$M$6:$M$305,0)),""))</f>
        <v/>
      </c>
      <c r="G39" s="20" t="str">
        <f aca="false">IF($B39="","",IFERROR(INDEX(정기주문설정!$G$3:$G$302,MATCH("R"&amp;34,주문생성!$M$6:$M$305,0)),""))</f>
        <v/>
      </c>
      <c r="H39" s="12" t="str">
        <f aca="false">IF($B39="","",IFERROR(INDEX(정기주문설정!$H$3:$H$302,MATCH("R"&amp;34,주문생성!$M$6:$M$305,0)),""))</f>
        <v/>
      </c>
      <c r="I39" s="12" t="str">
        <f aca="false">IF($B39="","",ROUND($G39*$H39,0))</f>
        <v/>
      </c>
      <c r="K39" s="21" t="b">
        <f aca="false">IF(정기주문설정!$B36="",FALSE(),IF(정기주문설정!$M36="중지",FALSE(),IF(정기주문설정!$L36&lt;&gt;"",IF($B$3&lt;정기주문설정!$L36,FALSE(),IF(정기주문설정!$I36="매일",TRUE(),IF(정기주문설정!$I36="매주",(WEEKDAY($B$3)=IFERROR(MATCH(정기주문설정!$J36,정기주문설정!$O$3:$O$9,0),0)),IF(정기주문설정!$I36="격주",AND((WEEKDAY($B$3)=IFERROR(MATCH(정기주문설정!$J36,정기주문설정!$O$3:$O$9,0),0)),MOD(INT(($B$3-정기주문설정!$L36)/7),2)=0),IF(정기주문설정!$I36="매월",DAY($B$3)=정기주문설정!$K36,FALSE()))))),IF(정기주문설정!$I36="매일",TRUE(),IF(정기주문설정!$I36="매주",(WEEKDAY($B$3)=IFERROR(MATCH(정기주문설정!$J36,정기주문설정!$O$3:$O$9,0),0)),IF(정기주문설정!$I36="매월",DAY($B$3)=정기주문설정!$K36,FALSE()))))))</f>
        <v>0</v>
      </c>
      <c r="L39" s="5" t="str">
        <f aca="false">IF($K39=FALSE(),"",COUNTIF($K$6:$K39,TRUE()))</f>
        <v/>
      </c>
      <c r="M39" s="5" t="str">
        <f aca="false">IF($L39="","","R"&amp;$L39)</f>
        <v/>
      </c>
    </row>
    <row r="40" customFormat="false" ht="15" hidden="false" customHeight="true" outlineLevel="0" collapsed="false">
      <c r="A40" s="18" t="str">
        <f aca="false">IF($C40="","",$B$3)</f>
        <v/>
      </c>
      <c r="B40" s="19" t="str">
        <f aca="false">IFERROR(INDEX(정기주문설정!$B$3:$B$302,MATCH("R"&amp;35,주문생성!$M$6:$M$305,0)),"")</f>
        <v/>
      </c>
      <c r="C40" s="19" t="str">
        <f aca="false">IF($B40="","",IFERROR(INDEX(정기주문설정!$C$3:$C$302,MATCH("R"&amp;35,주문생성!$M$6:$M$305,0)),""))</f>
        <v/>
      </c>
      <c r="D40" s="19" t="str">
        <f aca="false">IF($B40="","",IFERROR(INDEX(정기주문설정!$D$3:$D$302,MATCH("R"&amp;35,주문생성!$M$6:$M$305,0)),""))</f>
        <v/>
      </c>
      <c r="E40" s="19" t="str">
        <f aca="false">IF($B40="","",IFERROR(INDEX(정기주문설정!$E$3:$E$302,MATCH("R"&amp;35,주문생성!$M$6:$M$305,0)),""))</f>
        <v/>
      </c>
      <c r="F40" s="19" t="str">
        <f aca="false">IF($B40="","",IFERROR(INDEX(정기주문설정!$F$3:$F$302,MATCH("R"&amp;35,주문생성!$M$6:$M$305,0)),""))</f>
        <v/>
      </c>
      <c r="G40" s="20" t="str">
        <f aca="false">IF($B40="","",IFERROR(INDEX(정기주문설정!$G$3:$G$302,MATCH("R"&amp;35,주문생성!$M$6:$M$305,0)),""))</f>
        <v/>
      </c>
      <c r="H40" s="12" t="str">
        <f aca="false">IF($B40="","",IFERROR(INDEX(정기주문설정!$H$3:$H$302,MATCH("R"&amp;35,주문생성!$M$6:$M$305,0)),""))</f>
        <v/>
      </c>
      <c r="I40" s="12" t="str">
        <f aca="false">IF($B40="","",ROUND($G40*$H40,0))</f>
        <v/>
      </c>
      <c r="K40" s="21" t="b">
        <f aca="false">IF(정기주문설정!$B37="",FALSE(),IF(정기주문설정!$M37="중지",FALSE(),IF(정기주문설정!$L37&lt;&gt;"",IF($B$3&lt;정기주문설정!$L37,FALSE(),IF(정기주문설정!$I37="매일",TRUE(),IF(정기주문설정!$I37="매주",(WEEKDAY($B$3)=IFERROR(MATCH(정기주문설정!$J37,정기주문설정!$O$3:$O$9,0),0)),IF(정기주문설정!$I37="격주",AND((WEEKDAY($B$3)=IFERROR(MATCH(정기주문설정!$J37,정기주문설정!$O$3:$O$9,0),0)),MOD(INT(($B$3-정기주문설정!$L37)/7),2)=0),IF(정기주문설정!$I37="매월",DAY($B$3)=정기주문설정!$K37,FALSE()))))),IF(정기주문설정!$I37="매일",TRUE(),IF(정기주문설정!$I37="매주",(WEEKDAY($B$3)=IFERROR(MATCH(정기주문설정!$J37,정기주문설정!$O$3:$O$9,0),0)),IF(정기주문설정!$I37="매월",DAY($B$3)=정기주문설정!$K37,FALSE()))))))</f>
        <v>0</v>
      </c>
      <c r="L40" s="5" t="str">
        <f aca="false">IF($K40=FALSE(),"",COUNTIF($K$6:$K40,TRUE()))</f>
        <v/>
      </c>
      <c r="M40" s="5" t="str">
        <f aca="false">IF($L40="","","R"&amp;$L40)</f>
        <v/>
      </c>
    </row>
    <row r="41" customFormat="false" ht="15" hidden="false" customHeight="true" outlineLevel="0" collapsed="false">
      <c r="A41" s="18" t="str">
        <f aca="false">IF($C41="","",$B$3)</f>
        <v/>
      </c>
      <c r="B41" s="19" t="str">
        <f aca="false">IFERROR(INDEX(정기주문설정!$B$3:$B$302,MATCH("R"&amp;36,주문생성!$M$6:$M$305,0)),"")</f>
        <v/>
      </c>
      <c r="C41" s="19" t="str">
        <f aca="false">IF($B41="","",IFERROR(INDEX(정기주문설정!$C$3:$C$302,MATCH("R"&amp;36,주문생성!$M$6:$M$305,0)),""))</f>
        <v/>
      </c>
      <c r="D41" s="19" t="str">
        <f aca="false">IF($B41="","",IFERROR(INDEX(정기주문설정!$D$3:$D$302,MATCH("R"&amp;36,주문생성!$M$6:$M$305,0)),""))</f>
        <v/>
      </c>
      <c r="E41" s="19" t="str">
        <f aca="false">IF($B41="","",IFERROR(INDEX(정기주문설정!$E$3:$E$302,MATCH("R"&amp;36,주문생성!$M$6:$M$305,0)),""))</f>
        <v/>
      </c>
      <c r="F41" s="19" t="str">
        <f aca="false">IF($B41="","",IFERROR(INDEX(정기주문설정!$F$3:$F$302,MATCH("R"&amp;36,주문생성!$M$6:$M$305,0)),""))</f>
        <v/>
      </c>
      <c r="G41" s="20" t="str">
        <f aca="false">IF($B41="","",IFERROR(INDEX(정기주문설정!$G$3:$G$302,MATCH("R"&amp;36,주문생성!$M$6:$M$305,0)),""))</f>
        <v/>
      </c>
      <c r="H41" s="12" t="str">
        <f aca="false">IF($B41="","",IFERROR(INDEX(정기주문설정!$H$3:$H$302,MATCH("R"&amp;36,주문생성!$M$6:$M$305,0)),""))</f>
        <v/>
      </c>
      <c r="I41" s="12" t="str">
        <f aca="false">IF($B41="","",ROUND($G41*$H41,0))</f>
        <v/>
      </c>
      <c r="K41" s="21" t="b">
        <f aca="false">IF(정기주문설정!$B38="",FALSE(),IF(정기주문설정!$M38="중지",FALSE(),IF(정기주문설정!$L38&lt;&gt;"",IF($B$3&lt;정기주문설정!$L38,FALSE(),IF(정기주문설정!$I38="매일",TRUE(),IF(정기주문설정!$I38="매주",(WEEKDAY($B$3)=IFERROR(MATCH(정기주문설정!$J38,정기주문설정!$O$3:$O$9,0),0)),IF(정기주문설정!$I38="격주",AND((WEEKDAY($B$3)=IFERROR(MATCH(정기주문설정!$J38,정기주문설정!$O$3:$O$9,0),0)),MOD(INT(($B$3-정기주문설정!$L38)/7),2)=0),IF(정기주문설정!$I38="매월",DAY($B$3)=정기주문설정!$K38,FALSE()))))),IF(정기주문설정!$I38="매일",TRUE(),IF(정기주문설정!$I38="매주",(WEEKDAY($B$3)=IFERROR(MATCH(정기주문설정!$J38,정기주문설정!$O$3:$O$9,0),0)),IF(정기주문설정!$I38="매월",DAY($B$3)=정기주문설정!$K38,FALSE()))))))</f>
        <v>0</v>
      </c>
      <c r="L41" s="5" t="str">
        <f aca="false">IF($K41=FALSE(),"",COUNTIF($K$6:$K41,TRUE()))</f>
        <v/>
      </c>
      <c r="M41" s="5" t="str">
        <f aca="false">IF($L41="","","R"&amp;$L41)</f>
        <v/>
      </c>
    </row>
    <row r="42" customFormat="false" ht="15" hidden="false" customHeight="true" outlineLevel="0" collapsed="false">
      <c r="A42" s="18" t="str">
        <f aca="false">IF($C42="","",$B$3)</f>
        <v/>
      </c>
      <c r="B42" s="19" t="str">
        <f aca="false">IFERROR(INDEX(정기주문설정!$B$3:$B$302,MATCH("R"&amp;37,주문생성!$M$6:$M$305,0)),"")</f>
        <v/>
      </c>
      <c r="C42" s="19" t="str">
        <f aca="false">IF($B42="","",IFERROR(INDEX(정기주문설정!$C$3:$C$302,MATCH("R"&amp;37,주문생성!$M$6:$M$305,0)),""))</f>
        <v/>
      </c>
      <c r="D42" s="19" t="str">
        <f aca="false">IF($B42="","",IFERROR(INDEX(정기주문설정!$D$3:$D$302,MATCH("R"&amp;37,주문생성!$M$6:$M$305,0)),""))</f>
        <v/>
      </c>
      <c r="E42" s="19" t="str">
        <f aca="false">IF($B42="","",IFERROR(INDEX(정기주문설정!$E$3:$E$302,MATCH("R"&amp;37,주문생성!$M$6:$M$305,0)),""))</f>
        <v/>
      </c>
      <c r="F42" s="19" t="str">
        <f aca="false">IF($B42="","",IFERROR(INDEX(정기주문설정!$F$3:$F$302,MATCH("R"&amp;37,주문생성!$M$6:$M$305,0)),""))</f>
        <v/>
      </c>
      <c r="G42" s="20" t="str">
        <f aca="false">IF($B42="","",IFERROR(INDEX(정기주문설정!$G$3:$G$302,MATCH("R"&amp;37,주문생성!$M$6:$M$305,0)),""))</f>
        <v/>
      </c>
      <c r="H42" s="12" t="str">
        <f aca="false">IF($B42="","",IFERROR(INDEX(정기주문설정!$H$3:$H$302,MATCH("R"&amp;37,주문생성!$M$6:$M$305,0)),""))</f>
        <v/>
      </c>
      <c r="I42" s="12" t="str">
        <f aca="false">IF($B42="","",ROUND($G42*$H42,0))</f>
        <v/>
      </c>
      <c r="K42" s="21" t="b">
        <f aca="false">IF(정기주문설정!$B39="",FALSE(),IF(정기주문설정!$M39="중지",FALSE(),IF(정기주문설정!$L39&lt;&gt;"",IF($B$3&lt;정기주문설정!$L39,FALSE(),IF(정기주문설정!$I39="매일",TRUE(),IF(정기주문설정!$I39="매주",(WEEKDAY($B$3)=IFERROR(MATCH(정기주문설정!$J39,정기주문설정!$O$3:$O$9,0),0)),IF(정기주문설정!$I39="격주",AND((WEEKDAY($B$3)=IFERROR(MATCH(정기주문설정!$J39,정기주문설정!$O$3:$O$9,0),0)),MOD(INT(($B$3-정기주문설정!$L39)/7),2)=0),IF(정기주문설정!$I39="매월",DAY($B$3)=정기주문설정!$K39,FALSE()))))),IF(정기주문설정!$I39="매일",TRUE(),IF(정기주문설정!$I39="매주",(WEEKDAY($B$3)=IFERROR(MATCH(정기주문설정!$J39,정기주문설정!$O$3:$O$9,0),0)),IF(정기주문설정!$I39="매월",DAY($B$3)=정기주문설정!$K39,FALSE()))))))</f>
        <v>0</v>
      </c>
      <c r="L42" s="5" t="str">
        <f aca="false">IF($K42=FALSE(),"",COUNTIF($K$6:$K42,TRUE()))</f>
        <v/>
      </c>
      <c r="M42" s="5" t="str">
        <f aca="false">IF($L42="","","R"&amp;$L42)</f>
        <v/>
      </c>
    </row>
    <row r="43" customFormat="false" ht="15" hidden="false" customHeight="true" outlineLevel="0" collapsed="false">
      <c r="A43" s="18" t="str">
        <f aca="false">IF($C43="","",$B$3)</f>
        <v/>
      </c>
      <c r="B43" s="19" t="str">
        <f aca="false">IFERROR(INDEX(정기주문설정!$B$3:$B$302,MATCH("R"&amp;38,주문생성!$M$6:$M$305,0)),"")</f>
        <v/>
      </c>
      <c r="C43" s="19" t="str">
        <f aca="false">IF($B43="","",IFERROR(INDEX(정기주문설정!$C$3:$C$302,MATCH("R"&amp;38,주문생성!$M$6:$M$305,0)),""))</f>
        <v/>
      </c>
      <c r="D43" s="19" t="str">
        <f aca="false">IF($B43="","",IFERROR(INDEX(정기주문설정!$D$3:$D$302,MATCH("R"&amp;38,주문생성!$M$6:$M$305,0)),""))</f>
        <v/>
      </c>
      <c r="E43" s="19" t="str">
        <f aca="false">IF($B43="","",IFERROR(INDEX(정기주문설정!$E$3:$E$302,MATCH("R"&amp;38,주문생성!$M$6:$M$305,0)),""))</f>
        <v/>
      </c>
      <c r="F43" s="19" t="str">
        <f aca="false">IF($B43="","",IFERROR(INDEX(정기주문설정!$F$3:$F$302,MATCH("R"&amp;38,주문생성!$M$6:$M$305,0)),""))</f>
        <v/>
      </c>
      <c r="G43" s="20" t="str">
        <f aca="false">IF($B43="","",IFERROR(INDEX(정기주문설정!$G$3:$G$302,MATCH("R"&amp;38,주문생성!$M$6:$M$305,0)),""))</f>
        <v/>
      </c>
      <c r="H43" s="12" t="str">
        <f aca="false">IF($B43="","",IFERROR(INDEX(정기주문설정!$H$3:$H$302,MATCH("R"&amp;38,주문생성!$M$6:$M$305,0)),""))</f>
        <v/>
      </c>
      <c r="I43" s="12" t="str">
        <f aca="false">IF($B43="","",ROUND($G43*$H43,0))</f>
        <v/>
      </c>
      <c r="K43" s="21" t="b">
        <f aca="false">IF(정기주문설정!$B40="",FALSE(),IF(정기주문설정!$M40="중지",FALSE(),IF(정기주문설정!$L40&lt;&gt;"",IF($B$3&lt;정기주문설정!$L40,FALSE(),IF(정기주문설정!$I40="매일",TRUE(),IF(정기주문설정!$I40="매주",(WEEKDAY($B$3)=IFERROR(MATCH(정기주문설정!$J40,정기주문설정!$O$3:$O$9,0),0)),IF(정기주문설정!$I40="격주",AND((WEEKDAY($B$3)=IFERROR(MATCH(정기주문설정!$J40,정기주문설정!$O$3:$O$9,0),0)),MOD(INT(($B$3-정기주문설정!$L40)/7),2)=0),IF(정기주문설정!$I40="매월",DAY($B$3)=정기주문설정!$K40,FALSE()))))),IF(정기주문설정!$I40="매일",TRUE(),IF(정기주문설정!$I40="매주",(WEEKDAY($B$3)=IFERROR(MATCH(정기주문설정!$J40,정기주문설정!$O$3:$O$9,0),0)),IF(정기주문설정!$I40="매월",DAY($B$3)=정기주문설정!$K40,FALSE()))))))</f>
        <v>0</v>
      </c>
      <c r="L43" s="5" t="str">
        <f aca="false">IF($K43=FALSE(),"",COUNTIF($K$6:$K43,TRUE()))</f>
        <v/>
      </c>
      <c r="M43" s="5" t="str">
        <f aca="false">IF($L43="","","R"&amp;$L43)</f>
        <v/>
      </c>
    </row>
    <row r="44" customFormat="false" ht="15" hidden="false" customHeight="true" outlineLevel="0" collapsed="false">
      <c r="A44" s="18" t="str">
        <f aca="false">IF($C44="","",$B$3)</f>
        <v/>
      </c>
      <c r="B44" s="19" t="str">
        <f aca="false">IFERROR(INDEX(정기주문설정!$B$3:$B$302,MATCH("R"&amp;39,주문생성!$M$6:$M$305,0)),"")</f>
        <v/>
      </c>
      <c r="C44" s="19" t="str">
        <f aca="false">IF($B44="","",IFERROR(INDEX(정기주문설정!$C$3:$C$302,MATCH("R"&amp;39,주문생성!$M$6:$M$305,0)),""))</f>
        <v/>
      </c>
      <c r="D44" s="19" t="str">
        <f aca="false">IF($B44="","",IFERROR(INDEX(정기주문설정!$D$3:$D$302,MATCH("R"&amp;39,주문생성!$M$6:$M$305,0)),""))</f>
        <v/>
      </c>
      <c r="E44" s="19" t="str">
        <f aca="false">IF($B44="","",IFERROR(INDEX(정기주문설정!$E$3:$E$302,MATCH("R"&amp;39,주문생성!$M$6:$M$305,0)),""))</f>
        <v/>
      </c>
      <c r="F44" s="19" t="str">
        <f aca="false">IF($B44="","",IFERROR(INDEX(정기주문설정!$F$3:$F$302,MATCH("R"&amp;39,주문생성!$M$6:$M$305,0)),""))</f>
        <v/>
      </c>
      <c r="G44" s="20" t="str">
        <f aca="false">IF($B44="","",IFERROR(INDEX(정기주문설정!$G$3:$G$302,MATCH("R"&amp;39,주문생성!$M$6:$M$305,0)),""))</f>
        <v/>
      </c>
      <c r="H44" s="12" t="str">
        <f aca="false">IF($B44="","",IFERROR(INDEX(정기주문설정!$H$3:$H$302,MATCH("R"&amp;39,주문생성!$M$6:$M$305,0)),""))</f>
        <v/>
      </c>
      <c r="I44" s="12" t="str">
        <f aca="false">IF($B44="","",ROUND($G44*$H44,0))</f>
        <v/>
      </c>
      <c r="K44" s="21" t="b">
        <f aca="false">IF(정기주문설정!$B41="",FALSE(),IF(정기주문설정!$M41="중지",FALSE(),IF(정기주문설정!$L41&lt;&gt;"",IF($B$3&lt;정기주문설정!$L41,FALSE(),IF(정기주문설정!$I41="매일",TRUE(),IF(정기주문설정!$I41="매주",(WEEKDAY($B$3)=IFERROR(MATCH(정기주문설정!$J41,정기주문설정!$O$3:$O$9,0),0)),IF(정기주문설정!$I41="격주",AND((WEEKDAY($B$3)=IFERROR(MATCH(정기주문설정!$J41,정기주문설정!$O$3:$O$9,0),0)),MOD(INT(($B$3-정기주문설정!$L41)/7),2)=0),IF(정기주문설정!$I41="매월",DAY($B$3)=정기주문설정!$K41,FALSE()))))),IF(정기주문설정!$I41="매일",TRUE(),IF(정기주문설정!$I41="매주",(WEEKDAY($B$3)=IFERROR(MATCH(정기주문설정!$J41,정기주문설정!$O$3:$O$9,0),0)),IF(정기주문설정!$I41="매월",DAY($B$3)=정기주문설정!$K41,FALSE()))))))</f>
        <v>0</v>
      </c>
      <c r="L44" s="5" t="str">
        <f aca="false">IF($K44=FALSE(),"",COUNTIF($K$6:$K44,TRUE()))</f>
        <v/>
      </c>
      <c r="M44" s="5" t="str">
        <f aca="false">IF($L44="","","R"&amp;$L44)</f>
        <v/>
      </c>
    </row>
    <row r="45" customFormat="false" ht="15" hidden="false" customHeight="true" outlineLevel="0" collapsed="false">
      <c r="A45" s="18" t="str">
        <f aca="false">IF($C45="","",$B$3)</f>
        <v/>
      </c>
      <c r="B45" s="19" t="str">
        <f aca="false">IFERROR(INDEX(정기주문설정!$B$3:$B$302,MATCH("R"&amp;40,주문생성!$M$6:$M$305,0)),"")</f>
        <v/>
      </c>
      <c r="C45" s="19" t="str">
        <f aca="false">IF($B45="","",IFERROR(INDEX(정기주문설정!$C$3:$C$302,MATCH("R"&amp;40,주문생성!$M$6:$M$305,0)),""))</f>
        <v/>
      </c>
      <c r="D45" s="19" t="str">
        <f aca="false">IF($B45="","",IFERROR(INDEX(정기주문설정!$D$3:$D$302,MATCH("R"&amp;40,주문생성!$M$6:$M$305,0)),""))</f>
        <v/>
      </c>
      <c r="E45" s="19" t="str">
        <f aca="false">IF($B45="","",IFERROR(INDEX(정기주문설정!$E$3:$E$302,MATCH("R"&amp;40,주문생성!$M$6:$M$305,0)),""))</f>
        <v/>
      </c>
      <c r="F45" s="19" t="str">
        <f aca="false">IF($B45="","",IFERROR(INDEX(정기주문설정!$F$3:$F$302,MATCH("R"&amp;40,주문생성!$M$6:$M$305,0)),""))</f>
        <v/>
      </c>
      <c r="G45" s="20" t="str">
        <f aca="false">IF($B45="","",IFERROR(INDEX(정기주문설정!$G$3:$G$302,MATCH("R"&amp;40,주문생성!$M$6:$M$305,0)),""))</f>
        <v/>
      </c>
      <c r="H45" s="12" t="str">
        <f aca="false">IF($B45="","",IFERROR(INDEX(정기주문설정!$H$3:$H$302,MATCH("R"&amp;40,주문생성!$M$6:$M$305,0)),""))</f>
        <v/>
      </c>
      <c r="I45" s="12" t="str">
        <f aca="false">IF($B45="","",ROUND($G45*$H45,0))</f>
        <v/>
      </c>
      <c r="K45" s="21" t="b">
        <f aca="false">IF(정기주문설정!$B42="",FALSE(),IF(정기주문설정!$M42="중지",FALSE(),IF(정기주문설정!$L42&lt;&gt;"",IF($B$3&lt;정기주문설정!$L42,FALSE(),IF(정기주문설정!$I42="매일",TRUE(),IF(정기주문설정!$I42="매주",(WEEKDAY($B$3)=IFERROR(MATCH(정기주문설정!$J42,정기주문설정!$O$3:$O$9,0),0)),IF(정기주문설정!$I42="격주",AND((WEEKDAY($B$3)=IFERROR(MATCH(정기주문설정!$J42,정기주문설정!$O$3:$O$9,0),0)),MOD(INT(($B$3-정기주문설정!$L42)/7),2)=0),IF(정기주문설정!$I42="매월",DAY($B$3)=정기주문설정!$K42,FALSE()))))),IF(정기주문설정!$I42="매일",TRUE(),IF(정기주문설정!$I42="매주",(WEEKDAY($B$3)=IFERROR(MATCH(정기주문설정!$J42,정기주문설정!$O$3:$O$9,0),0)),IF(정기주문설정!$I42="매월",DAY($B$3)=정기주문설정!$K42,FALSE()))))))</f>
        <v>0</v>
      </c>
      <c r="L45" s="5" t="str">
        <f aca="false">IF($K45=FALSE(),"",COUNTIF($K$6:$K45,TRUE()))</f>
        <v/>
      </c>
      <c r="M45" s="5" t="str">
        <f aca="false">IF($L45="","","R"&amp;$L45)</f>
        <v/>
      </c>
    </row>
    <row r="46" customFormat="false" ht="15" hidden="false" customHeight="true" outlineLevel="0" collapsed="false">
      <c r="A46" s="18" t="str">
        <f aca="false">IF($C46="","",$B$3)</f>
        <v/>
      </c>
      <c r="B46" s="19" t="str">
        <f aca="false">IFERROR(INDEX(정기주문설정!$B$3:$B$302,MATCH("R"&amp;41,주문생성!$M$6:$M$305,0)),"")</f>
        <v/>
      </c>
      <c r="C46" s="19" t="str">
        <f aca="false">IF($B46="","",IFERROR(INDEX(정기주문설정!$C$3:$C$302,MATCH("R"&amp;41,주문생성!$M$6:$M$305,0)),""))</f>
        <v/>
      </c>
      <c r="D46" s="19" t="str">
        <f aca="false">IF($B46="","",IFERROR(INDEX(정기주문설정!$D$3:$D$302,MATCH("R"&amp;41,주문생성!$M$6:$M$305,0)),""))</f>
        <v/>
      </c>
      <c r="E46" s="19" t="str">
        <f aca="false">IF($B46="","",IFERROR(INDEX(정기주문설정!$E$3:$E$302,MATCH("R"&amp;41,주문생성!$M$6:$M$305,0)),""))</f>
        <v/>
      </c>
      <c r="F46" s="19" t="str">
        <f aca="false">IF($B46="","",IFERROR(INDEX(정기주문설정!$F$3:$F$302,MATCH("R"&amp;41,주문생성!$M$6:$M$305,0)),""))</f>
        <v/>
      </c>
      <c r="G46" s="20" t="str">
        <f aca="false">IF($B46="","",IFERROR(INDEX(정기주문설정!$G$3:$G$302,MATCH("R"&amp;41,주문생성!$M$6:$M$305,0)),""))</f>
        <v/>
      </c>
      <c r="H46" s="12" t="str">
        <f aca="false">IF($B46="","",IFERROR(INDEX(정기주문설정!$H$3:$H$302,MATCH("R"&amp;41,주문생성!$M$6:$M$305,0)),""))</f>
        <v/>
      </c>
      <c r="I46" s="12" t="str">
        <f aca="false">IF($B46="","",ROUND($G46*$H46,0))</f>
        <v/>
      </c>
      <c r="K46" s="21" t="b">
        <f aca="false">IF(정기주문설정!$B43="",FALSE(),IF(정기주문설정!$M43="중지",FALSE(),IF(정기주문설정!$L43&lt;&gt;"",IF($B$3&lt;정기주문설정!$L43,FALSE(),IF(정기주문설정!$I43="매일",TRUE(),IF(정기주문설정!$I43="매주",(WEEKDAY($B$3)=IFERROR(MATCH(정기주문설정!$J43,정기주문설정!$O$3:$O$9,0),0)),IF(정기주문설정!$I43="격주",AND((WEEKDAY($B$3)=IFERROR(MATCH(정기주문설정!$J43,정기주문설정!$O$3:$O$9,0),0)),MOD(INT(($B$3-정기주문설정!$L43)/7),2)=0),IF(정기주문설정!$I43="매월",DAY($B$3)=정기주문설정!$K43,FALSE()))))),IF(정기주문설정!$I43="매일",TRUE(),IF(정기주문설정!$I43="매주",(WEEKDAY($B$3)=IFERROR(MATCH(정기주문설정!$J43,정기주문설정!$O$3:$O$9,0),0)),IF(정기주문설정!$I43="매월",DAY($B$3)=정기주문설정!$K43,FALSE()))))))</f>
        <v>0</v>
      </c>
      <c r="L46" s="5" t="str">
        <f aca="false">IF($K46=FALSE(),"",COUNTIF($K$6:$K46,TRUE()))</f>
        <v/>
      </c>
      <c r="M46" s="5" t="str">
        <f aca="false">IF($L46="","","R"&amp;$L46)</f>
        <v/>
      </c>
    </row>
    <row r="47" customFormat="false" ht="15" hidden="false" customHeight="true" outlineLevel="0" collapsed="false">
      <c r="A47" s="18" t="str">
        <f aca="false">IF($C47="","",$B$3)</f>
        <v/>
      </c>
      <c r="B47" s="19" t="str">
        <f aca="false">IFERROR(INDEX(정기주문설정!$B$3:$B$302,MATCH("R"&amp;42,주문생성!$M$6:$M$305,0)),"")</f>
        <v/>
      </c>
      <c r="C47" s="19" t="str">
        <f aca="false">IF($B47="","",IFERROR(INDEX(정기주문설정!$C$3:$C$302,MATCH("R"&amp;42,주문생성!$M$6:$M$305,0)),""))</f>
        <v/>
      </c>
      <c r="D47" s="19" t="str">
        <f aca="false">IF($B47="","",IFERROR(INDEX(정기주문설정!$D$3:$D$302,MATCH("R"&amp;42,주문생성!$M$6:$M$305,0)),""))</f>
        <v/>
      </c>
      <c r="E47" s="19" t="str">
        <f aca="false">IF($B47="","",IFERROR(INDEX(정기주문설정!$E$3:$E$302,MATCH("R"&amp;42,주문생성!$M$6:$M$305,0)),""))</f>
        <v/>
      </c>
      <c r="F47" s="19" t="str">
        <f aca="false">IF($B47="","",IFERROR(INDEX(정기주문설정!$F$3:$F$302,MATCH("R"&amp;42,주문생성!$M$6:$M$305,0)),""))</f>
        <v/>
      </c>
      <c r="G47" s="20" t="str">
        <f aca="false">IF($B47="","",IFERROR(INDEX(정기주문설정!$G$3:$G$302,MATCH("R"&amp;42,주문생성!$M$6:$M$305,0)),""))</f>
        <v/>
      </c>
      <c r="H47" s="12" t="str">
        <f aca="false">IF($B47="","",IFERROR(INDEX(정기주문설정!$H$3:$H$302,MATCH("R"&amp;42,주문생성!$M$6:$M$305,0)),""))</f>
        <v/>
      </c>
      <c r="I47" s="12" t="str">
        <f aca="false">IF($B47="","",ROUND($G47*$H47,0))</f>
        <v/>
      </c>
      <c r="K47" s="21" t="b">
        <f aca="false">IF(정기주문설정!$B44="",FALSE(),IF(정기주문설정!$M44="중지",FALSE(),IF(정기주문설정!$L44&lt;&gt;"",IF($B$3&lt;정기주문설정!$L44,FALSE(),IF(정기주문설정!$I44="매일",TRUE(),IF(정기주문설정!$I44="매주",(WEEKDAY($B$3)=IFERROR(MATCH(정기주문설정!$J44,정기주문설정!$O$3:$O$9,0),0)),IF(정기주문설정!$I44="격주",AND((WEEKDAY($B$3)=IFERROR(MATCH(정기주문설정!$J44,정기주문설정!$O$3:$O$9,0),0)),MOD(INT(($B$3-정기주문설정!$L44)/7),2)=0),IF(정기주문설정!$I44="매월",DAY($B$3)=정기주문설정!$K44,FALSE()))))),IF(정기주문설정!$I44="매일",TRUE(),IF(정기주문설정!$I44="매주",(WEEKDAY($B$3)=IFERROR(MATCH(정기주문설정!$J44,정기주문설정!$O$3:$O$9,0),0)),IF(정기주문설정!$I44="매월",DAY($B$3)=정기주문설정!$K44,FALSE()))))))</f>
        <v>0</v>
      </c>
      <c r="L47" s="5" t="str">
        <f aca="false">IF($K47=FALSE(),"",COUNTIF($K$6:$K47,TRUE()))</f>
        <v/>
      </c>
      <c r="M47" s="5" t="str">
        <f aca="false">IF($L47="","","R"&amp;$L47)</f>
        <v/>
      </c>
    </row>
    <row r="48" customFormat="false" ht="15" hidden="false" customHeight="true" outlineLevel="0" collapsed="false">
      <c r="A48" s="18" t="str">
        <f aca="false">IF($C48="","",$B$3)</f>
        <v/>
      </c>
      <c r="B48" s="19" t="str">
        <f aca="false">IFERROR(INDEX(정기주문설정!$B$3:$B$302,MATCH("R"&amp;43,주문생성!$M$6:$M$305,0)),"")</f>
        <v/>
      </c>
      <c r="C48" s="19" t="str">
        <f aca="false">IF($B48="","",IFERROR(INDEX(정기주문설정!$C$3:$C$302,MATCH("R"&amp;43,주문생성!$M$6:$M$305,0)),""))</f>
        <v/>
      </c>
      <c r="D48" s="19" t="str">
        <f aca="false">IF($B48="","",IFERROR(INDEX(정기주문설정!$D$3:$D$302,MATCH("R"&amp;43,주문생성!$M$6:$M$305,0)),""))</f>
        <v/>
      </c>
      <c r="E48" s="19" t="str">
        <f aca="false">IF($B48="","",IFERROR(INDEX(정기주문설정!$E$3:$E$302,MATCH("R"&amp;43,주문생성!$M$6:$M$305,0)),""))</f>
        <v/>
      </c>
      <c r="F48" s="19" t="str">
        <f aca="false">IF($B48="","",IFERROR(INDEX(정기주문설정!$F$3:$F$302,MATCH("R"&amp;43,주문생성!$M$6:$M$305,0)),""))</f>
        <v/>
      </c>
      <c r="G48" s="20" t="str">
        <f aca="false">IF($B48="","",IFERROR(INDEX(정기주문설정!$G$3:$G$302,MATCH("R"&amp;43,주문생성!$M$6:$M$305,0)),""))</f>
        <v/>
      </c>
      <c r="H48" s="12" t="str">
        <f aca="false">IF($B48="","",IFERROR(INDEX(정기주문설정!$H$3:$H$302,MATCH("R"&amp;43,주문생성!$M$6:$M$305,0)),""))</f>
        <v/>
      </c>
      <c r="I48" s="12" t="str">
        <f aca="false">IF($B48="","",ROUND($G48*$H48,0))</f>
        <v/>
      </c>
      <c r="K48" s="21" t="b">
        <f aca="false">IF(정기주문설정!$B45="",FALSE(),IF(정기주문설정!$M45="중지",FALSE(),IF(정기주문설정!$L45&lt;&gt;"",IF($B$3&lt;정기주문설정!$L45,FALSE(),IF(정기주문설정!$I45="매일",TRUE(),IF(정기주문설정!$I45="매주",(WEEKDAY($B$3)=IFERROR(MATCH(정기주문설정!$J45,정기주문설정!$O$3:$O$9,0),0)),IF(정기주문설정!$I45="격주",AND((WEEKDAY($B$3)=IFERROR(MATCH(정기주문설정!$J45,정기주문설정!$O$3:$O$9,0),0)),MOD(INT(($B$3-정기주문설정!$L45)/7),2)=0),IF(정기주문설정!$I45="매월",DAY($B$3)=정기주문설정!$K45,FALSE()))))),IF(정기주문설정!$I45="매일",TRUE(),IF(정기주문설정!$I45="매주",(WEEKDAY($B$3)=IFERROR(MATCH(정기주문설정!$J45,정기주문설정!$O$3:$O$9,0),0)),IF(정기주문설정!$I45="매월",DAY($B$3)=정기주문설정!$K45,FALSE()))))))</f>
        <v>0</v>
      </c>
      <c r="L48" s="5" t="str">
        <f aca="false">IF($K48=FALSE(),"",COUNTIF($K$6:$K48,TRUE()))</f>
        <v/>
      </c>
      <c r="M48" s="5" t="str">
        <f aca="false">IF($L48="","","R"&amp;$L48)</f>
        <v/>
      </c>
    </row>
    <row r="49" customFormat="false" ht="15" hidden="false" customHeight="true" outlineLevel="0" collapsed="false">
      <c r="A49" s="18" t="str">
        <f aca="false">IF($C49="","",$B$3)</f>
        <v/>
      </c>
      <c r="B49" s="19" t="str">
        <f aca="false">IFERROR(INDEX(정기주문설정!$B$3:$B$302,MATCH("R"&amp;44,주문생성!$M$6:$M$305,0)),"")</f>
        <v/>
      </c>
      <c r="C49" s="19" t="str">
        <f aca="false">IF($B49="","",IFERROR(INDEX(정기주문설정!$C$3:$C$302,MATCH("R"&amp;44,주문생성!$M$6:$M$305,0)),""))</f>
        <v/>
      </c>
      <c r="D49" s="19" t="str">
        <f aca="false">IF($B49="","",IFERROR(INDEX(정기주문설정!$D$3:$D$302,MATCH("R"&amp;44,주문생성!$M$6:$M$305,0)),""))</f>
        <v/>
      </c>
      <c r="E49" s="19" t="str">
        <f aca="false">IF($B49="","",IFERROR(INDEX(정기주문설정!$E$3:$E$302,MATCH("R"&amp;44,주문생성!$M$6:$M$305,0)),""))</f>
        <v/>
      </c>
      <c r="F49" s="19" t="str">
        <f aca="false">IF($B49="","",IFERROR(INDEX(정기주문설정!$F$3:$F$302,MATCH("R"&amp;44,주문생성!$M$6:$M$305,0)),""))</f>
        <v/>
      </c>
      <c r="G49" s="20" t="str">
        <f aca="false">IF($B49="","",IFERROR(INDEX(정기주문설정!$G$3:$G$302,MATCH("R"&amp;44,주문생성!$M$6:$M$305,0)),""))</f>
        <v/>
      </c>
      <c r="H49" s="12" t="str">
        <f aca="false">IF($B49="","",IFERROR(INDEX(정기주문설정!$H$3:$H$302,MATCH("R"&amp;44,주문생성!$M$6:$M$305,0)),""))</f>
        <v/>
      </c>
      <c r="I49" s="12" t="str">
        <f aca="false">IF($B49="","",ROUND($G49*$H49,0))</f>
        <v/>
      </c>
      <c r="K49" s="21" t="b">
        <f aca="false">IF(정기주문설정!$B46="",FALSE(),IF(정기주문설정!$M46="중지",FALSE(),IF(정기주문설정!$L46&lt;&gt;"",IF($B$3&lt;정기주문설정!$L46,FALSE(),IF(정기주문설정!$I46="매일",TRUE(),IF(정기주문설정!$I46="매주",(WEEKDAY($B$3)=IFERROR(MATCH(정기주문설정!$J46,정기주문설정!$O$3:$O$9,0),0)),IF(정기주문설정!$I46="격주",AND((WEEKDAY($B$3)=IFERROR(MATCH(정기주문설정!$J46,정기주문설정!$O$3:$O$9,0),0)),MOD(INT(($B$3-정기주문설정!$L46)/7),2)=0),IF(정기주문설정!$I46="매월",DAY($B$3)=정기주문설정!$K46,FALSE()))))),IF(정기주문설정!$I46="매일",TRUE(),IF(정기주문설정!$I46="매주",(WEEKDAY($B$3)=IFERROR(MATCH(정기주문설정!$J46,정기주문설정!$O$3:$O$9,0),0)),IF(정기주문설정!$I46="매월",DAY($B$3)=정기주문설정!$K46,FALSE()))))))</f>
        <v>0</v>
      </c>
      <c r="L49" s="5" t="str">
        <f aca="false">IF($K49=FALSE(),"",COUNTIF($K$6:$K49,TRUE()))</f>
        <v/>
      </c>
      <c r="M49" s="5" t="str">
        <f aca="false">IF($L49="","","R"&amp;$L49)</f>
        <v/>
      </c>
    </row>
    <row r="50" customFormat="false" ht="15" hidden="false" customHeight="true" outlineLevel="0" collapsed="false">
      <c r="A50" s="18" t="str">
        <f aca="false">IF($C50="","",$B$3)</f>
        <v/>
      </c>
      <c r="B50" s="19" t="str">
        <f aca="false">IFERROR(INDEX(정기주문설정!$B$3:$B$302,MATCH("R"&amp;45,주문생성!$M$6:$M$305,0)),"")</f>
        <v/>
      </c>
      <c r="C50" s="19" t="str">
        <f aca="false">IF($B50="","",IFERROR(INDEX(정기주문설정!$C$3:$C$302,MATCH("R"&amp;45,주문생성!$M$6:$M$305,0)),""))</f>
        <v/>
      </c>
      <c r="D50" s="19" t="str">
        <f aca="false">IF($B50="","",IFERROR(INDEX(정기주문설정!$D$3:$D$302,MATCH("R"&amp;45,주문생성!$M$6:$M$305,0)),""))</f>
        <v/>
      </c>
      <c r="E50" s="19" t="str">
        <f aca="false">IF($B50="","",IFERROR(INDEX(정기주문설정!$E$3:$E$302,MATCH("R"&amp;45,주문생성!$M$6:$M$305,0)),""))</f>
        <v/>
      </c>
      <c r="F50" s="19" t="str">
        <f aca="false">IF($B50="","",IFERROR(INDEX(정기주문설정!$F$3:$F$302,MATCH("R"&amp;45,주문생성!$M$6:$M$305,0)),""))</f>
        <v/>
      </c>
      <c r="G50" s="20" t="str">
        <f aca="false">IF($B50="","",IFERROR(INDEX(정기주문설정!$G$3:$G$302,MATCH("R"&amp;45,주문생성!$M$6:$M$305,0)),""))</f>
        <v/>
      </c>
      <c r="H50" s="12" t="str">
        <f aca="false">IF($B50="","",IFERROR(INDEX(정기주문설정!$H$3:$H$302,MATCH("R"&amp;45,주문생성!$M$6:$M$305,0)),""))</f>
        <v/>
      </c>
      <c r="I50" s="12" t="str">
        <f aca="false">IF($B50="","",ROUND($G50*$H50,0))</f>
        <v/>
      </c>
      <c r="K50" s="21" t="b">
        <f aca="false">IF(정기주문설정!$B47="",FALSE(),IF(정기주문설정!$M47="중지",FALSE(),IF(정기주문설정!$L47&lt;&gt;"",IF($B$3&lt;정기주문설정!$L47,FALSE(),IF(정기주문설정!$I47="매일",TRUE(),IF(정기주문설정!$I47="매주",(WEEKDAY($B$3)=IFERROR(MATCH(정기주문설정!$J47,정기주문설정!$O$3:$O$9,0),0)),IF(정기주문설정!$I47="격주",AND((WEEKDAY($B$3)=IFERROR(MATCH(정기주문설정!$J47,정기주문설정!$O$3:$O$9,0),0)),MOD(INT(($B$3-정기주문설정!$L47)/7),2)=0),IF(정기주문설정!$I47="매월",DAY($B$3)=정기주문설정!$K47,FALSE()))))),IF(정기주문설정!$I47="매일",TRUE(),IF(정기주문설정!$I47="매주",(WEEKDAY($B$3)=IFERROR(MATCH(정기주문설정!$J47,정기주문설정!$O$3:$O$9,0),0)),IF(정기주문설정!$I47="매월",DAY($B$3)=정기주문설정!$K47,FALSE()))))))</f>
        <v>0</v>
      </c>
      <c r="L50" s="5" t="str">
        <f aca="false">IF($K50=FALSE(),"",COUNTIF($K$6:$K50,TRUE()))</f>
        <v/>
      </c>
      <c r="M50" s="5" t="str">
        <f aca="false">IF($L50="","","R"&amp;$L50)</f>
        <v/>
      </c>
    </row>
    <row r="51" customFormat="false" ht="15" hidden="false" customHeight="true" outlineLevel="0" collapsed="false">
      <c r="A51" s="18" t="str">
        <f aca="false">IF($C51="","",$B$3)</f>
        <v/>
      </c>
      <c r="B51" s="19" t="str">
        <f aca="false">IFERROR(INDEX(정기주문설정!$B$3:$B$302,MATCH("R"&amp;46,주문생성!$M$6:$M$305,0)),"")</f>
        <v/>
      </c>
      <c r="C51" s="19" t="str">
        <f aca="false">IF($B51="","",IFERROR(INDEX(정기주문설정!$C$3:$C$302,MATCH("R"&amp;46,주문생성!$M$6:$M$305,0)),""))</f>
        <v/>
      </c>
      <c r="D51" s="19" t="str">
        <f aca="false">IF($B51="","",IFERROR(INDEX(정기주문설정!$D$3:$D$302,MATCH("R"&amp;46,주문생성!$M$6:$M$305,0)),""))</f>
        <v/>
      </c>
      <c r="E51" s="19" t="str">
        <f aca="false">IF($B51="","",IFERROR(INDEX(정기주문설정!$E$3:$E$302,MATCH("R"&amp;46,주문생성!$M$6:$M$305,0)),""))</f>
        <v/>
      </c>
      <c r="F51" s="19" t="str">
        <f aca="false">IF($B51="","",IFERROR(INDEX(정기주문설정!$F$3:$F$302,MATCH("R"&amp;46,주문생성!$M$6:$M$305,0)),""))</f>
        <v/>
      </c>
      <c r="G51" s="20" t="str">
        <f aca="false">IF($B51="","",IFERROR(INDEX(정기주문설정!$G$3:$G$302,MATCH("R"&amp;46,주문생성!$M$6:$M$305,0)),""))</f>
        <v/>
      </c>
      <c r="H51" s="12" t="str">
        <f aca="false">IF($B51="","",IFERROR(INDEX(정기주문설정!$H$3:$H$302,MATCH("R"&amp;46,주문생성!$M$6:$M$305,0)),""))</f>
        <v/>
      </c>
      <c r="I51" s="12" t="str">
        <f aca="false">IF($B51="","",ROUND($G51*$H51,0))</f>
        <v/>
      </c>
      <c r="K51" s="21" t="b">
        <f aca="false">IF(정기주문설정!$B48="",FALSE(),IF(정기주문설정!$M48="중지",FALSE(),IF(정기주문설정!$L48&lt;&gt;"",IF($B$3&lt;정기주문설정!$L48,FALSE(),IF(정기주문설정!$I48="매일",TRUE(),IF(정기주문설정!$I48="매주",(WEEKDAY($B$3)=IFERROR(MATCH(정기주문설정!$J48,정기주문설정!$O$3:$O$9,0),0)),IF(정기주문설정!$I48="격주",AND((WEEKDAY($B$3)=IFERROR(MATCH(정기주문설정!$J48,정기주문설정!$O$3:$O$9,0),0)),MOD(INT(($B$3-정기주문설정!$L48)/7),2)=0),IF(정기주문설정!$I48="매월",DAY($B$3)=정기주문설정!$K48,FALSE()))))),IF(정기주문설정!$I48="매일",TRUE(),IF(정기주문설정!$I48="매주",(WEEKDAY($B$3)=IFERROR(MATCH(정기주문설정!$J48,정기주문설정!$O$3:$O$9,0),0)),IF(정기주문설정!$I48="매월",DAY($B$3)=정기주문설정!$K48,FALSE()))))))</f>
        <v>0</v>
      </c>
      <c r="L51" s="5" t="str">
        <f aca="false">IF($K51=FALSE(),"",COUNTIF($K$6:$K51,TRUE()))</f>
        <v/>
      </c>
      <c r="M51" s="5" t="str">
        <f aca="false">IF($L51="","","R"&amp;$L51)</f>
        <v/>
      </c>
    </row>
    <row r="52" customFormat="false" ht="15" hidden="false" customHeight="true" outlineLevel="0" collapsed="false">
      <c r="A52" s="18" t="str">
        <f aca="false">IF($C52="","",$B$3)</f>
        <v/>
      </c>
      <c r="B52" s="19" t="str">
        <f aca="false">IFERROR(INDEX(정기주문설정!$B$3:$B$302,MATCH("R"&amp;47,주문생성!$M$6:$M$305,0)),"")</f>
        <v/>
      </c>
      <c r="C52" s="19" t="str">
        <f aca="false">IF($B52="","",IFERROR(INDEX(정기주문설정!$C$3:$C$302,MATCH("R"&amp;47,주문생성!$M$6:$M$305,0)),""))</f>
        <v/>
      </c>
      <c r="D52" s="19" t="str">
        <f aca="false">IF($B52="","",IFERROR(INDEX(정기주문설정!$D$3:$D$302,MATCH("R"&amp;47,주문생성!$M$6:$M$305,0)),""))</f>
        <v/>
      </c>
      <c r="E52" s="19" t="str">
        <f aca="false">IF($B52="","",IFERROR(INDEX(정기주문설정!$E$3:$E$302,MATCH("R"&amp;47,주문생성!$M$6:$M$305,0)),""))</f>
        <v/>
      </c>
      <c r="F52" s="19" t="str">
        <f aca="false">IF($B52="","",IFERROR(INDEX(정기주문설정!$F$3:$F$302,MATCH("R"&amp;47,주문생성!$M$6:$M$305,0)),""))</f>
        <v/>
      </c>
      <c r="G52" s="20" t="str">
        <f aca="false">IF($B52="","",IFERROR(INDEX(정기주문설정!$G$3:$G$302,MATCH("R"&amp;47,주문생성!$M$6:$M$305,0)),""))</f>
        <v/>
      </c>
      <c r="H52" s="12" t="str">
        <f aca="false">IF($B52="","",IFERROR(INDEX(정기주문설정!$H$3:$H$302,MATCH("R"&amp;47,주문생성!$M$6:$M$305,0)),""))</f>
        <v/>
      </c>
      <c r="I52" s="12" t="str">
        <f aca="false">IF($B52="","",ROUND($G52*$H52,0))</f>
        <v/>
      </c>
      <c r="K52" s="21" t="b">
        <f aca="false">IF(정기주문설정!$B49="",FALSE(),IF(정기주문설정!$M49="중지",FALSE(),IF(정기주문설정!$L49&lt;&gt;"",IF($B$3&lt;정기주문설정!$L49,FALSE(),IF(정기주문설정!$I49="매일",TRUE(),IF(정기주문설정!$I49="매주",(WEEKDAY($B$3)=IFERROR(MATCH(정기주문설정!$J49,정기주문설정!$O$3:$O$9,0),0)),IF(정기주문설정!$I49="격주",AND((WEEKDAY($B$3)=IFERROR(MATCH(정기주문설정!$J49,정기주문설정!$O$3:$O$9,0),0)),MOD(INT(($B$3-정기주문설정!$L49)/7),2)=0),IF(정기주문설정!$I49="매월",DAY($B$3)=정기주문설정!$K49,FALSE()))))),IF(정기주문설정!$I49="매일",TRUE(),IF(정기주문설정!$I49="매주",(WEEKDAY($B$3)=IFERROR(MATCH(정기주문설정!$J49,정기주문설정!$O$3:$O$9,0),0)),IF(정기주문설정!$I49="매월",DAY($B$3)=정기주문설정!$K49,FALSE()))))))</f>
        <v>0</v>
      </c>
      <c r="L52" s="5" t="str">
        <f aca="false">IF($K52=FALSE(),"",COUNTIF($K$6:$K52,TRUE()))</f>
        <v/>
      </c>
      <c r="M52" s="5" t="str">
        <f aca="false">IF($L52="","","R"&amp;$L52)</f>
        <v/>
      </c>
    </row>
    <row r="53" customFormat="false" ht="15" hidden="false" customHeight="true" outlineLevel="0" collapsed="false">
      <c r="A53" s="18" t="str">
        <f aca="false">IF($C53="","",$B$3)</f>
        <v/>
      </c>
      <c r="B53" s="19" t="str">
        <f aca="false">IFERROR(INDEX(정기주문설정!$B$3:$B$302,MATCH("R"&amp;48,주문생성!$M$6:$M$305,0)),"")</f>
        <v/>
      </c>
      <c r="C53" s="19" t="str">
        <f aca="false">IF($B53="","",IFERROR(INDEX(정기주문설정!$C$3:$C$302,MATCH("R"&amp;48,주문생성!$M$6:$M$305,0)),""))</f>
        <v/>
      </c>
      <c r="D53" s="19" t="str">
        <f aca="false">IF($B53="","",IFERROR(INDEX(정기주문설정!$D$3:$D$302,MATCH("R"&amp;48,주문생성!$M$6:$M$305,0)),""))</f>
        <v/>
      </c>
      <c r="E53" s="19" t="str">
        <f aca="false">IF($B53="","",IFERROR(INDEX(정기주문설정!$E$3:$E$302,MATCH("R"&amp;48,주문생성!$M$6:$M$305,0)),""))</f>
        <v/>
      </c>
      <c r="F53" s="19" t="str">
        <f aca="false">IF($B53="","",IFERROR(INDEX(정기주문설정!$F$3:$F$302,MATCH("R"&amp;48,주문생성!$M$6:$M$305,0)),""))</f>
        <v/>
      </c>
      <c r="G53" s="20" t="str">
        <f aca="false">IF($B53="","",IFERROR(INDEX(정기주문설정!$G$3:$G$302,MATCH("R"&amp;48,주문생성!$M$6:$M$305,0)),""))</f>
        <v/>
      </c>
      <c r="H53" s="12" t="str">
        <f aca="false">IF($B53="","",IFERROR(INDEX(정기주문설정!$H$3:$H$302,MATCH("R"&amp;48,주문생성!$M$6:$M$305,0)),""))</f>
        <v/>
      </c>
      <c r="I53" s="12" t="str">
        <f aca="false">IF($B53="","",ROUND($G53*$H53,0))</f>
        <v/>
      </c>
      <c r="K53" s="21" t="b">
        <f aca="false">IF(정기주문설정!$B50="",FALSE(),IF(정기주문설정!$M50="중지",FALSE(),IF(정기주문설정!$L50&lt;&gt;"",IF($B$3&lt;정기주문설정!$L50,FALSE(),IF(정기주문설정!$I50="매일",TRUE(),IF(정기주문설정!$I50="매주",(WEEKDAY($B$3)=IFERROR(MATCH(정기주문설정!$J50,정기주문설정!$O$3:$O$9,0),0)),IF(정기주문설정!$I50="격주",AND((WEEKDAY($B$3)=IFERROR(MATCH(정기주문설정!$J50,정기주문설정!$O$3:$O$9,0),0)),MOD(INT(($B$3-정기주문설정!$L50)/7),2)=0),IF(정기주문설정!$I50="매월",DAY($B$3)=정기주문설정!$K50,FALSE()))))),IF(정기주문설정!$I50="매일",TRUE(),IF(정기주문설정!$I50="매주",(WEEKDAY($B$3)=IFERROR(MATCH(정기주문설정!$J50,정기주문설정!$O$3:$O$9,0),0)),IF(정기주문설정!$I50="매월",DAY($B$3)=정기주문설정!$K50,FALSE()))))))</f>
        <v>0</v>
      </c>
      <c r="L53" s="5" t="str">
        <f aca="false">IF($K53=FALSE(),"",COUNTIF($K$6:$K53,TRUE()))</f>
        <v/>
      </c>
      <c r="M53" s="5" t="str">
        <f aca="false">IF($L53="","","R"&amp;$L53)</f>
        <v/>
      </c>
    </row>
    <row r="54" customFormat="false" ht="15" hidden="false" customHeight="true" outlineLevel="0" collapsed="false">
      <c r="A54" s="18" t="str">
        <f aca="false">IF($C54="","",$B$3)</f>
        <v/>
      </c>
      <c r="B54" s="19" t="str">
        <f aca="false">IFERROR(INDEX(정기주문설정!$B$3:$B$302,MATCH("R"&amp;49,주문생성!$M$6:$M$305,0)),"")</f>
        <v/>
      </c>
      <c r="C54" s="19" t="str">
        <f aca="false">IF($B54="","",IFERROR(INDEX(정기주문설정!$C$3:$C$302,MATCH("R"&amp;49,주문생성!$M$6:$M$305,0)),""))</f>
        <v/>
      </c>
      <c r="D54" s="19" t="str">
        <f aca="false">IF($B54="","",IFERROR(INDEX(정기주문설정!$D$3:$D$302,MATCH("R"&amp;49,주문생성!$M$6:$M$305,0)),""))</f>
        <v/>
      </c>
      <c r="E54" s="19" t="str">
        <f aca="false">IF($B54="","",IFERROR(INDEX(정기주문설정!$E$3:$E$302,MATCH("R"&amp;49,주문생성!$M$6:$M$305,0)),""))</f>
        <v/>
      </c>
      <c r="F54" s="19" t="str">
        <f aca="false">IF($B54="","",IFERROR(INDEX(정기주문설정!$F$3:$F$302,MATCH("R"&amp;49,주문생성!$M$6:$M$305,0)),""))</f>
        <v/>
      </c>
      <c r="G54" s="20" t="str">
        <f aca="false">IF($B54="","",IFERROR(INDEX(정기주문설정!$G$3:$G$302,MATCH("R"&amp;49,주문생성!$M$6:$M$305,0)),""))</f>
        <v/>
      </c>
      <c r="H54" s="12" t="str">
        <f aca="false">IF($B54="","",IFERROR(INDEX(정기주문설정!$H$3:$H$302,MATCH("R"&amp;49,주문생성!$M$6:$M$305,0)),""))</f>
        <v/>
      </c>
      <c r="I54" s="12" t="str">
        <f aca="false">IF($B54="","",ROUND($G54*$H54,0))</f>
        <v/>
      </c>
      <c r="K54" s="21" t="b">
        <f aca="false">IF(정기주문설정!$B51="",FALSE(),IF(정기주문설정!$M51="중지",FALSE(),IF(정기주문설정!$L51&lt;&gt;"",IF($B$3&lt;정기주문설정!$L51,FALSE(),IF(정기주문설정!$I51="매일",TRUE(),IF(정기주문설정!$I51="매주",(WEEKDAY($B$3)=IFERROR(MATCH(정기주문설정!$J51,정기주문설정!$O$3:$O$9,0),0)),IF(정기주문설정!$I51="격주",AND((WEEKDAY($B$3)=IFERROR(MATCH(정기주문설정!$J51,정기주문설정!$O$3:$O$9,0),0)),MOD(INT(($B$3-정기주문설정!$L51)/7),2)=0),IF(정기주문설정!$I51="매월",DAY($B$3)=정기주문설정!$K51,FALSE()))))),IF(정기주문설정!$I51="매일",TRUE(),IF(정기주문설정!$I51="매주",(WEEKDAY($B$3)=IFERROR(MATCH(정기주문설정!$J51,정기주문설정!$O$3:$O$9,0),0)),IF(정기주문설정!$I51="매월",DAY($B$3)=정기주문설정!$K51,FALSE()))))))</f>
        <v>0</v>
      </c>
      <c r="L54" s="5" t="str">
        <f aca="false">IF($K54=FALSE(),"",COUNTIF($K$6:$K54,TRUE()))</f>
        <v/>
      </c>
      <c r="M54" s="5" t="str">
        <f aca="false">IF($L54="","","R"&amp;$L54)</f>
        <v/>
      </c>
    </row>
    <row r="55" customFormat="false" ht="15" hidden="false" customHeight="true" outlineLevel="0" collapsed="false">
      <c r="A55" s="18" t="str">
        <f aca="false">IF($C55="","",$B$3)</f>
        <v/>
      </c>
      <c r="B55" s="19" t="str">
        <f aca="false">IFERROR(INDEX(정기주문설정!$B$3:$B$302,MATCH("R"&amp;50,주문생성!$M$6:$M$305,0)),"")</f>
        <v/>
      </c>
      <c r="C55" s="19" t="str">
        <f aca="false">IF($B55="","",IFERROR(INDEX(정기주문설정!$C$3:$C$302,MATCH("R"&amp;50,주문생성!$M$6:$M$305,0)),""))</f>
        <v/>
      </c>
      <c r="D55" s="19" t="str">
        <f aca="false">IF($B55="","",IFERROR(INDEX(정기주문설정!$D$3:$D$302,MATCH("R"&amp;50,주문생성!$M$6:$M$305,0)),""))</f>
        <v/>
      </c>
      <c r="E55" s="19" t="str">
        <f aca="false">IF($B55="","",IFERROR(INDEX(정기주문설정!$E$3:$E$302,MATCH("R"&amp;50,주문생성!$M$6:$M$305,0)),""))</f>
        <v/>
      </c>
      <c r="F55" s="19" t="str">
        <f aca="false">IF($B55="","",IFERROR(INDEX(정기주문설정!$F$3:$F$302,MATCH("R"&amp;50,주문생성!$M$6:$M$305,0)),""))</f>
        <v/>
      </c>
      <c r="G55" s="20" t="str">
        <f aca="false">IF($B55="","",IFERROR(INDEX(정기주문설정!$G$3:$G$302,MATCH("R"&amp;50,주문생성!$M$6:$M$305,0)),""))</f>
        <v/>
      </c>
      <c r="H55" s="12" t="str">
        <f aca="false">IF($B55="","",IFERROR(INDEX(정기주문설정!$H$3:$H$302,MATCH("R"&amp;50,주문생성!$M$6:$M$305,0)),""))</f>
        <v/>
      </c>
      <c r="I55" s="12" t="str">
        <f aca="false">IF($B55="","",ROUND($G55*$H55,0))</f>
        <v/>
      </c>
      <c r="K55" s="21" t="b">
        <f aca="false">IF(정기주문설정!$B52="",FALSE(),IF(정기주문설정!$M52="중지",FALSE(),IF(정기주문설정!$L52&lt;&gt;"",IF($B$3&lt;정기주문설정!$L52,FALSE(),IF(정기주문설정!$I52="매일",TRUE(),IF(정기주문설정!$I52="매주",(WEEKDAY($B$3)=IFERROR(MATCH(정기주문설정!$J52,정기주문설정!$O$3:$O$9,0),0)),IF(정기주문설정!$I52="격주",AND((WEEKDAY($B$3)=IFERROR(MATCH(정기주문설정!$J52,정기주문설정!$O$3:$O$9,0),0)),MOD(INT(($B$3-정기주문설정!$L52)/7),2)=0),IF(정기주문설정!$I52="매월",DAY($B$3)=정기주문설정!$K52,FALSE()))))),IF(정기주문설정!$I52="매일",TRUE(),IF(정기주문설정!$I52="매주",(WEEKDAY($B$3)=IFERROR(MATCH(정기주문설정!$J52,정기주문설정!$O$3:$O$9,0),0)),IF(정기주문설정!$I52="매월",DAY($B$3)=정기주문설정!$K52,FALSE()))))))</f>
        <v>0</v>
      </c>
      <c r="L55" s="5" t="str">
        <f aca="false">IF($K55=FALSE(),"",COUNTIF($K$6:$K55,TRUE()))</f>
        <v/>
      </c>
      <c r="M55" s="5" t="str">
        <f aca="false">IF($L55="","","R"&amp;$L55)</f>
        <v/>
      </c>
    </row>
    <row r="56" customFormat="false" ht="15" hidden="false" customHeight="true" outlineLevel="0" collapsed="false">
      <c r="A56" s="18" t="str">
        <f aca="false">IF($C56="","",$B$3)</f>
        <v/>
      </c>
      <c r="B56" s="19" t="str">
        <f aca="false">IFERROR(INDEX(정기주문설정!$B$3:$B$302,MATCH("R"&amp;51,주문생성!$M$6:$M$305,0)),"")</f>
        <v/>
      </c>
      <c r="C56" s="19" t="str">
        <f aca="false">IF($B56="","",IFERROR(INDEX(정기주문설정!$C$3:$C$302,MATCH("R"&amp;51,주문생성!$M$6:$M$305,0)),""))</f>
        <v/>
      </c>
      <c r="D56" s="19" t="str">
        <f aca="false">IF($B56="","",IFERROR(INDEX(정기주문설정!$D$3:$D$302,MATCH("R"&amp;51,주문생성!$M$6:$M$305,0)),""))</f>
        <v/>
      </c>
      <c r="E56" s="19" t="str">
        <f aca="false">IF($B56="","",IFERROR(INDEX(정기주문설정!$E$3:$E$302,MATCH("R"&amp;51,주문생성!$M$6:$M$305,0)),""))</f>
        <v/>
      </c>
      <c r="F56" s="19" t="str">
        <f aca="false">IF($B56="","",IFERROR(INDEX(정기주문설정!$F$3:$F$302,MATCH("R"&amp;51,주문생성!$M$6:$M$305,0)),""))</f>
        <v/>
      </c>
      <c r="G56" s="20" t="str">
        <f aca="false">IF($B56="","",IFERROR(INDEX(정기주문설정!$G$3:$G$302,MATCH("R"&amp;51,주문생성!$M$6:$M$305,0)),""))</f>
        <v/>
      </c>
      <c r="H56" s="12" t="str">
        <f aca="false">IF($B56="","",IFERROR(INDEX(정기주문설정!$H$3:$H$302,MATCH("R"&amp;51,주문생성!$M$6:$M$305,0)),""))</f>
        <v/>
      </c>
      <c r="I56" s="12" t="str">
        <f aca="false">IF($B56="","",ROUND($G56*$H56,0))</f>
        <v/>
      </c>
      <c r="K56" s="21" t="b">
        <f aca="false">IF(정기주문설정!$B53="",FALSE(),IF(정기주문설정!$M53="중지",FALSE(),IF(정기주문설정!$L53&lt;&gt;"",IF($B$3&lt;정기주문설정!$L53,FALSE(),IF(정기주문설정!$I53="매일",TRUE(),IF(정기주문설정!$I53="매주",(WEEKDAY($B$3)=IFERROR(MATCH(정기주문설정!$J53,정기주문설정!$O$3:$O$9,0),0)),IF(정기주문설정!$I53="격주",AND((WEEKDAY($B$3)=IFERROR(MATCH(정기주문설정!$J53,정기주문설정!$O$3:$O$9,0),0)),MOD(INT(($B$3-정기주문설정!$L53)/7),2)=0),IF(정기주문설정!$I53="매월",DAY($B$3)=정기주문설정!$K53,FALSE()))))),IF(정기주문설정!$I53="매일",TRUE(),IF(정기주문설정!$I53="매주",(WEEKDAY($B$3)=IFERROR(MATCH(정기주문설정!$J53,정기주문설정!$O$3:$O$9,0),0)),IF(정기주문설정!$I53="매월",DAY($B$3)=정기주문설정!$K53,FALSE()))))))</f>
        <v>0</v>
      </c>
      <c r="L56" s="5" t="str">
        <f aca="false">IF($K56=FALSE(),"",COUNTIF($K$6:$K56,TRUE()))</f>
        <v/>
      </c>
      <c r="M56" s="5" t="str">
        <f aca="false">IF($L56="","","R"&amp;$L56)</f>
        <v/>
      </c>
    </row>
    <row r="57" customFormat="false" ht="15" hidden="false" customHeight="true" outlineLevel="0" collapsed="false">
      <c r="A57" s="18" t="str">
        <f aca="false">IF($C57="","",$B$3)</f>
        <v/>
      </c>
      <c r="B57" s="19" t="str">
        <f aca="false">IFERROR(INDEX(정기주문설정!$B$3:$B$302,MATCH("R"&amp;52,주문생성!$M$6:$M$305,0)),"")</f>
        <v/>
      </c>
      <c r="C57" s="19" t="str">
        <f aca="false">IF($B57="","",IFERROR(INDEX(정기주문설정!$C$3:$C$302,MATCH("R"&amp;52,주문생성!$M$6:$M$305,0)),""))</f>
        <v/>
      </c>
      <c r="D57" s="19" t="str">
        <f aca="false">IF($B57="","",IFERROR(INDEX(정기주문설정!$D$3:$D$302,MATCH("R"&amp;52,주문생성!$M$6:$M$305,0)),""))</f>
        <v/>
      </c>
      <c r="E57" s="19" t="str">
        <f aca="false">IF($B57="","",IFERROR(INDEX(정기주문설정!$E$3:$E$302,MATCH("R"&amp;52,주문생성!$M$6:$M$305,0)),""))</f>
        <v/>
      </c>
      <c r="F57" s="19" t="str">
        <f aca="false">IF($B57="","",IFERROR(INDEX(정기주문설정!$F$3:$F$302,MATCH("R"&amp;52,주문생성!$M$6:$M$305,0)),""))</f>
        <v/>
      </c>
      <c r="G57" s="20" t="str">
        <f aca="false">IF($B57="","",IFERROR(INDEX(정기주문설정!$G$3:$G$302,MATCH("R"&amp;52,주문생성!$M$6:$M$305,0)),""))</f>
        <v/>
      </c>
      <c r="H57" s="12" t="str">
        <f aca="false">IF($B57="","",IFERROR(INDEX(정기주문설정!$H$3:$H$302,MATCH("R"&amp;52,주문생성!$M$6:$M$305,0)),""))</f>
        <v/>
      </c>
      <c r="I57" s="12" t="str">
        <f aca="false">IF($B57="","",ROUND($G57*$H57,0))</f>
        <v/>
      </c>
      <c r="K57" s="21" t="b">
        <f aca="false">IF(정기주문설정!$B54="",FALSE(),IF(정기주문설정!$M54="중지",FALSE(),IF(정기주문설정!$L54&lt;&gt;"",IF($B$3&lt;정기주문설정!$L54,FALSE(),IF(정기주문설정!$I54="매일",TRUE(),IF(정기주문설정!$I54="매주",(WEEKDAY($B$3)=IFERROR(MATCH(정기주문설정!$J54,정기주문설정!$O$3:$O$9,0),0)),IF(정기주문설정!$I54="격주",AND((WEEKDAY($B$3)=IFERROR(MATCH(정기주문설정!$J54,정기주문설정!$O$3:$O$9,0),0)),MOD(INT(($B$3-정기주문설정!$L54)/7),2)=0),IF(정기주문설정!$I54="매월",DAY($B$3)=정기주문설정!$K54,FALSE()))))),IF(정기주문설정!$I54="매일",TRUE(),IF(정기주문설정!$I54="매주",(WEEKDAY($B$3)=IFERROR(MATCH(정기주문설정!$J54,정기주문설정!$O$3:$O$9,0),0)),IF(정기주문설정!$I54="매월",DAY($B$3)=정기주문설정!$K54,FALSE()))))))</f>
        <v>0</v>
      </c>
      <c r="L57" s="5" t="str">
        <f aca="false">IF($K57=FALSE(),"",COUNTIF($K$6:$K57,TRUE()))</f>
        <v/>
      </c>
      <c r="M57" s="5" t="str">
        <f aca="false">IF($L57="","","R"&amp;$L57)</f>
        <v/>
      </c>
    </row>
    <row r="58" customFormat="false" ht="15" hidden="false" customHeight="true" outlineLevel="0" collapsed="false">
      <c r="A58" s="18" t="str">
        <f aca="false">IF($C58="","",$B$3)</f>
        <v/>
      </c>
      <c r="B58" s="19" t="str">
        <f aca="false">IFERROR(INDEX(정기주문설정!$B$3:$B$302,MATCH("R"&amp;53,주문생성!$M$6:$M$305,0)),"")</f>
        <v/>
      </c>
      <c r="C58" s="19" t="str">
        <f aca="false">IF($B58="","",IFERROR(INDEX(정기주문설정!$C$3:$C$302,MATCH("R"&amp;53,주문생성!$M$6:$M$305,0)),""))</f>
        <v/>
      </c>
      <c r="D58" s="19" t="str">
        <f aca="false">IF($B58="","",IFERROR(INDEX(정기주문설정!$D$3:$D$302,MATCH("R"&amp;53,주문생성!$M$6:$M$305,0)),""))</f>
        <v/>
      </c>
      <c r="E58" s="19" t="str">
        <f aca="false">IF($B58="","",IFERROR(INDEX(정기주문설정!$E$3:$E$302,MATCH("R"&amp;53,주문생성!$M$6:$M$305,0)),""))</f>
        <v/>
      </c>
      <c r="F58" s="19" t="str">
        <f aca="false">IF($B58="","",IFERROR(INDEX(정기주문설정!$F$3:$F$302,MATCH("R"&amp;53,주문생성!$M$6:$M$305,0)),""))</f>
        <v/>
      </c>
      <c r="G58" s="20" t="str">
        <f aca="false">IF($B58="","",IFERROR(INDEX(정기주문설정!$G$3:$G$302,MATCH("R"&amp;53,주문생성!$M$6:$M$305,0)),""))</f>
        <v/>
      </c>
      <c r="H58" s="12" t="str">
        <f aca="false">IF($B58="","",IFERROR(INDEX(정기주문설정!$H$3:$H$302,MATCH("R"&amp;53,주문생성!$M$6:$M$305,0)),""))</f>
        <v/>
      </c>
      <c r="I58" s="12" t="str">
        <f aca="false">IF($B58="","",ROUND($G58*$H58,0))</f>
        <v/>
      </c>
      <c r="K58" s="21" t="b">
        <f aca="false">IF(정기주문설정!$B55="",FALSE(),IF(정기주문설정!$M55="중지",FALSE(),IF(정기주문설정!$L55&lt;&gt;"",IF($B$3&lt;정기주문설정!$L55,FALSE(),IF(정기주문설정!$I55="매일",TRUE(),IF(정기주문설정!$I55="매주",(WEEKDAY($B$3)=IFERROR(MATCH(정기주문설정!$J55,정기주문설정!$O$3:$O$9,0),0)),IF(정기주문설정!$I55="격주",AND((WEEKDAY($B$3)=IFERROR(MATCH(정기주문설정!$J55,정기주문설정!$O$3:$O$9,0),0)),MOD(INT(($B$3-정기주문설정!$L55)/7),2)=0),IF(정기주문설정!$I55="매월",DAY($B$3)=정기주문설정!$K55,FALSE()))))),IF(정기주문설정!$I55="매일",TRUE(),IF(정기주문설정!$I55="매주",(WEEKDAY($B$3)=IFERROR(MATCH(정기주문설정!$J55,정기주문설정!$O$3:$O$9,0),0)),IF(정기주문설정!$I55="매월",DAY($B$3)=정기주문설정!$K55,FALSE()))))))</f>
        <v>0</v>
      </c>
      <c r="L58" s="5" t="str">
        <f aca="false">IF($K58=FALSE(),"",COUNTIF($K$6:$K58,TRUE()))</f>
        <v/>
      </c>
      <c r="M58" s="5" t="str">
        <f aca="false">IF($L58="","","R"&amp;$L58)</f>
        <v/>
      </c>
    </row>
    <row r="59" customFormat="false" ht="15" hidden="false" customHeight="true" outlineLevel="0" collapsed="false">
      <c r="A59" s="18" t="str">
        <f aca="false">IF($C59="","",$B$3)</f>
        <v/>
      </c>
      <c r="B59" s="19" t="str">
        <f aca="false">IFERROR(INDEX(정기주문설정!$B$3:$B$302,MATCH("R"&amp;54,주문생성!$M$6:$M$305,0)),"")</f>
        <v/>
      </c>
      <c r="C59" s="19" t="str">
        <f aca="false">IF($B59="","",IFERROR(INDEX(정기주문설정!$C$3:$C$302,MATCH("R"&amp;54,주문생성!$M$6:$M$305,0)),""))</f>
        <v/>
      </c>
      <c r="D59" s="19" t="str">
        <f aca="false">IF($B59="","",IFERROR(INDEX(정기주문설정!$D$3:$D$302,MATCH("R"&amp;54,주문생성!$M$6:$M$305,0)),""))</f>
        <v/>
      </c>
      <c r="E59" s="19" t="str">
        <f aca="false">IF($B59="","",IFERROR(INDEX(정기주문설정!$E$3:$E$302,MATCH("R"&amp;54,주문생성!$M$6:$M$305,0)),""))</f>
        <v/>
      </c>
      <c r="F59" s="19" t="str">
        <f aca="false">IF($B59="","",IFERROR(INDEX(정기주문설정!$F$3:$F$302,MATCH("R"&amp;54,주문생성!$M$6:$M$305,0)),""))</f>
        <v/>
      </c>
      <c r="G59" s="20" t="str">
        <f aca="false">IF($B59="","",IFERROR(INDEX(정기주문설정!$G$3:$G$302,MATCH("R"&amp;54,주문생성!$M$6:$M$305,0)),""))</f>
        <v/>
      </c>
      <c r="H59" s="12" t="str">
        <f aca="false">IF($B59="","",IFERROR(INDEX(정기주문설정!$H$3:$H$302,MATCH("R"&amp;54,주문생성!$M$6:$M$305,0)),""))</f>
        <v/>
      </c>
      <c r="I59" s="12" t="str">
        <f aca="false">IF($B59="","",ROUND($G59*$H59,0))</f>
        <v/>
      </c>
      <c r="K59" s="21" t="b">
        <f aca="false">IF(정기주문설정!$B56="",FALSE(),IF(정기주문설정!$M56="중지",FALSE(),IF(정기주문설정!$L56&lt;&gt;"",IF($B$3&lt;정기주문설정!$L56,FALSE(),IF(정기주문설정!$I56="매일",TRUE(),IF(정기주문설정!$I56="매주",(WEEKDAY($B$3)=IFERROR(MATCH(정기주문설정!$J56,정기주문설정!$O$3:$O$9,0),0)),IF(정기주문설정!$I56="격주",AND((WEEKDAY($B$3)=IFERROR(MATCH(정기주문설정!$J56,정기주문설정!$O$3:$O$9,0),0)),MOD(INT(($B$3-정기주문설정!$L56)/7),2)=0),IF(정기주문설정!$I56="매월",DAY($B$3)=정기주문설정!$K56,FALSE()))))),IF(정기주문설정!$I56="매일",TRUE(),IF(정기주문설정!$I56="매주",(WEEKDAY($B$3)=IFERROR(MATCH(정기주문설정!$J56,정기주문설정!$O$3:$O$9,0),0)),IF(정기주문설정!$I56="매월",DAY($B$3)=정기주문설정!$K56,FALSE()))))))</f>
        <v>0</v>
      </c>
      <c r="L59" s="5" t="str">
        <f aca="false">IF($K59=FALSE(),"",COUNTIF($K$6:$K59,TRUE()))</f>
        <v/>
      </c>
      <c r="M59" s="5" t="str">
        <f aca="false">IF($L59="","","R"&amp;$L59)</f>
        <v/>
      </c>
    </row>
    <row r="60" customFormat="false" ht="15" hidden="false" customHeight="true" outlineLevel="0" collapsed="false">
      <c r="A60" s="18" t="str">
        <f aca="false">IF($C60="","",$B$3)</f>
        <v/>
      </c>
      <c r="B60" s="19" t="str">
        <f aca="false">IFERROR(INDEX(정기주문설정!$B$3:$B$302,MATCH("R"&amp;55,주문생성!$M$6:$M$305,0)),"")</f>
        <v/>
      </c>
      <c r="C60" s="19" t="str">
        <f aca="false">IF($B60="","",IFERROR(INDEX(정기주문설정!$C$3:$C$302,MATCH("R"&amp;55,주문생성!$M$6:$M$305,0)),""))</f>
        <v/>
      </c>
      <c r="D60" s="19" t="str">
        <f aca="false">IF($B60="","",IFERROR(INDEX(정기주문설정!$D$3:$D$302,MATCH("R"&amp;55,주문생성!$M$6:$M$305,0)),""))</f>
        <v/>
      </c>
      <c r="E60" s="19" t="str">
        <f aca="false">IF($B60="","",IFERROR(INDEX(정기주문설정!$E$3:$E$302,MATCH("R"&amp;55,주문생성!$M$6:$M$305,0)),""))</f>
        <v/>
      </c>
      <c r="F60" s="19" t="str">
        <f aca="false">IF($B60="","",IFERROR(INDEX(정기주문설정!$F$3:$F$302,MATCH("R"&amp;55,주문생성!$M$6:$M$305,0)),""))</f>
        <v/>
      </c>
      <c r="G60" s="20" t="str">
        <f aca="false">IF($B60="","",IFERROR(INDEX(정기주문설정!$G$3:$G$302,MATCH("R"&amp;55,주문생성!$M$6:$M$305,0)),""))</f>
        <v/>
      </c>
      <c r="H60" s="12" t="str">
        <f aca="false">IF($B60="","",IFERROR(INDEX(정기주문설정!$H$3:$H$302,MATCH("R"&amp;55,주문생성!$M$6:$M$305,0)),""))</f>
        <v/>
      </c>
      <c r="I60" s="12" t="str">
        <f aca="false">IF($B60="","",ROUND($G60*$H60,0))</f>
        <v/>
      </c>
      <c r="K60" s="21" t="b">
        <f aca="false">IF(정기주문설정!$B57="",FALSE(),IF(정기주문설정!$M57="중지",FALSE(),IF(정기주문설정!$L57&lt;&gt;"",IF($B$3&lt;정기주문설정!$L57,FALSE(),IF(정기주문설정!$I57="매일",TRUE(),IF(정기주문설정!$I57="매주",(WEEKDAY($B$3)=IFERROR(MATCH(정기주문설정!$J57,정기주문설정!$O$3:$O$9,0),0)),IF(정기주문설정!$I57="격주",AND((WEEKDAY($B$3)=IFERROR(MATCH(정기주문설정!$J57,정기주문설정!$O$3:$O$9,0),0)),MOD(INT(($B$3-정기주문설정!$L57)/7),2)=0),IF(정기주문설정!$I57="매월",DAY($B$3)=정기주문설정!$K57,FALSE()))))),IF(정기주문설정!$I57="매일",TRUE(),IF(정기주문설정!$I57="매주",(WEEKDAY($B$3)=IFERROR(MATCH(정기주문설정!$J57,정기주문설정!$O$3:$O$9,0),0)),IF(정기주문설정!$I57="매월",DAY($B$3)=정기주문설정!$K57,FALSE()))))))</f>
        <v>0</v>
      </c>
      <c r="L60" s="5" t="str">
        <f aca="false">IF($K60=FALSE(),"",COUNTIF($K$6:$K60,TRUE()))</f>
        <v/>
      </c>
      <c r="M60" s="5" t="str">
        <f aca="false">IF($L60="","","R"&amp;$L60)</f>
        <v/>
      </c>
    </row>
    <row r="61" customFormat="false" ht="15" hidden="false" customHeight="true" outlineLevel="0" collapsed="false">
      <c r="A61" s="18" t="str">
        <f aca="false">IF($C61="","",$B$3)</f>
        <v/>
      </c>
      <c r="B61" s="19" t="str">
        <f aca="false">IFERROR(INDEX(정기주문설정!$B$3:$B$302,MATCH("R"&amp;56,주문생성!$M$6:$M$305,0)),"")</f>
        <v/>
      </c>
      <c r="C61" s="19" t="str">
        <f aca="false">IF($B61="","",IFERROR(INDEX(정기주문설정!$C$3:$C$302,MATCH("R"&amp;56,주문생성!$M$6:$M$305,0)),""))</f>
        <v/>
      </c>
      <c r="D61" s="19" t="str">
        <f aca="false">IF($B61="","",IFERROR(INDEX(정기주문설정!$D$3:$D$302,MATCH("R"&amp;56,주문생성!$M$6:$M$305,0)),""))</f>
        <v/>
      </c>
      <c r="E61" s="19" t="str">
        <f aca="false">IF($B61="","",IFERROR(INDEX(정기주문설정!$E$3:$E$302,MATCH("R"&amp;56,주문생성!$M$6:$M$305,0)),""))</f>
        <v/>
      </c>
      <c r="F61" s="19" t="str">
        <f aca="false">IF($B61="","",IFERROR(INDEX(정기주문설정!$F$3:$F$302,MATCH("R"&amp;56,주문생성!$M$6:$M$305,0)),""))</f>
        <v/>
      </c>
      <c r="G61" s="20" t="str">
        <f aca="false">IF($B61="","",IFERROR(INDEX(정기주문설정!$G$3:$G$302,MATCH("R"&amp;56,주문생성!$M$6:$M$305,0)),""))</f>
        <v/>
      </c>
      <c r="H61" s="12" t="str">
        <f aca="false">IF($B61="","",IFERROR(INDEX(정기주문설정!$H$3:$H$302,MATCH("R"&amp;56,주문생성!$M$6:$M$305,0)),""))</f>
        <v/>
      </c>
      <c r="I61" s="12" t="str">
        <f aca="false">IF($B61="","",ROUND($G61*$H61,0))</f>
        <v/>
      </c>
      <c r="K61" s="21" t="b">
        <f aca="false">IF(정기주문설정!$B58="",FALSE(),IF(정기주문설정!$M58="중지",FALSE(),IF(정기주문설정!$L58&lt;&gt;"",IF($B$3&lt;정기주문설정!$L58,FALSE(),IF(정기주문설정!$I58="매일",TRUE(),IF(정기주문설정!$I58="매주",(WEEKDAY($B$3)=IFERROR(MATCH(정기주문설정!$J58,정기주문설정!$O$3:$O$9,0),0)),IF(정기주문설정!$I58="격주",AND((WEEKDAY($B$3)=IFERROR(MATCH(정기주문설정!$J58,정기주문설정!$O$3:$O$9,0),0)),MOD(INT(($B$3-정기주문설정!$L58)/7),2)=0),IF(정기주문설정!$I58="매월",DAY($B$3)=정기주문설정!$K58,FALSE()))))),IF(정기주문설정!$I58="매일",TRUE(),IF(정기주문설정!$I58="매주",(WEEKDAY($B$3)=IFERROR(MATCH(정기주문설정!$J58,정기주문설정!$O$3:$O$9,0),0)),IF(정기주문설정!$I58="매월",DAY($B$3)=정기주문설정!$K58,FALSE()))))))</f>
        <v>0</v>
      </c>
      <c r="L61" s="5" t="str">
        <f aca="false">IF($K61=FALSE(),"",COUNTIF($K$6:$K61,TRUE()))</f>
        <v/>
      </c>
      <c r="M61" s="5" t="str">
        <f aca="false">IF($L61="","","R"&amp;$L61)</f>
        <v/>
      </c>
    </row>
    <row r="62" customFormat="false" ht="15" hidden="false" customHeight="true" outlineLevel="0" collapsed="false">
      <c r="A62" s="18" t="str">
        <f aca="false">IF($C62="","",$B$3)</f>
        <v/>
      </c>
      <c r="B62" s="19" t="str">
        <f aca="false">IFERROR(INDEX(정기주문설정!$B$3:$B$302,MATCH("R"&amp;57,주문생성!$M$6:$M$305,0)),"")</f>
        <v/>
      </c>
      <c r="C62" s="19" t="str">
        <f aca="false">IF($B62="","",IFERROR(INDEX(정기주문설정!$C$3:$C$302,MATCH("R"&amp;57,주문생성!$M$6:$M$305,0)),""))</f>
        <v/>
      </c>
      <c r="D62" s="19" t="str">
        <f aca="false">IF($B62="","",IFERROR(INDEX(정기주문설정!$D$3:$D$302,MATCH("R"&amp;57,주문생성!$M$6:$M$305,0)),""))</f>
        <v/>
      </c>
      <c r="E62" s="19" t="str">
        <f aca="false">IF($B62="","",IFERROR(INDEX(정기주문설정!$E$3:$E$302,MATCH("R"&amp;57,주문생성!$M$6:$M$305,0)),""))</f>
        <v/>
      </c>
      <c r="F62" s="19" t="str">
        <f aca="false">IF($B62="","",IFERROR(INDEX(정기주문설정!$F$3:$F$302,MATCH("R"&amp;57,주문생성!$M$6:$M$305,0)),""))</f>
        <v/>
      </c>
      <c r="G62" s="20" t="str">
        <f aca="false">IF($B62="","",IFERROR(INDEX(정기주문설정!$G$3:$G$302,MATCH("R"&amp;57,주문생성!$M$6:$M$305,0)),""))</f>
        <v/>
      </c>
      <c r="H62" s="12" t="str">
        <f aca="false">IF($B62="","",IFERROR(INDEX(정기주문설정!$H$3:$H$302,MATCH("R"&amp;57,주문생성!$M$6:$M$305,0)),""))</f>
        <v/>
      </c>
      <c r="I62" s="12" t="str">
        <f aca="false">IF($B62="","",ROUND($G62*$H62,0))</f>
        <v/>
      </c>
      <c r="K62" s="21" t="b">
        <f aca="false">IF(정기주문설정!$B59="",FALSE(),IF(정기주문설정!$M59="중지",FALSE(),IF(정기주문설정!$L59&lt;&gt;"",IF($B$3&lt;정기주문설정!$L59,FALSE(),IF(정기주문설정!$I59="매일",TRUE(),IF(정기주문설정!$I59="매주",(WEEKDAY($B$3)=IFERROR(MATCH(정기주문설정!$J59,정기주문설정!$O$3:$O$9,0),0)),IF(정기주문설정!$I59="격주",AND((WEEKDAY($B$3)=IFERROR(MATCH(정기주문설정!$J59,정기주문설정!$O$3:$O$9,0),0)),MOD(INT(($B$3-정기주문설정!$L59)/7),2)=0),IF(정기주문설정!$I59="매월",DAY($B$3)=정기주문설정!$K59,FALSE()))))),IF(정기주문설정!$I59="매일",TRUE(),IF(정기주문설정!$I59="매주",(WEEKDAY($B$3)=IFERROR(MATCH(정기주문설정!$J59,정기주문설정!$O$3:$O$9,0),0)),IF(정기주문설정!$I59="매월",DAY($B$3)=정기주문설정!$K59,FALSE()))))))</f>
        <v>0</v>
      </c>
      <c r="L62" s="5" t="str">
        <f aca="false">IF($K62=FALSE(),"",COUNTIF($K$6:$K62,TRUE()))</f>
        <v/>
      </c>
      <c r="M62" s="5" t="str">
        <f aca="false">IF($L62="","","R"&amp;$L62)</f>
        <v/>
      </c>
    </row>
    <row r="63" customFormat="false" ht="15" hidden="false" customHeight="true" outlineLevel="0" collapsed="false">
      <c r="A63" s="18" t="str">
        <f aca="false">IF($C63="","",$B$3)</f>
        <v/>
      </c>
      <c r="B63" s="19" t="str">
        <f aca="false">IFERROR(INDEX(정기주문설정!$B$3:$B$302,MATCH("R"&amp;58,주문생성!$M$6:$M$305,0)),"")</f>
        <v/>
      </c>
      <c r="C63" s="19" t="str">
        <f aca="false">IF($B63="","",IFERROR(INDEX(정기주문설정!$C$3:$C$302,MATCH("R"&amp;58,주문생성!$M$6:$M$305,0)),""))</f>
        <v/>
      </c>
      <c r="D63" s="19" t="str">
        <f aca="false">IF($B63="","",IFERROR(INDEX(정기주문설정!$D$3:$D$302,MATCH("R"&amp;58,주문생성!$M$6:$M$305,0)),""))</f>
        <v/>
      </c>
      <c r="E63" s="19" t="str">
        <f aca="false">IF($B63="","",IFERROR(INDEX(정기주문설정!$E$3:$E$302,MATCH("R"&amp;58,주문생성!$M$6:$M$305,0)),""))</f>
        <v/>
      </c>
      <c r="F63" s="19" t="str">
        <f aca="false">IF($B63="","",IFERROR(INDEX(정기주문설정!$F$3:$F$302,MATCH("R"&amp;58,주문생성!$M$6:$M$305,0)),""))</f>
        <v/>
      </c>
      <c r="G63" s="20" t="str">
        <f aca="false">IF($B63="","",IFERROR(INDEX(정기주문설정!$G$3:$G$302,MATCH("R"&amp;58,주문생성!$M$6:$M$305,0)),""))</f>
        <v/>
      </c>
      <c r="H63" s="12" t="str">
        <f aca="false">IF($B63="","",IFERROR(INDEX(정기주문설정!$H$3:$H$302,MATCH("R"&amp;58,주문생성!$M$6:$M$305,0)),""))</f>
        <v/>
      </c>
      <c r="I63" s="12" t="str">
        <f aca="false">IF($B63="","",ROUND($G63*$H63,0))</f>
        <v/>
      </c>
      <c r="K63" s="21" t="b">
        <f aca="false">IF(정기주문설정!$B60="",FALSE(),IF(정기주문설정!$M60="중지",FALSE(),IF(정기주문설정!$L60&lt;&gt;"",IF($B$3&lt;정기주문설정!$L60,FALSE(),IF(정기주문설정!$I60="매일",TRUE(),IF(정기주문설정!$I60="매주",(WEEKDAY($B$3)=IFERROR(MATCH(정기주문설정!$J60,정기주문설정!$O$3:$O$9,0),0)),IF(정기주문설정!$I60="격주",AND((WEEKDAY($B$3)=IFERROR(MATCH(정기주문설정!$J60,정기주문설정!$O$3:$O$9,0),0)),MOD(INT(($B$3-정기주문설정!$L60)/7),2)=0),IF(정기주문설정!$I60="매월",DAY($B$3)=정기주문설정!$K60,FALSE()))))),IF(정기주문설정!$I60="매일",TRUE(),IF(정기주문설정!$I60="매주",(WEEKDAY($B$3)=IFERROR(MATCH(정기주문설정!$J60,정기주문설정!$O$3:$O$9,0),0)),IF(정기주문설정!$I60="매월",DAY($B$3)=정기주문설정!$K60,FALSE()))))))</f>
        <v>0</v>
      </c>
      <c r="L63" s="5" t="str">
        <f aca="false">IF($K63=FALSE(),"",COUNTIF($K$6:$K63,TRUE()))</f>
        <v/>
      </c>
      <c r="M63" s="5" t="str">
        <f aca="false">IF($L63="","","R"&amp;$L63)</f>
        <v/>
      </c>
    </row>
    <row r="64" customFormat="false" ht="15" hidden="false" customHeight="true" outlineLevel="0" collapsed="false">
      <c r="A64" s="18" t="str">
        <f aca="false">IF($C64="","",$B$3)</f>
        <v/>
      </c>
      <c r="B64" s="19" t="str">
        <f aca="false">IFERROR(INDEX(정기주문설정!$B$3:$B$302,MATCH("R"&amp;59,주문생성!$M$6:$M$305,0)),"")</f>
        <v/>
      </c>
      <c r="C64" s="19" t="str">
        <f aca="false">IF($B64="","",IFERROR(INDEX(정기주문설정!$C$3:$C$302,MATCH("R"&amp;59,주문생성!$M$6:$M$305,0)),""))</f>
        <v/>
      </c>
      <c r="D64" s="19" t="str">
        <f aca="false">IF($B64="","",IFERROR(INDEX(정기주문설정!$D$3:$D$302,MATCH("R"&amp;59,주문생성!$M$6:$M$305,0)),""))</f>
        <v/>
      </c>
      <c r="E64" s="19" t="str">
        <f aca="false">IF($B64="","",IFERROR(INDEX(정기주문설정!$E$3:$E$302,MATCH("R"&amp;59,주문생성!$M$6:$M$305,0)),""))</f>
        <v/>
      </c>
      <c r="F64" s="19" t="str">
        <f aca="false">IF($B64="","",IFERROR(INDEX(정기주문설정!$F$3:$F$302,MATCH("R"&amp;59,주문생성!$M$6:$M$305,0)),""))</f>
        <v/>
      </c>
      <c r="G64" s="20" t="str">
        <f aca="false">IF($B64="","",IFERROR(INDEX(정기주문설정!$G$3:$G$302,MATCH("R"&amp;59,주문생성!$M$6:$M$305,0)),""))</f>
        <v/>
      </c>
      <c r="H64" s="12" t="str">
        <f aca="false">IF($B64="","",IFERROR(INDEX(정기주문설정!$H$3:$H$302,MATCH("R"&amp;59,주문생성!$M$6:$M$305,0)),""))</f>
        <v/>
      </c>
      <c r="I64" s="12" t="str">
        <f aca="false">IF($B64="","",ROUND($G64*$H64,0))</f>
        <v/>
      </c>
      <c r="K64" s="21" t="b">
        <f aca="false">IF(정기주문설정!$B61="",FALSE(),IF(정기주문설정!$M61="중지",FALSE(),IF(정기주문설정!$L61&lt;&gt;"",IF($B$3&lt;정기주문설정!$L61,FALSE(),IF(정기주문설정!$I61="매일",TRUE(),IF(정기주문설정!$I61="매주",(WEEKDAY($B$3)=IFERROR(MATCH(정기주문설정!$J61,정기주문설정!$O$3:$O$9,0),0)),IF(정기주문설정!$I61="격주",AND((WEEKDAY($B$3)=IFERROR(MATCH(정기주문설정!$J61,정기주문설정!$O$3:$O$9,0),0)),MOD(INT(($B$3-정기주문설정!$L61)/7),2)=0),IF(정기주문설정!$I61="매월",DAY($B$3)=정기주문설정!$K61,FALSE()))))),IF(정기주문설정!$I61="매일",TRUE(),IF(정기주문설정!$I61="매주",(WEEKDAY($B$3)=IFERROR(MATCH(정기주문설정!$J61,정기주문설정!$O$3:$O$9,0),0)),IF(정기주문설정!$I61="매월",DAY($B$3)=정기주문설정!$K61,FALSE()))))))</f>
        <v>0</v>
      </c>
      <c r="L64" s="5" t="str">
        <f aca="false">IF($K64=FALSE(),"",COUNTIF($K$6:$K64,TRUE()))</f>
        <v/>
      </c>
      <c r="M64" s="5" t="str">
        <f aca="false">IF($L64="","","R"&amp;$L64)</f>
        <v/>
      </c>
    </row>
    <row r="65" customFormat="false" ht="15" hidden="false" customHeight="true" outlineLevel="0" collapsed="false">
      <c r="A65" s="18" t="str">
        <f aca="false">IF($C65="","",$B$3)</f>
        <v/>
      </c>
      <c r="B65" s="19" t="str">
        <f aca="false">IFERROR(INDEX(정기주문설정!$B$3:$B$302,MATCH("R"&amp;60,주문생성!$M$6:$M$305,0)),"")</f>
        <v/>
      </c>
      <c r="C65" s="19" t="str">
        <f aca="false">IF($B65="","",IFERROR(INDEX(정기주문설정!$C$3:$C$302,MATCH("R"&amp;60,주문생성!$M$6:$M$305,0)),""))</f>
        <v/>
      </c>
      <c r="D65" s="19" t="str">
        <f aca="false">IF($B65="","",IFERROR(INDEX(정기주문설정!$D$3:$D$302,MATCH("R"&amp;60,주문생성!$M$6:$M$305,0)),""))</f>
        <v/>
      </c>
      <c r="E65" s="19" t="str">
        <f aca="false">IF($B65="","",IFERROR(INDEX(정기주문설정!$E$3:$E$302,MATCH("R"&amp;60,주문생성!$M$6:$M$305,0)),""))</f>
        <v/>
      </c>
      <c r="F65" s="19" t="str">
        <f aca="false">IF($B65="","",IFERROR(INDEX(정기주문설정!$F$3:$F$302,MATCH("R"&amp;60,주문생성!$M$6:$M$305,0)),""))</f>
        <v/>
      </c>
      <c r="G65" s="20" t="str">
        <f aca="false">IF($B65="","",IFERROR(INDEX(정기주문설정!$G$3:$G$302,MATCH("R"&amp;60,주문생성!$M$6:$M$305,0)),""))</f>
        <v/>
      </c>
      <c r="H65" s="12" t="str">
        <f aca="false">IF($B65="","",IFERROR(INDEX(정기주문설정!$H$3:$H$302,MATCH("R"&amp;60,주문생성!$M$6:$M$305,0)),""))</f>
        <v/>
      </c>
      <c r="I65" s="12" t="str">
        <f aca="false">IF($B65="","",ROUND($G65*$H65,0))</f>
        <v/>
      </c>
      <c r="K65" s="21" t="b">
        <f aca="false">IF(정기주문설정!$B62="",FALSE(),IF(정기주문설정!$M62="중지",FALSE(),IF(정기주문설정!$L62&lt;&gt;"",IF($B$3&lt;정기주문설정!$L62,FALSE(),IF(정기주문설정!$I62="매일",TRUE(),IF(정기주문설정!$I62="매주",(WEEKDAY($B$3)=IFERROR(MATCH(정기주문설정!$J62,정기주문설정!$O$3:$O$9,0),0)),IF(정기주문설정!$I62="격주",AND((WEEKDAY($B$3)=IFERROR(MATCH(정기주문설정!$J62,정기주문설정!$O$3:$O$9,0),0)),MOD(INT(($B$3-정기주문설정!$L62)/7),2)=0),IF(정기주문설정!$I62="매월",DAY($B$3)=정기주문설정!$K62,FALSE()))))),IF(정기주문설정!$I62="매일",TRUE(),IF(정기주문설정!$I62="매주",(WEEKDAY($B$3)=IFERROR(MATCH(정기주문설정!$J62,정기주문설정!$O$3:$O$9,0),0)),IF(정기주문설정!$I62="매월",DAY($B$3)=정기주문설정!$K62,FALSE()))))))</f>
        <v>0</v>
      </c>
      <c r="L65" s="5" t="str">
        <f aca="false">IF($K65=FALSE(),"",COUNTIF($K$6:$K65,TRUE()))</f>
        <v/>
      </c>
      <c r="M65" s="5" t="str">
        <f aca="false">IF($L65="","","R"&amp;$L65)</f>
        <v/>
      </c>
    </row>
    <row r="66" customFormat="false" ht="15" hidden="false" customHeight="true" outlineLevel="0" collapsed="false">
      <c r="A66" s="18" t="str">
        <f aca="false">IF($C66="","",$B$3)</f>
        <v/>
      </c>
      <c r="B66" s="19" t="str">
        <f aca="false">IFERROR(INDEX(정기주문설정!$B$3:$B$302,MATCH("R"&amp;61,주문생성!$M$6:$M$305,0)),"")</f>
        <v/>
      </c>
      <c r="C66" s="19" t="str">
        <f aca="false">IF($B66="","",IFERROR(INDEX(정기주문설정!$C$3:$C$302,MATCH("R"&amp;61,주문생성!$M$6:$M$305,0)),""))</f>
        <v/>
      </c>
      <c r="D66" s="19" t="str">
        <f aca="false">IF($B66="","",IFERROR(INDEX(정기주문설정!$D$3:$D$302,MATCH("R"&amp;61,주문생성!$M$6:$M$305,0)),""))</f>
        <v/>
      </c>
      <c r="E66" s="19" t="str">
        <f aca="false">IF($B66="","",IFERROR(INDEX(정기주문설정!$E$3:$E$302,MATCH("R"&amp;61,주문생성!$M$6:$M$305,0)),""))</f>
        <v/>
      </c>
      <c r="F66" s="19" t="str">
        <f aca="false">IF($B66="","",IFERROR(INDEX(정기주문설정!$F$3:$F$302,MATCH("R"&amp;61,주문생성!$M$6:$M$305,0)),""))</f>
        <v/>
      </c>
      <c r="G66" s="20" t="str">
        <f aca="false">IF($B66="","",IFERROR(INDEX(정기주문설정!$G$3:$G$302,MATCH("R"&amp;61,주문생성!$M$6:$M$305,0)),""))</f>
        <v/>
      </c>
      <c r="H66" s="12" t="str">
        <f aca="false">IF($B66="","",IFERROR(INDEX(정기주문설정!$H$3:$H$302,MATCH("R"&amp;61,주문생성!$M$6:$M$305,0)),""))</f>
        <v/>
      </c>
      <c r="I66" s="12" t="str">
        <f aca="false">IF($B66="","",ROUND($G66*$H66,0))</f>
        <v/>
      </c>
      <c r="K66" s="21" t="b">
        <f aca="false">IF(정기주문설정!$B63="",FALSE(),IF(정기주문설정!$M63="중지",FALSE(),IF(정기주문설정!$L63&lt;&gt;"",IF($B$3&lt;정기주문설정!$L63,FALSE(),IF(정기주문설정!$I63="매일",TRUE(),IF(정기주문설정!$I63="매주",(WEEKDAY($B$3)=IFERROR(MATCH(정기주문설정!$J63,정기주문설정!$O$3:$O$9,0),0)),IF(정기주문설정!$I63="격주",AND((WEEKDAY($B$3)=IFERROR(MATCH(정기주문설정!$J63,정기주문설정!$O$3:$O$9,0),0)),MOD(INT(($B$3-정기주문설정!$L63)/7),2)=0),IF(정기주문설정!$I63="매월",DAY($B$3)=정기주문설정!$K63,FALSE()))))),IF(정기주문설정!$I63="매일",TRUE(),IF(정기주문설정!$I63="매주",(WEEKDAY($B$3)=IFERROR(MATCH(정기주문설정!$J63,정기주문설정!$O$3:$O$9,0),0)),IF(정기주문설정!$I63="매월",DAY($B$3)=정기주문설정!$K63,FALSE()))))))</f>
        <v>0</v>
      </c>
      <c r="L66" s="5" t="str">
        <f aca="false">IF($K66=FALSE(),"",COUNTIF($K$6:$K66,TRUE()))</f>
        <v/>
      </c>
      <c r="M66" s="5" t="str">
        <f aca="false">IF($L66="","","R"&amp;$L66)</f>
        <v/>
      </c>
    </row>
    <row r="67" customFormat="false" ht="15" hidden="false" customHeight="true" outlineLevel="0" collapsed="false">
      <c r="A67" s="18" t="str">
        <f aca="false">IF($C67="","",$B$3)</f>
        <v/>
      </c>
      <c r="B67" s="19" t="str">
        <f aca="false">IFERROR(INDEX(정기주문설정!$B$3:$B$302,MATCH("R"&amp;62,주문생성!$M$6:$M$305,0)),"")</f>
        <v/>
      </c>
      <c r="C67" s="19" t="str">
        <f aca="false">IF($B67="","",IFERROR(INDEX(정기주문설정!$C$3:$C$302,MATCH("R"&amp;62,주문생성!$M$6:$M$305,0)),""))</f>
        <v/>
      </c>
      <c r="D67" s="19" t="str">
        <f aca="false">IF($B67="","",IFERROR(INDEX(정기주문설정!$D$3:$D$302,MATCH("R"&amp;62,주문생성!$M$6:$M$305,0)),""))</f>
        <v/>
      </c>
      <c r="E67" s="19" t="str">
        <f aca="false">IF($B67="","",IFERROR(INDEX(정기주문설정!$E$3:$E$302,MATCH("R"&amp;62,주문생성!$M$6:$M$305,0)),""))</f>
        <v/>
      </c>
      <c r="F67" s="19" t="str">
        <f aca="false">IF($B67="","",IFERROR(INDEX(정기주문설정!$F$3:$F$302,MATCH("R"&amp;62,주문생성!$M$6:$M$305,0)),""))</f>
        <v/>
      </c>
      <c r="G67" s="20" t="str">
        <f aca="false">IF($B67="","",IFERROR(INDEX(정기주문설정!$G$3:$G$302,MATCH("R"&amp;62,주문생성!$M$6:$M$305,0)),""))</f>
        <v/>
      </c>
      <c r="H67" s="12" t="str">
        <f aca="false">IF($B67="","",IFERROR(INDEX(정기주문설정!$H$3:$H$302,MATCH("R"&amp;62,주문생성!$M$6:$M$305,0)),""))</f>
        <v/>
      </c>
      <c r="I67" s="12" t="str">
        <f aca="false">IF($B67="","",ROUND($G67*$H67,0))</f>
        <v/>
      </c>
      <c r="K67" s="21" t="b">
        <f aca="false">IF(정기주문설정!$B64="",FALSE(),IF(정기주문설정!$M64="중지",FALSE(),IF(정기주문설정!$L64&lt;&gt;"",IF($B$3&lt;정기주문설정!$L64,FALSE(),IF(정기주문설정!$I64="매일",TRUE(),IF(정기주문설정!$I64="매주",(WEEKDAY($B$3)=IFERROR(MATCH(정기주문설정!$J64,정기주문설정!$O$3:$O$9,0),0)),IF(정기주문설정!$I64="격주",AND((WEEKDAY($B$3)=IFERROR(MATCH(정기주문설정!$J64,정기주문설정!$O$3:$O$9,0),0)),MOD(INT(($B$3-정기주문설정!$L64)/7),2)=0),IF(정기주문설정!$I64="매월",DAY($B$3)=정기주문설정!$K64,FALSE()))))),IF(정기주문설정!$I64="매일",TRUE(),IF(정기주문설정!$I64="매주",(WEEKDAY($B$3)=IFERROR(MATCH(정기주문설정!$J64,정기주문설정!$O$3:$O$9,0),0)),IF(정기주문설정!$I64="매월",DAY($B$3)=정기주문설정!$K64,FALSE()))))))</f>
        <v>0</v>
      </c>
      <c r="L67" s="5" t="str">
        <f aca="false">IF($K67=FALSE(),"",COUNTIF($K$6:$K67,TRUE()))</f>
        <v/>
      </c>
      <c r="M67" s="5" t="str">
        <f aca="false">IF($L67="","","R"&amp;$L67)</f>
        <v/>
      </c>
    </row>
    <row r="68" customFormat="false" ht="15" hidden="false" customHeight="true" outlineLevel="0" collapsed="false">
      <c r="A68" s="18" t="str">
        <f aca="false">IF($C68="","",$B$3)</f>
        <v/>
      </c>
      <c r="B68" s="19" t="str">
        <f aca="false">IFERROR(INDEX(정기주문설정!$B$3:$B$302,MATCH("R"&amp;63,주문생성!$M$6:$M$305,0)),"")</f>
        <v/>
      </c>
      <c r="C68" s="19" t="str">
        <f aca="false">IF($B68="","",IFERROR(INDEX(정기주문설정!$C$3:$C$302,MATCH("R"&amp;63,주문생성!$M$6:$M$305,0)),""))</f>
        <v/>
      </c>
      <c r="D68" s="19" t="str">
        <f aca="false">IF($B68="","",IFERROR(INDEX(정기주문설정!$D$3:$D$302,MATCH("R"&amp;63,주문생성!$M$6:$M$305,0)),""))</f>
        <v/>
      </c>
      <c r="E68" s="19" t="str">
        <f aca="false">IF($B68="","",IFERROR(INDEX(정기주문설정!$E$3:$E$302,MATCH("R"&amp;63,주문생성!$M$6:$M$305,0)),""))</f>
        <v/>
      </c>
      <c r="F68" s="19" t="str">
        <f aca="false">IF($B68="","",IFERROR(INDEX(정기주문설정!$F$3:$F$302,MATCH("R"&amp;63,주문생성!$M$6:$M$305,0)),""))</f>
        <v/>
      </c>
      <c r="G68" s="20" t="str">
        <f aca="false">IF($B68="","",IFERROR(INDEX(정기주문설정!$G$3:$G$302,MATCH("R"&amp;63,주문생성!$M$6:$M$305,0)),""))</f>
        <v/>
      </c>
      <c r="H68" s="12" t="str">
        <f aca="false">IF($B68="","",IFERROR(INDEX(정기주문설정!$H$3:$H$302,MATCH("R"&amp;63,주문생성!$M$6:$M$305,0)),""))</f>
        <v/>
      </c>
      <c r="I68" s="12" t="str">
        <f aca="false">IF($B68="","",ROUND($G68*$H68,0))</f>
        <v/>
      </c>
      <c r="K68" s="21" t="b">
        <f aca="false">IF(정기주문설정!$B65="",FALSE(),IF(정기주문설정!$M65="중지",FALSE(),IF(정기주문설정!$L65&lt;&gt;"",IF($B$3&lt;정기주문설정!$L65,FALSE(),IF(정기주문설정!$I65="매일",TRUE(),IF(정기주문설정!$I65="매주",(WEEKDAY($B$3)=IFERROR(MATCH(정기주문설정!$J65,정기주문설정!$O$3:$O$9,0),0)),IF(정기주문설정!$I65="격주",AND((WEEKDAY($B$3)=IFERROR(MATCH(정기주문설정!$J65,정기주문설정!$O$3:$O$9,0),0)),MOD(INT(($B$3-정기주문설정!$L65)/7),2)=0),IF(정기주문설정!$I65="매월",DAY($B$3)=정기주문설정!$K65,FALSE()))))),IF(정기주문설정!$I65="매일",TRUE(),IF(정기주문설정!$I65="매주",(WEEKDAY($B$3)=IFERROR(MATCH(정기주문설정!$J65,정기주문설정!$O$3:$O$9,0),0)),IF(정기주문설정!$I65="매월",DAY($B$3)=정기주문설정!$K65,FALSE()))))))</f>
        <v>0</v>
      </c>
      <c r="L68" s="5" t="str">
        <f aca="false">IF($K68=FALSE(),"",COUNTIF($K$6:$K68,TRUE()))</f>
        <v/>
      </c>
      <c r="M68" s="5" t="str">
        <f aca="false">IF($L68="","","R"&amp;$L68)</f>
        <v/>
      </c>
    </row>
    <row r="69" customFormat="false" ht="15" hidden="false" customHeight="true" outlineLevel="0" collapsed="false">
      <c r="A69" s="18" t="str">
        <f aca="false">IF($C69="","",$B$3)</f>
        <v/>
      </c>
      <c r="B69" s="19" t="str">
        <f aca="false">IFERROR(INDEX(정기주문설정!$B$3:$B$302,MATCH("R"&amp;64,주문생성!$M$6:$M$305,0)),"")</f>
        <v/>
      </c>
      <c r="C69" s="19" t="str">
        <f aca="false">IF($B69="","",IFERROR(INDEX(정기주문설정!$C$3:$C$302,MATCH("R"&amp;64,주문생성!$M$6:$M$305,0)),""))</f>
        <v/>
      </c>
      <c r="D69" s="19" t="str">
        <f aca="false">IF($B69="","",IFERROR(INDEX(정기주문설정!$D$3:$D$302,MATCH("R"&amp;64,주문생성!$M$6:$M$305,0)),""))</f>
        <v/>
      </c>
      <c r="E69" s="19" t="str">
        <f aca="false">IF($B69="","",IFERROR(INDEX(정기주문설정!$E$3:$E$302,MATCH("R"&amp;64,주문생성!$M$6:$M$305,0)),""))</f>
        <v/>
      </c>
      <c r="F69" s="19" t="str">
        <f aca="false">IF($B69="","",IFERROR(INDEX(정기주문설정!$F$3:$F$302,MATCH("R"&amp;64,주문생성!$M$6:$M$305,0)),""))</f>
        <v/>
      </c>
      <c r="G69" s="20" t="str">
        <f aca="false">IF($B69="","",IFERROR(INDEX(정기주문설정!$G$3:$G$302,MATCH("R"&amp;64,주문생성!$M$6:$M$305,0)),""))</f>
        <v/>
      </c>
      <c r="H69" s="12" t="str">
        <f aca="false">IF($B69="","",IFERROR(INDEX(정기주문설정!$H$3:$H$302,MATCH("R"&amp;64,주문생성!$M$6:$M$305,0)),""))</f>
        <v/>
      </c>
      <c r="I69" s="12" t="str">
        <f aca="false">IF($B69="","",ROUND($G69*$H69,0))</f>
        <v/>
      </c>
      <c r="K69" s="21" t="b">
        <f aca="false">IF(정기주문설정!$B66="",FALSE(),IF(정기주문설정!$M66="중지",FALSE(),IF(정기주문설정!$L66&lt;&gt;"",IF($B$3&lt;정기주문설정!$L66,FALSE(),IF(정기주문설정!$I66="매일",TRUE(),IF(정기주문설정!$I66="매주",(WEEKDAY($B$3)=IFERROR(MATCH(정기주문설정!$J66,정기주문설정!$O$3:$O$9,0),0)),IF(정기주문설정!$I66="격주",AND((WEEKDAY($B$3)=IFERROR(MATCH(정기주문설정!$J66,정기주문설정!$O$3:$O$9,0),0)),MOD(INT(($B$3-정기주문설정!$L66)/7),2)=0),IF(정기주문설정!$I66="매월",DAY($B$3)=정기주문설정!$K66,FALSE()))))),IF(정기주문설정!$I66="매일",TRUE(),IF(정기주문설정!$I66="매주",(WEEKDAY($B$3)=IFERROR(MATCH(정기주문설정!$J66,정기주문설정!$O$3:$O$9,0),0)),IF(정기주문설정!$I66="매월",DAY($B$3)=정기주문설정!$K66,FALSE()))))))</f>
        <v>0</v>
      </c>
      <c r="L69" s="5" t="str">
        <f aca="false">IF($K69=FALSE(),"",COUNTIF($K$6:$K69,TRUE()))</f>
        <v/>
      </c>
      <c r="M69" s="5" t="str">
        <f aca="false">IF($L69="","","R"&amp;$L69)</f>
        <v/>
      </c>
    </row>
    <row r="70" customFormat="false" ht="15" hidden="false" customHeight="true" outlineLevel="0" collapsed="false">
      <c r="A70" s="18" t="str">
        <f aca="false">IF($C70="","",$B$3)</f>
        <v/>
      </c>
      <c r="B70" s="19" t="str">
        <f aca="false">IFERROR(INDEX(정기주문설정!$B$3:$B$302,MATCH("R"&amp;65,주문생성!$M$6:$M$305,0)),"")</f>
        <v/>
      </c>
      <c r="C70" s="19" t="str">
        <f aca="false">IF($B70="","",IFERROR(INDEX(정기주문설정!$C$3:$C$302,MATCH("R"&amp;65,주문생성!$M$6:$M$305,0)),""))</f>
        <v/>
      </c>
      <c r="D70" s="19" t="str">
        <f aca="false">IF($B70="","",IFERROR(INDEX(정기주문설정!$D$3:$D$302,MATCH("R"&amp;65,주문생성!$M$6:$M$305,0)),""))</f>
        <v/>
      </c>
      <c r="E70" s="19" t="str">
        <f aca="false">IF($B70="","",IFERROR(INDEX(정기주문설정!$E$3:$E$302,MATCH("R"&amp;65,주문생성!$M$6:$M$305,0)),""))</f>
        <v/>
      </c>
      <c r="F70" s="19" t="str">
        <f aca="false">IF($B70="","",IFERROR(INDEX(정기주문설정!$F$3:$F$302,MATCH("R"&amp;65,주문생성!$M$6:$M$305,0)),""))</f>
        <v/>
      </c>
      <c r="G70" s="20" t="str">
        <f aca="false">IF($B70="","",IFERROR(INDEX(정기주문설정!$G$3:$G$302,MATCH("R"&amp;65,주문생성!$M$6:$M$305,0)),""))</f>
        <v/>
      </c>
      <c r="H70" s="12" t="str">
        <f aca="false">IF($B70="","",IFERROR(INDEX(정기주문설정!$H$3:$H$302,MATCH("R"&amp;65,주문생성!$M$6:$M$305,0)),""))</f>
        <v/>
      </c>
      <c r="I70" s="12" t="str">
        <f aca="false">IF($B70="","",ROUND($G70*$H70,0))</f>
        <v/>
      </c>
      <c r="K70" s="21" t="b">
        <f aca="false">IF(정기주문설정!$B67="",FALSE(),IF(정기주문설정!$M67="중지",FALSE(),IF(정기주문설정!$L67&lt;&gt;"",IF($B$3&lt;정기주문설정!$L67,FALSE(),IF(정기주문설정!$I67="매일",TRUE(),IF(정기주문설정!$I67="매주",(WEEKDAY($B$3)=IFERROR(MATCH(정기주문설정!$J67,정기주문설정!$O$3:$O$9,0),0)),IF(정기주문설정!$I67="격주",AND((WEEKDAY($B$3)=IFERROR(MATCH(정기주문설정!$J67,정기주문설정!$O$3:$O$9,0),0)),MOD(INT(($B$3-정기주문설정!$L67)/7),2)=0),IF(정기주문설정!$I67="매월",DAY($B$3)=정기주문설정!$K67,FALSE()))))),IF(정기주문설정!$I67="매일",TRUE(),IF(정기주문설정!$I67="매주",(WEEKDAY($B$3)=IFERROR(MATCH(정기주문설정!$J67,정기주문설정!$O$3:$O$9,0),0)),IF(정기주문설정!$I67="매월",DAY($B$3)=정기주문설정!$K67,FALSE()))))))</f>
        <v>0</v>
      </c>
      <c r="L70" s="5" t="str">
        <f aca="false">IF($K70=FALSE(),"",COUNTIF($K$6:$K70,TRUE()))</f>
        <v/>
      </c>
      <c r="M70" s="5" t="str">
        <f aca="false">IF($L70="","","R"&amp;$L70)</f>
        <v/>
      </c>
    </row>
    <row r="71" customFormat="false" ht="15" hidden="false" customHeight="true" outlineLevel="0" collapsed="false">
      <c r="A71" s="18" t="str">
        <f aca="false">IF($C71="","",$B$3)</f>
        <v/>
      </c>
      <c r="B71" s="19" t="str">
        <f aca="false">IFERROR(INDEX(정기주문설정!$B$3:$B$302,MATCH("R"&amp;66,주문생성!$M$6:$M$305,0)),"")</f>
        <v/>
      </c>
      <c r="C71" s="19" t="str">
        <f aca="false">IF($B71="","",IFERROR(INDEX(정기주문설정!$C$3:$C$302,MATCH("R"&amp;66,주문생성!$M$6:$M$305,0)),""))</f>
        <v/>
      </c>
      <c r="D71" s="19" t="str">
        <f aca="false">IF($B71="","",IFERROR(INDEX(정기주문설정!$D$3:$D$302,MATCH("R"&amp;66,주문생성!$M$6:$M$305,0)),""))</f>
        <v/>
      </c>
      <c r="E71" s="19" t="str">
        <f aca="false">IF($B71="","",IFERROR(INDEX(정기주문설정!$E$3:$E$302,MATCH("R"&amp;66,주문생성!$M$6:$M$305,0)),""))</f>
        <v/>
      </c>
      <c r="F71" s="19" t="str">
        <f aca="false">IF($B71="","",IFERROR(INDEX(정기주문설정!$F$3:$F$302,MATCH("R"&amp;66,주문생성!$M$6:$M$305,0)),""))</f>
        <v/>
      </c>
      <c r="G71" s="20" t="str">
        <f aca="false">IF($B71="","",IFERROR(INDEX(정기주문설정!$G$3:$G$302,MATCH("R"&amp;66,주문생성!$M$6:$M$305,0)),""))</f>
        <v/>
      </c>
      <c r="H71" s="12" t="str">
        <f aca="false">IF($B71="","",IFERROR(INDEX(정기주문설정!$H$3:$H$302,MATCH("R"&amp;66,주문생성!$M$6:$M$305,0)),""))</f>
        <v/>
      </c>
      <c r="I71" s="12" t="str">
        <f aca="false">IF($B71="","",ROUND($G71*$H71,0))</f>
        <v/>
      </c>
      <c r="K71" s="21" t="b">
        <f aca="false">IF(정기주문설정!$B68="",FALSE(),IF(정기주문설정!$M68="중지",FALSE(),IF(정기주문설정!$L68&lt;&gt;"",IF($B$3&lt;정기주문설정!$L68,FALSE(),IF(정기주문설정!$I68="매일",TRUE(),IF(정기주문설정!$I68="매주",(WEEKDAY($B$3)=IFERROR(MATCH(정기주문설정!$J68,정기주문설정!$O$3:$O$9,0),0)),IF(정기주문설정!$I68="격주",AND((WEEKDAY($B$3)=IFERROR(MATCH(정기주문설정!$J68,정기주문설정!$O$3:$O$9,0),0)),MOD(INT(($B$3-정기주문설정!$L68)/7),2)=0),IF(정기주문설정!$I68="매월",DAY($B$3)=정기주문설정!$K68,FALSE()))))),IF(정기주문설정!$I68="매일",TRUE(),IF(정기주문설정!$I68="매주",(WEEKDAY($B$3)=IFERROR(MATCH(정기주문설정!$J68,정기주문설정!$O$3:$O$9,0),0)),IF(정기주문설정!$I68="매월",DAY($B$3)=정기주문설정!$K68,FALSE()))))))</f>
        <v>0</v>
      </c>
      <c r="L71" s="5" t="str">
        <f aca="false">IF($K71=FALSE(),"",COUNTIF($K$6:$K71,TRUE()))</f>
        <v/>
      </c>
      <c r="M71" s="5" t="str">
        <f aca="false">IF($L71="","","R"&amp;$L71)</f>
        <v/>
      </c>
    </row>
    <row r="72" customFormat="false" ht="15" hidden="false" customHeight="true" outlineLevel="0" collapsed="false">
      <c r="A72" s="18" t="str">
        <f aca="false">IF($C72="","",$B$3)</f>
        <v/>
      </c>
      <c r="B72" s="19" t="str">
        <f aca="false">IFERROR(INDEX(정기주문설정!$B$3:$B$302,MATCH("R"&amp;67,주문생성!$M$6:$M$305,0)),"")</f>
        <v/>
      </c>
      <c r="C72" s="19" t="str">
        <f aca="false">IF($B72="","",IFERROR(INDEX(정기주문설정!$C$3:$C$302,MATCH("R"&amp;67,주문생성!$M$6:$M$305,0)),""))</f>
        <v/>
      </c>
      <c r="D72" s="19" t="str">
        <f aca="false">IF($B72="","",IFERROR(INDEX(정기주문설정!$D$3:$D$302,MATCH("R"&amp;67,주문생성!$M$6:$M$305,0)),""))</f>
        <v/>
      </c>
      <c r="E72" s="19" t="str">
        <f aca="false">IF($B72="","",IFERROR(INDEX(정기주문설정!$E$3:$E$302,MATCH("R"&amp;67,주문생성!$M$6:$M$305,0)),""))</f>
        <v/>
      </c>
      <c r="F72" s="19" t="str">
        <f aca="false">IF($B72="","",IFERROR(INDEX(정기주문설정!$F$3:$F$302,MATCH("R"&amp;67,주문생성!$M$6:$M$305,0)),""))</f>
        <v/>
      </c>
      <c r="G72" s="20" t="str">
        <f aca="false">IF($B72="","",IFERROR(INDEX(정기주문설정!$G$3:$G$302,MATCH("R"&amp;67,주문생성!$M$6:$M$305,0)),""))</f>
        <v/>
      </c>
      <c r="H72" s="12" t="str">
        <f aca="false">IF($B72="","",IFERROR(INDEX(정기주문설정!$H$3:$H$302,MATCH("R"&amp;67,주문생성!$M$6:$M$305,0)),""))</f>
        <v/>
      </c>
      <c r="I72" s="12" t="str">
        <f aca="false">IF($B72="","",ROUND($G72*$H72,0))</f>
        <v/>
      </c>
      <c r="K72" s="21" t="b">
        <f aca="false">IF(정기주문설정!$B69="",FALSE(),IF(정기주문설정!$M69="중지",FALSE(),IF(정기주문설정!$L69&lt;&gt;"",IF($B$3&lt;정기주문설정!$L69,FALSE(),IF(정기주문설정!$I69="매일",TRUE(),IF(정기주문설정!$I69="매주",(WEEKDAY($B$3)=IFERROR(MATCH(정기주문설정!$J69,정기주문설정!$O$3:$O$9,0),0)),IF(정기주문설정!$I69="격주",AND((WEEKDAY($B$3)=IFERROR(MATCH(정기주문설정!$J69,정기주문설정!$O$3:$O$9,0),0)),MOD(INT(($B$3-정기주문설정!$L69)/7),2)=0),IF(정기주문설정!$I69="매월",DAY($B$3)=정기주문설정!$K69,FALSE()))))),IF(정기주문설정!$I69="매일",TRUE(),IF(정기주문설정!$I69="매주",(WEEKDAY($B$3)=IFERROR(MATCH(정기주문설정!$J69,정기주문설정!$O$3:$O$9,0),0)),IF(정기주문설정!$I69="매월",DAY($B$3)=정기주문설정!$K69,FALSE()))))))</f>
        <v>0</v>
      </c>
      <c r="L72" s="5" t="str">
        <f aca="false">IF($K72=FALSE(),"",COUNTIF($K$6:$K72,TRUE()))</f>
        <v/>
      </c>
      <c r="M72" s="5" t="str">
        <f aca="false">IF($L72="","","R"&amp;$L72)</f>
        <v/>
      </c>
    </row>
    <row r="73" customFormat="false" ht="15" hidden="false" customHeight="true" outlineLevel="0" collapsed="false">
      <c r="A73" s="18" t="str">
        <f aca="false">IF($C73="","",$B$3)</f>
        <v/>
      </c>
      <c r="B73" s="19" t="str">
        <f aca="false">IFERROR(INDEX(정기주문설정!$B$3:$B$302,MATCH("R"&amp;68,주문생성!$M$6:$M$305,0)),"")</f>
        <v/>
      </c>
      <c r="C73" s="19" t="str">
        <f aca="false">IF($B73="","",IFERROR(INDEX(정기주문설정!$C$3:$C$302,MATCH("R"&amp;68,주문생성!$M$6:$M$305,0)),""))</f>
        <v/>
      </c>
      <c r="D73" s="19" t="str">
        <f aca="false">IF($B73="","",IFERROR(INDEX(정기주문설정!$D$3:$D$302,MATCH("R"&amp;68,주문생성!$M$6:$M$305,0)),""))</f>
        <v/>
      </c>
      <c r="E73" s="19" t="str">
        <f aca="false">IF($B73="","",IFERROR(INDEX(정기주문설정!$E$3:$E$302,MATCH("R"&amp;68,주문생성!$M$6:$M$305,0)),""))</f>
        <v/>
      </c>
      <c r="F73" s="19" t="str">
        <f aca="false">IF($B73="","",IFERROR(INDEX(정기주문설정!$F$3:$F$302,MATCH("R"&amp;68,주문생성!$M$6:$M$305,0)),""))</f>
        <v/>
      </c>
      <c r="G73" s="20" t="str">
        <f aca="false">IF($B73="","",IFERROR(INDEX(정기주문설정!$G$3:$G$302,MATCH("R"&amp;68,주문생성!$M$6:$M$305,0)),""))</f>
        <v/>
      </c>
      <c r="H73" s="12" t="str">
        <f aca="false">IF($B73="","",IFERROR(INDEX(정기주문설정!$H$3:$H$302,MATCH("R"&amp;68,주문생성!$M$6:$M$305,0)),""))</f>
        <v/>
      </c>
      <c r="I73" s="12" t="str">
        <f aca="false">IF($B73="","",ROUND($G73*$H73,0))</f>
        <v/>
      </c>
      <c r="K73" s="21" t="b">
        <f aca="false">IF(정기주문설정!$B70="",FALSE(),IF(정기주문설정!$M70="중지",FALSE(),IF(정기주문설정!$L70&lt;&gt;"",IF($B$3&lt;정기주문설정!$L70,FALSE(),IF(정기주문설정!$I70="매일",TRUE(),IF(정기주문설정!$I70="매주",(WEEKDAY($B$3)=IFERROR(MATCH(정기주문설정!$J70,정기주문설정!$O$3:$O$9,0),0)),IF(정기주문설정!$I70="격주",AND((WEEKDAY($B$3)=IFERROR(MATCH(정기주문설정!$J70,정기주문설정!$O$3:$O$9,0),0)),MOD(INT(($B$3-정기주문설정!$L70)/7),2)=0),IF(정기주문설정!$I70="매월",DAY($B$3)=정기주문설정!$K70,FALSE()))))),IF(정기주문설정!$I70="매일",TRUE(),IF(정기주문설정!$I70="매주",(WEEKDAY($B$3)=IFERROR(MATCH(정기주문설정!$J70,정기주문설정!$O$3:$O$9,0),0)),IF(정기주문설정!$I70="매월",DAY($B$3)=정기주문설정!$K70,FALSE()))))))</f>
        <v>0</v>
      </c>
      <c r="L73" s="5" t="str">
        <f aca="false">IF($K73=FALSE(),"",COUNTIF($K$6:$K73,TRUE()))</f>
        <v/>
      </c>
      <c r="M73" s="5" t="str">
        <f aca="false">IF($L73="","","R"&amp;$L73)</f>
        <v/>
      </c>
    </row>
    <row r="74" customFormat="false" ht="15" hidden="false" customHeight="true" outlineLevel="0" collapsed="false">
      <c r="A74" s="18" t="str">
        <f aca="false">IF($C74="","",$B$3)</f>
        <v/>
      </c>
      <c r="B74" s="19" t="str">
        <f aca="false">IFERROR(INDEX(정기주문설정!$B$3:$B$302,MATCH("R"&amp;69,주문생성!$M$6:$M$305,0)),"")</f>
        <v/>
      </c>
      <c r="C74" s="19" t="str">
        <f aca="false">IF($B74="","",IFERROR(INDEX(정기주문설정!$C$3:$C$302,MATCH("R"&amp;69,주문생성!$M$6:$M$305,0)),""))</f>
        <v/>
      </c>
      <c r="D74" s="19" t="str">
        <f aca="false">IF($B74="","",IFERROR(INDEX(정기주문설정!$D$3:$D$302,MATCH("R"&amp;69,주문생성!$M$6:$M$305,0)),""))</f>
        <v/>
      </c>
      <c r="E74" s="19" t="str">
        <f aca="false">IF($B74="","",IFERROR(INDEX(정기주문설정!$E$3:$E$302,MATCH("R"&amp;69,주문생성!$M$6:$M$305,0)),""))</f>
        <v/>
      </c>
      <c r="F74" s="19" t="str">
        <f aca="false">IF($B74="","",IFERROR(INDEX(정기주문설정!$F$3:$F$302,MATCH("R"&amp;69,주문생성!$M$6:$M$305,0)),""))</f>
        <v/>
      </c>
      <c r="G74" s="20" t="str">
        <f aca="false">IF($B74="","",IFERROR(INDEX(정기주문설정!$G$3:$G$302,MATCH("R"&amp;69,주문생성!$M$6:$M$305,0)),""))</f>
        <v/>
      </c>
      <c r="H74" s="12" t="str">
        <f aca="false">IF($B74="","",IFERROR(INDEX(정기주문설정!$H$3:$H$302,MATCH("R"&amp;69,주문생성!$M$6:$M$305,0)),""))</f>
        <v/>
      </c>
      <c r="I74" s="12" t="str">
        <f aca="false">IF($B74="","",ROUND($G74*$H74,0))</f>
        <v/>
      </c>
      <c r="K74" s="21" t="b">
        <f aca="false">IF(정기주문설정!$B71="",FALSE(),IF(정기주문설정!$M71="중지",FALSE(),IF(정기주문설정!$L71&lt;&gt;"",IF($B$3&lt;정기주문설정!$L71,FALSE(),IF(정기주문설정!$I71="매일",TRUE(),IF(정기주문설정!$I71="매주",(WEEKDAY($B$3)=IFERROR(MATCH(정기주문설정!$J71,정기주문설정!$O$3:$O$9,0),0)),IF(정기주문설정!$I71="격주",AND((WEEKDAY($B$3)=IFERROR(MATCH(정기주문설정!$J71,정기주문설정!$O$3:$O$9,0),0)),MOD(INT(($B$3-정기주문설정!$L71)/7),2)=0),IF(정기주문설정!$I71="매월",DAY($B$3)=정기주문설정!$K71,FALSE()))))),IF(정기주문설정!$I71="매일",TRUE(),IF(정기주문설정!$I71="매주",(WEEKDAY($B$3)=IFERROR(MATCH(정기주문설정!$J71,정기주문설정!$O$3:$O$9,0),0)),IF(정기주문설정!$I71="매월",DAY($B$3)=정기주문설정!$K71,FALSE()))))))</f>
        <v>0</v>
      </c>
      <c r="L74" s="5" t="str">
        <f aca="false">IF($K74=FALSE(),"",COUNTIF($K$6:$K74,TRUE()))</f>
        <v/>
      </c>
      <c r="M74" s="5" t="str">
        <f aca="false">IF($L74="","","R"&amp;$L74)</f>
        <v/>
      </c>
    </row>
    <row r="75" customFormat="false" ht="15" hidden="false" customHeight="true" outlineLevel="0" collapsed="false">
      <c r="A75" s="18" t="str">
        <f aca="false">IF($C75="","",$B$3)</f>
        <v/>
      </c>
      <c r="B75" s="19" t="str">
        <f aca="false">IFERROR(INDEX(정기주문설정!$B$3:$B$302,MATCH("R"&amp;70,주문생성!$M$6:$M$305,0)),"")</f>
        <v/>
      </c>
      <c r="C75" s="19" t="str">
        <f aca="false">IF($B75="","",IFERROR(INDEX(정기주문설정!$C$3:$C$302,MATCH("R"&amp;70,주문생성!$M$6:$M$305,0)),""))</f>
        <v/>
      </c>
      <c r="D75" s="19" t="str">
        <f aca="false">IF($B75="","",IFERROR(INDEX(정기주문설정!$D$3:$D$302,MATCH("R"&amp;70,주문생성!$M$6:$M$305,0)),""))</f>
        <v/>
      </c>
      <c r="E75" s="19" t="str">
        <f aca="false">IF($B75="","",IFERROR(INDEX(정기주문설정!$E$3:$E$302,MATCH("R"&amp;70,주문생성!$M$6:$M$305,0)),""))</f>
        <v/>
      </c>
      <c r="F75" s="19" t="str">
        <f aca="false">IF($B75="","",IFERROR(INDEX(정기주문설정!$F$3:$F$302,MATCH("R"&amp;70,주문생성!$M$6:$M$305,0)),""))</f>
        <v/>
      </c>
      <c r="G75" s="20" t="str">
        <f aca="false">IF($B75="","",IFERROR(INDEX(정기주문설정!$G$3:$G$302,MATCH("R"&amp;70,주문생성!$M$6:$M$305,0)),""))</f>
        <v/>
      </c>
      <c r="H75" s="12" t="str">
        <f aca="false">IF($B75="","",IFERROR(INDEX(정기주문설정!$H$3:$H$302,MATCH("R"&amp;70,주문생성!$M$6:$M$305,0)),""))</f>
        <v/>
      </c>
      <c r="I75" s="12" t="str">
        <f aca="false">IF($B75="","",ROUND($G75*$H75,0))</f>
        <v/>
      </c>
      <c r="K75" s="21" t="b">
        <f aca="false">IF(정기주문설정!$B72="",FALSE(),IF(정기주문설정!$M72="중지",FALSE(),IF(정기주문설정!$L72&lt;&gt;"",IF($B$3&lt;정기주문설정!$L72,FALSE(),IF(정기주문설정!$I72="매일",TRUE(),IF(정기주문설정!$I72="매주",(WEEKDAY($B$3)=IFERROR(MATCH(정기주문설정!$J72,정기주문설정!$O$3:$O$9,0),0)),IF(정기주문설정!$I72="격주",AND((WEEKDAY($B$3)=IFERROR(MATCH(정기주문설정!$J72,정기주문설정!$O$3:$O$9,0),0)),MOD(INT(($B$3-정기주문설정!$L72)/7),2)=0),IF(정기주문설정!$I72="매월",DAY($B$3)=정기주문설정!$K72,FALSE()))))),IF(정기주문설정!$I72="매일",TRUE(),IF(정기주문설정!$I72="매주",(WEEKDAY($B$3)=IFERROR(MATCH(정기주문설정!$J72,정기주문설정!$O$3:$O$9,0),0)),IF(정기주문설정!$I72="매월",DAY($B$3)=정기주문설정!$K72,FALSE()))))))</f>
        <v>0</v>
      </c>
      <c r="L75" s="5" t="str">
        <f aca="false">IF($K75=FALSE(),"",COUNTIF($K$6:$K75,TRUE()))</f>
        <v/>
      </c>
      <c r="M75" s="5" t="str">
        <f aca="false">IF($L75="","","R"&amp;$L75)</f>
        <v/>
      </c>
    </row>
    <row r="76" customFormat="false" ht="15" hidden="false" customHeight="true" outlineLevel="0" collapsed="false">
      <c r="A76" s="18" t="str">
        <f aca="false">IF($C76="","",$B$3)</f>
        <v/>
      </c>
      <c r="B76" s="19" t="str">
        <f aca="false">IFERROR(INDEX(정기주문설정!$B$3:$B$302,MATCH("R"&amp;71,주문생성!$M$6:$M$305,0)),"")</f>
        <v/>
      </c>
      <c r="C76" s="19" t="str">
        <f aca="false">IF($B76="","",IFERROR(INDEX(정기주문설정!$C$3:$C$302,MATCH("R"&amp;71,주문생성!$M$6:$M$305,0)),""))</f>
        <v/>
      </c>
      <c r="D76" s="19" t="str">
        <f aca="false">IF($B76="","",IFERROR(INDEX(정기주문설정!$D$3:$D$302,MATCH("R"&amp;71,주문생성!$M$6:$M$305,0)),""))</f>
        <v/>
      </c>
      <c r="E76" s="19" t="str">
        <f aca="false">IF($B76="","",IFERROR(INDEX(정기주문설정!$E$3:$E$302,MATCH("R"&amp;71,주문생성!$M$6:$M$305,0)),""))</f>
        <v/>
      </c>
      <c r="F76" s="19" t="str">
        <f aca="false">IF($B76="","",IFERROR(INDEX(정기주문설정!$F$3:$F$302,MATCH("R"&amp;71,주문생성!$M$6:$M$305,0)),""))</f>
        <v/>
      </c>
      <c r="G76" s="20" t="str">
        <f aca="false">IF($B76="","",IFERROR(INDEX(정기주문설정!$G$3:$G$302,MATCH("R"&amp;71,주문생성!$M$6:$M$305,0)),""))</f>
        <v/>
      </c>
      <c r="H76" s="12" t="str">
        <f aca="false">IF($B76="","",IFERROR(INDEX(정기주문설정!$H$3:$H$302,MATCH("R"&amp;71,주문생성!$M$6:$M$305,0)),""))</f>
        <v/>
      </c>
      <c r="I76" s="12" t="str">
        <f aca="false">IF($B76="","",ROUND($G76*$H76,0))</f>
        <v/>
      </c>
      <c r="K76" s="21" t="b">
        <f aca="false">IF(정기주문설정!$B73="",FALSE(),IF(정기주문설정!$M73="중지",FALSE(),IF(정기주문설정!$L73&lt;&gt;"",IF($B$3&lt;정기주문설정!$L73,FALSE(),IF(정기주문설정!$I73="매일",TRUE(),IF(정기주문설정!$I73="매주",(WEEKDAY($B$3)=IFERROR(MATCH(정기주문설정!$J73,정기주문설정!$O$3:$O$9,0),0)),IF(정기주문설정!$I73="격주",AND((WEEKDAY($B$3)=IFERROR(MATCH(정기주문설정!$J73,정기주문설정!$O$3:$O$9,0),0)),MOD(INT(($B$3-정기주문설정!$L73)/7),2)=0),IF(정기주문설정!$I73="매월",DAY($B$3)=정기주문설정!$K73,FALSE()))))),IF(정기주문설정!$I73="매일",TRUE(),IF(정기주문설정!$I73="매주",(WEEKDAY($B$3)=IFERROR(MATCH(정기주문설정!$J73,정기주문설정!$O$3:$O$9,0),0)),IF(정기주문설정!$I73="매월",DAY($B$3)=정기주문설정!$K73,FALSE()))))))</f>
        <v>0</v>
      </c>
      <c r="L76" s="5" t="str">
        <f aca="false">IF($K76=FALSE(),"",COUNTIF($K$6:$K76,TRUE()))</f>
        <v/>
      </c>
      <c r="M76" s="5" t="str">
        <f aca="false">IF($L76="","","R"&amp;$L76)</f>
        <v/>
      </c>
    </row>
    <row r="77" customFormat="false" ht="15" hidden="false" customHeight="true" outlineLevel="0" collapsed="false">
      <c r="A77" s="18" t="str">
        <f aca="false">IF($C77="","",$B$3)</f>
        <v/>
      </c>
      <c r="B77" s="19" t="str">
        <f aca="false">IFERROR(INDEX(정기주문설정!$B$3:$B$302,MATCH("R"&amp;72,주문생성!$M$6:$M$305,0)),"")</f>
        <v/>
      </c>
      <c r="C77" s="19" t="str">
        <f aca="false">IF($B77="","",IFERROR(INDEX(정기주문설정!$C$3:$C$302,MATCH("R"&amp;72,주문생성!$M$6:$M$305,0)),""))</f>
        <v/>
      </c>
      <c r="D77" s="19" t="str">
        <f aca="false">IF($B77="","",IFERROR(INDEX(정기주문설정!$D$3:$D$302,MATCH("R"&amp;72,주문생성!$M$6:$M$305,0)),""))</f>
        <v/>
      </c>
      <c r="E77" s="19" t="str">
        <f aca="false">IF($B77="","",IFERROR(INDEX(정기주문설정!$E$3:$E$302,MATCH("R"&amp;72,주문생성!$M$6:$M$305,0)),""))</f>
        <v/>
      </c>
      <c r="F77" s="19" t="str">
        <f aca="false">IF($B77="","",IFERROR(INDEX(정기주문설정!$F$3:$F$302,MATCH("R"&amp;72,주문생성!$M$6:$M$305,0)),""))</f>
        <v/>
      </c>
      <c r="G77" s="20" t="str">
        <f aca="false">IF($B77="","",IFERROR(INDEX(정기주문설정!$G$3:$G$302,MATCH("R"&amp;72,주문생성!$M$6:$M$305,0)),""))</f>
        <v/>
      </c>
      <c r="H77" s="12" t="str">
        <f aca="false">IF($B77="","",IFERROR(INDEX(정기주문설정!$H$3:$H$302,MATCH("R"&amp;72,주문생성!$M$6:$M$305,0)),""))</f>
        <v/>
      </c>
      <c r="I77" s="12" t="str">
        <f aca="false">IF($B77="","",ROUND($G77*$H77,0))</f>
        <v/>
      </c>
      <c r="K77" s="21" t="b">
        <f aca="false">IF(정기주문설정!$B74="",FALSE(),IF(정기주문설정!$M74="중지",FALSE(),IF(정기주문설정!$L74&lt;&gt;"",IF($B$3&lt;정기주문설정!$L74,FALSE(),IF(정기주문설정!$I74="매일",TRUE(),IF(정기주문설정!$I74="매주",(WEEKDAY($B$3)=IFERROR(MATCH(정기주문설정!$J74,정기주문설정!$O$3:$O$9,0),0)),IF(정기주문설정!$I74="격주",AND((WEEKDAY($B$3)=IFERROR(MATCH(정기주문설정!$J74,정기주문설정!$O$3:$O$9,0),0)),MOD(INT(($B$3-정기주문설정!$L74)/7),2)=0),IF(정기주문설정!$I74="매월",DAY($B$3)=정기주문설정!$K74,FALSE()))))),IF(정기주문설정!$I74="매일",TRUE(),IF(정기주문설정!$I74="매주",(WEEKDAY($B$3)=IFERROR(MATCH(정기주문설정!$J74,정기주문설정!$O$3:$O$9,0),0)),IF(정기주문설정!$I74="매월",DAY($B$3)=정기주문설정!$K74,FALSE()))))))</f>
        <v>0</v>
      </c>
      <c r="L77" s="5" t="str">
        <f aca="false">IF($K77=FALSE(),"",COUNTIF($K$6:$K77,TRUE()))</f>
        <v/>
      </c>
      <c r="M77" s="5" t="str">
        <f aca="false">IF($L77="","","R"&amp;$L77)</f>
        <v/>
      </c>
    </row>
    <row r="78" customFormat="false" ht="15" hidden="false" customHeight="true" outlineLevel="0" collapsed="false">
      <c r="A78" s="18" t="str">
        <f aca="false">IF($C78="","",$B$3)</f>
        <v/>
      </c>
      <c r="B78" s="19" t="str">
        <f aca="false">IFERROR(INDEX(정기주문설정!$B$3:$B$302,MATCH("R"&amp;73,주문생성!$M$6:$M$305,0)),"")</f>
        <v/>
      </c>
      <c r="C78" s="19" t="str">
        <f aca="false">IF($B78="","",IFERROR(INDEX(정기주문설정!$C$3:$C$302,MATCH("R"&amp;73,주문생성!$M$6:$M$305,0)),""))</f>
        <v/>
      </c>
      <c r="D78" s="19" t="str">
        <f aca="false">IF($B78="","",IFERROR(INDEX(정기주문설정!$D$3:$D$302,MATCH("R"&amp;73,주문생성!$M$6:$M$305,0)),""))</f>
        <v/>
      </c>
      <c r="E78" s="19" t="str">
        <f aca="false">IF($B78="","",IFERROR(INDEX(정기주문설정!$E$3:$E$302,MATCH("R"&amp;73,주문생성!$M$6:$M$305,0)),""))</f>
        <v/>
      </c>
      <c r="F78" s="19" t="str">
        <f aca="false">IF($B78="","",IFERROR(INDEX(정기주문설정!$F$3:$F$302,MATCH("R"&amp;73,주문생성!$M$6:$M$305,0)),""))</f>
        <v/>
      </c>
      <c r="G78" s="20" t="str">
        <f aca="false">IF($B78="","",IFERROR(INDEX(정기주문설정!$G$3:$G$302,MATCH("R"&amp;73,주문생성!$M$6:$M$305,0)),""))</f>
        <v/>
      </c>
      <c r="H78" s="12" t="str">
        <f aca="false">IF($B78="","",IFERROR(INDEX(정기주문설정!$H$3:$H$302,MATCH("R"&amp;73,주문생성!$M$6:$M$305,0)),""))</f>
        <v/>
      </c>
      <c r="I78" s="12" t="str">
        <f aca="false">IF($B78="","",ROUND($G78*$H78,0))</f>
        <v/>
      </c>
      <c r="K78" s="21" t="b">
        <f aca="false">IF(정기주문설정!$B75="",FALSE(),IF(정기주문설정!$M75="중지",FALSE(),IF(정기주문설정!$L75&lt;&gt;"",IF($B$3&lt;정기주문설정!$L75,FALSE(),IF(정기주문설정!$I75="매일",TRUE(),IF(정기주문설정!$I75="매주",(WEEKDAY($B$3)=IFERROR(MATCH(정기주문설정!$J75,정기주문설정!$O$3:$O$9,0),0)),IF(정기주문설정!$I75="격주",AND((WEEKDAY($B$3)=IFERROR(MATCH(정기주문설정!$J75,정기주문설정!$O$3:$O$9,0),0)),MOD(INT(($B$3-정기주문설정!$L75)/7),2)=0),IF(정기주문설정!$I75="매월",DAY($B$3)=정기주문설정!$K75,FALSE()))))),IF(정기주문설정!$I75="매일",TRUE(),IF(정기주문설정!$I75="매주",(WEEKDAY($B$3)=IFERROR(MATCH(정기주문설정!$J75,정기주문설정!$O$3:$O$9,0),0)),IF(정기주문설정!$I75="매월",DAY($B$3)=정기주문설정!$K75,FALSE()))))))</f>
        <v>0</v>
      </c>
      <c r="L78" s="5" t="str">
        <f aca="false">IF($K78=FALSE(),"",COUNTIF($K$6:$K78,TRUE()))</f>
        <v/>
      </c>
      <c r="M78" s="5" t="str">
        <f aca="false">IF($L78="","","R"&amp;$L78)</f>
        <v/>
      </c>
    </row>
    <row r="79" customFormat="false" ht="15" hidden="false" customHeight="true" outlineLevel="0" collapsed="false">
      <c r="A79" s="18" t="str">
        <f aca="false">IF($C79="","",$B$3)</f>
        <v/>
      </c>
      <c r="B79" s="19" t="str">
        <f aca="false">IFERROR(INDEX(정기주문설정!$B$3:$B$302,MATCH("R"&amp;74,주문생성!$M$6:$M$305,0)),"")</f>
        <v/>
      </c>
      <c r="C79" s="19" t="str">
        <f aca="false">IF($B79="","",IFERROR(INDEX(정기주문설정!$C$3:$C$302,MATCH("R"&amp;74,주문생성!$M$6:$M$305,0)),""))</f>
        <v/>
      </c>
      <c r="D79" s="19" t="str">
        <f aca="false">IF($B79="","",IFERROR(INDEX(정기주문설정!$D$3:$D$302,MATCH("R"&amp;74,주문생성!$M$6:$M$305,0)),""))</f>
        <v/>
      </c>
      <c r="E79" s="19" t="str">
        <f aca="false">IF($B79="","",IFERROR(INDEX(정기주문설정!$E$3:$E$302,MATCH("R"&amp;74,주문생성!$M$6:$M$305,0)),""))</f>
        <v/>
      </c>
      <c r="F79" s="19" t="str">
        <f aca="false">IF($B79="","",IFERROR(INDEX(정기주문설정!$F$3:$F$302,MATCH("R"&amp;74,주문생성!$M$6:$M$305,0)),""))</f>
        <v/>
      </c>
      <c r="G79" s="20" t="str">
        <f aca="false">IF($B79="","",IFERROR(INDEX(정기주문설정!$G$3:$G$302,MATCH("R"&amp;74,주문생성!$M$6:$M$305,0)),""))</f>
        <v/>
      </c>
      <c r="H79" s="12" t="str">
        <f aca="false">IF($B79="","",IFERROR(INDEX(정기주문설정!$H$3:$H$302,MATCH("R"&amp;74,주문생성!$M$6:$M$305,0)),""))</f>
        <v/>
      </c>
      <c r="I79" s="12" t="str">
        <f aca="false">IF($B79="","",ROUND($G79*$H79,0))</f>
        <v/>
      </c>
      <c r="K79" s="21" t="b">
        <f aca="false">IF(정기주문설정!$B76="",FALSE(),IF(정기주문설정!$M76="중지",FALSE(),IF(정기주문설정!$L76&lt;&gt;"",IF($B$3&lt;정기주문설정!$L76,FALSE(),IF(정기주문설정!$I76="매일",TRUE(),IF(정기주문설정!$I76="매주",(WEEKDAY($B$3)=IFERROR(MATCH(정기주문설정!$J76,정기주문설정!$O$3:$O$9,0),0)),IF(정기주문설정!$I76="격주",AND((WEEKDAY($B$3)=IFERROR(MATCH(정기주문설정!$J76,정기주문설정!$O$3:$O$9,0),0)),MOD(INT(($B$3-정기주문설정!$L76)/7),2)=0),IF(정기주문설정!$I76="매월",DAY($B$3)=정기주문설정!$K76,FALSE()))))),IF(정기주문설정!$I76="매일",TRUE(),IF(정기주문설정!$I76="매주",(WEEKDAY($B$3)=IFERROR(MATCH(정기주문설정!$J76,정기주문설정!$O$3:$O$9,0),0)),IF(정기주문설정!$I76="매월",DAY($B$3)=정기주문설정!$K76,FALSE()))))))</f>
        <v>0</v>
      </c>
      <c r="L79" s="5" t="str">
        <f aca="false">IF($K79=FALSE(),"",COUNTIF($K$6:$K79,TRUE()))</f>
        <v/>
      </c>
      <c r="M79" s="5" t="str">
        <f aca="false">IF($L79="","","R"&amp;$L79)</f>
        <v/>
      </c>
    </row>
    <row r="80" customFormat="false" ht="15" hidden="false" customHeight="true" outlineLevel="0" collapsed="false">
      <c r="A80" s="18" t="str">
        <f aca="false">IF($C80="","",$B$3)</f>
        <v/>
      </c>
      <c r="B80" s="19" t="str">
        <f aca="false">IFERROR(INDEX(정기주문설정!$B$3:$B$302,MATCH("R"&amp;75,주문생성!$M$6:$M$305,0)),"")</f>
        <v/>
      </c>
      <c r="C80" s="19" t="str">
        <f aca="false">IF($B80="","",IFERROR(INDEX(정기주문설정!$C$3:$C$302,MATCH("R"&amp;75,주문생성!$M$6:$M$305,0)),""))</f>
        <v/>
      </c>
      <c r="D80" s="19" t="str">
        <f aca="false">IF($B80="","",IFERROR(INDEX(정기주문설정!$D$3:$D$302,MATCH("R"&amp;75,주문생성!$M$6:$M$305,0)),""))</f>
        <v/>
      </c>
      <c r="E80" s="19" t="str">
        <f aca="false">IF($B80="","",IFERROR(INDEX(정기주문설정!$E$3:$E$302,MATCH("R"&amp;75,주문생성!$M$6:$M$305,0)),""))</f>
        <v/>
      </c>
      <c r="F80" s="19" t="str">
        <f aca="false">IF($B80="","",IFERROR(INDEX(정기주문설정!$F$3:$F$302,MATCH("R"&amp;75,주문생성!$M$6:$M$305,0)),""))</f>
        <v/>
      </c>
      <c r="G80" s="20" t="str">
        <f aca="false">IF($B80="","",IFERROR(INDEX(정기주문설정!$G$3:$G$302,MATCH("R"&amp;75,주문생성!$M$6:$M$305,0)),""))</f>
        <v/>
      </c>
      <c r="H80" s="12" t="str">
        <f aca="false">IF($B80="","",IFERROR(INDEX(정기주문설정!$H$3:$H$302,MATCH("R"&amp;75,주문생성!$M$6:$M$305,0)),""))</f>
        <v/>
      </c>
      <c r="I80" s="12" t="str">
        <f aca="false">IF($B80="","",ROUND($G80*$H80,0))</f>
        <v/>
      </c>
      <c r="K80" s="21" t="b">
        <f aca="false">IF(정기주문설정!$B77="",FALSE(),IF(정기주문설정!$M77="중지",FALSE(),IF(정기주문설정!$L77&lt;&gt;"",IF($B$3&lt;정기주문설정!$L77,FALSE(),IF(정기주문설정!$I77="매일",TRUE(),IF(정기주문설정!$I77="매주",(WEEKDAY($B$3)=IFERROR(MATCH(정기주문설정!$J77,정기주문설정!$O$3:$O$9,0),0)),IF(정기주문설정!$I77="격주",AND((WEEKDAY($B$3)=IFERROR(MATCH(정기주문설정!$J77,정기주문설정!$O$3:$O$9,0),0)),MOD(INT(($B$3-정기주문설정!$L77)/7),2)=0),IF(정기주문설정!$I77="매월",DAY($B$3)=정기주문설정!$K77,FALSE()))))),IF(정기주문설정!$I77="매일",TRUE(),IF(정기주문설정!$I77="매주",(WEEKDAY($B$3)=IFERROR(MATCH(정기주문설정!$J77,정기주문설정!$O$3:$O$9,0),0)),IF(정기주문설정!$I77="매월",DAY($B$3)=정기주문설정!$K77,FALSE()))))))</f>
        <v>0</v>
      </c>
      <c r="L80" s="5" t="str">
        <f aca="false">IF($K80=FALSE(),"",COUNTIF($K$6:$K80,TRUE()))</f>
        <v/>
      </c>
      <c r="M80" s="5" t="str">
        <f aca="false">IF($L80="","","R"&amp;$L80)</f>
        <v/>
      </c>
    </row>
    <row r="81" customFormat="false" ht="15" hidden="false" customHeight="true" outlineLevel="0" collapsed="false">
      <c r="A81" s="18" t="str">
        <f aca="false">IF($C81="","",$B$3)</f>
        <v/>
      </c>
      <c r="B81" s="19" t="str">
        <f aca="false">IFERROR(INDEX(정기주문설정!$B$3:$B$302,MATCH("R"&amp;76,주문생성!$M$6:$M$305,0)),"")</f>
        <v/>
      </c>
      <c r="C81" s="19" t="str">
        <f aca="false">IF($B81="","",IFERROR(INDEX(정기주문설정!$C$3:$C$302,MATCH("R"&amp;76,주문생성!$M$6:$M$305,0)),""))</f>
        <v/>
      </c>
      <c r="D81" s="19" t="str">
        <f aca="false">IF($B81="","",IFERROR(INDEX(정기주문설정!$D$3:$D$302,MATCH("R"&amp;76,주문생성!$M$6:$M$305,0)),""))</f>
        <v/>
      </c>
      <c r="E81" s="19" t="str">
        <f aca="false">IF($B81="","",IFERROR(INDEX(정기주문설정!$E$3:$E$302,MATCH("R"&amp;76,주문생성!$M$6:$M$305,0)),""))</f>
        <v/>
      </c>
      <c r="F81" s="19" t="str">
        <f aca="false">IF($B81="","",IFERROR(INDEX(정기주문설정!$F$3:$F$302,MATCH("R"&amp;76,주문생성!$M$6:$M$305,0)),""))</f>
        <v/>
      </c>
      <c r="G81" s="20" t="str">
        <f aca="false">IF($B81="","",IFERROR(INDEX(정기주문설정!$G$3:$G$302,MATCH("R"&amp;76,주문생성!$M$6:$M$305,0)),""))</f>
        <v/>
      </c>
      <c r="H81" s="12" t="str">
        <f aca="false">IF($B81="","",IFERROR(INDEX(정기주문설정!$H$3:$H$302,MATCH("R"&amp;76,주문생성!$M$6:$M$305,0)),""))</f>
        <v/>
      </c>
      <c r="I81" s="12" t="str">
        <f aca="false">IF($B81="","",ROUND($G81*$H81,0))</f>
        <v/>
      </c>
      <c r="K81" s="21" t="b">
        <f aca="false">IF(정기주문설정!$B78="",FALSE(),IF(정기주문설정!$M78="중지",FALSE(),IF(정기주문설정!$L78&lt;&gt;"",IF($B$3&lt;정기주문설정!$L78,FALSE(),IF(정기주문설정!$I78="매일",TRUE(),IF(정기주문설정!$I78="매주",(WEEKDAY($B$3)=IFERROR(MATCH(정기주문설정!$J78,정기주문설정!$O$3:$O$9,0),0)),IF(정기주문설정!$I78="격주",AND((WEEKDAY($B$3)=IFERROR(MATCH(정기주문설정!$J78,정기주문설정!$O$3:$O$9,0),0)),MOD(INT(($B$3-정기주문설정!$L78)/7),2)=0),IF(정기주문설정!$I78="매월",DAY($B$3)=정기주문설정!$K78,FALSE()))))),IF(정기주문설정!$I78="매일",TRUE(),IF(정기주문설정!$I78="매주",(WEEKDAY($B$3)=IFERROR(MATCH(정기주문설정!$J78,정기주문설정!$O$3:$O$9,0),0)),IF(정기주문설정!$I78="매월",DAY($B$3)=정기주문설정!$K78,FALSE()))))))</f>
        <v>0</v>
      </c>
      <c r="L81" s="5" t="str">
        <f aca="false">IF($K81=FALSE(),"",COUNTIF($K$6:$K81,TRUE()))</f>
        <v/>
      </c>
      <c r="M81" s="5" t="str">
        <f aca="false">IF($L81="","","R"&amp;$L81)</f>
        <v/>
      </c>
    </row>
    <row r="82" customFormat="false" ht="15" hidden="false" customHeight="true" outlineLevel="0" collapsed="false">
      <c r="A82" s="18" t="str">
        <f aca="false">IF($C82="","",$B$3)</f>
        <v/>
      </c>
      <c r="B82" s="19" t="str">
        <f aca="false">IFERROR(INDEX(정기주문설정!$B$3:$B$302,MATCH("R"&amp;77,주문생성!$M$6:$M$305,0)),"")</f>
        <v/>
      </c>
      <c r="C82" s="19" t="str">
        <f aca="false">IF($B82="","",IFERROR(INDEX(정기주문설정!$C$3:$C$302,MATCH("R"&amp;77,주문생성!$M$6:$M$305,0)),""))</f>
        <v/>
      </c>
      <c r="D82" s="19" t="str">
        <f aca="false">IF($B82="","",IFERROR(INDEX(정기주문설정!$D$3:$D$302,MATCH("R"&amp;77,주문생성!$M$6:$M$305,0)),""))</f>
        <v/>
      </c>
      <c r="E82" s="19" t="str">
        <f aca="false">IF($B82="","",IFERROR(INDEX(정기주문설정!$E$3:$E$302,MATCH("R"&amp;77,주문생성!$M$6:$M$305,0)),""))</f>
        <v/>
      </c>
      <c r="F82" s="19" t="str">
        <f aca="false">IF($B82="","",IFERROR(INDEX(정기주문설정!$F$3:$F$302,MATCH("R"&amp;77,주문생성!$M$6:$M$305,0)),""))</f>
        <v/>
      </c>
      <c r="G82" s="20" t="str">
        <f aca="false">IF($B82="","",IFERROR(INDEX(정기주문설정!$G$3:$G$302,MATCH("R"&amp;77,주문생성!$M$6:$M$305,0)),""))</f>
        <v/>
      </c>
      <c r="H82" s="12" t="str">
        <f aca="false">IF($B82="","",IFERROR(INDEX(정기주문설정!$H$3:$H$302,MATCH("R"&amp;77,주문생성!$M$6:$M$305,0)),""))</f>
        <v/>
      </c>
      <c r="I82" s="12" t="str">
        <f aca="false">IF($B82="","",ROUND($G82*$H82,0))</f>
        <v/>
      </c>
      <c r="K82" s="21" t="b">
        <f aca="false">IF(정기주문설정!$B79="",FALSE(),IF(정기주문설정!$M79="중지",FALSE(),IF(정기주문설정!$L79&lt;&gt;"",IF($B$3&lt;정기주문설정!$L79,FALSE(),IF(정기주문설정!$I79="매일",TRUE(),IF(정기주문설정!$I79="매주",(WEEKDAY($B$3)=IFERROR(MATCH(정기주문설정!$J79,정기주문설정!$O$3:$O$9,0),0)),IF(정기주문설정!$I79="격주",AND((WEEKDAY($B$3)=IFERROR(MATCH(정기주문설정!$J79,정기주문설정!$O$3:$O$9,0),0)),MOD(INT(($B$3-정기주문설정!$L79)/7),2)=0),IF(정기주문설정!$I79="매월",DAY($B$3)=정기주문설정!$K79,FALSE()))))),IF(정기주문설정!$I79="매일",TRUE(),IF(정기주문설정!$I79="매주",(WEEKDAY($B$3)=IFERROR(MATCH(정기주문설정!$J79,정기주문설정!$O$3:$O$9,0),0)),IF(정기주문설정!$I79="매월",DAY($B$3)=정기주문설정!$K79,FALSE()))))))</f>
        <v>0</v>
      </c>
      <c r="L82" s="5" t="str">
        <f aca="false">IF($K82=FALSE(),"",COUNTIF($K$6:$K82,TRUE()))</f>
        <v/>
      </c>
      <c r="M82" s="5" t="str">
        <f aca="false">IF($L82="","","R"&amp;$L82)</f>
        <v/>
      </c>
    </row>
    <row r="83" customFormat="false" ht="15" hidden="false" customHeight="true" outlineLevel="0" collapsed="false">
      <c r="A83" s="18" t="str">
        <f aca="false">IF($C83="","",$B$3)</f>
        <v/>
      </c>
      <c r="B83" s="19" t="str">
        <f aca="false">IFERROR(INDEX(정기주문설정!$B$3:$B$302,MATCH("R"&amp;78,주문생성!$M$6:$M$305,0)),"")</f>
        <v/>
      </c>
      <c r="C83" s="19" t="str">
        <f aca="false">IF($B83="","",IFERROR(INDEX(정기주문설정!$C$3:$C$302,MATCH("R"&amp;78,주문생성!$M$6:$M$305,0)),""))</f>
        <v/>
      </c>
      <c r="D83" s="19" t="str">
        <f aca="false">IF($B83="","",IFERROR(INDEX(정기주문설정!$D$3:$D$302,MATCH("R"&amp;78,주문생성!$M$6:$M$305,0)),""))</f>
        <v/>
      </c>
      <c r="E83" s="19" t="str">
        <f aca="false">IF($B83="","",IFERROR(INDEX(정기주문설정!$E$3:$E$302,MATCH("R"&amp;78,주문생성!$M$6:$M$305,0)),""))</f>
        <v/>
      </c>
      <c r="F83" s="19" t="str">
        <f aca="false">IF($B83="","",IFERROR(INDEX(정기주문설정!$F$3:$F$302,MATCH("R"&amp;78,주문생성!$M$6:$M$305,0)),""))</f>
        <v/>
      </c>
      <c r="G83" s="20" t="str">
        <f aca="false">IF($B83="","",IFERROR(INDEX(정기주문설정!$G$3:$G$302,MATCH("R"&amp;78,주문생성!$M$6:$M$305,0)),""))</f>
        <v/>
      </c>
      <c r="H83" s="12" t="str">
        <f aca="false">IF($B83="","",IFERROR(INDEX(정기주문설정!$H$3:$H$302,MATCH("R"&amp;78,주문생성!$M$6:$M$305,0)),""))</f>
        <v/>
      </c>
      <c r="I83" s="12" t="str">
        <f aca="false">IF($B83="","",ROUND($G83*$H83,0))</f>
        <v/>
      </c>
      <c r="K83" s="21" t="b">
        <f aca="false">IF(정기주문설정!$B80="",FALSE(),IF(정기주문설정!$M80="중지",FALSE(),IF(정기주문설정!$L80&lt;&gt;"",IF($B$3&lt;정기주문설정!$L80,FALSE(),IF(정기주문설정!$I80="매일",TRUE(),IF(정기주문설정!$I80="매주",(WEEKDAY($B$3)=IFERROR(MATCH(정기주문설정!$J80,정기주문설정!$O$3:$O$9,0),0)),IF(정기주문설정!$I80="격주",AND((WEEKDAY($B$3)=IFERROR(MATCH(정기주문설정!$J80,정기주문설정!$O$3:$O$9,0),0)),MOD(INT(($B$3-정기주문설정!$L80)/7),2)=0),IF(정기주문설정!$I80="매월",DAY($B$3)=정기주문설정!$K80,FALSE()))))),IF(정기주문설정!$I80="매일",TRUE(),IF(정기주문설정!$I80="매주",(WEEKDAY($B$3)=IFERROR(MATCH(정기주문설정!$J80,정기주문설정!$O$3:$O$9,0),0)),IF(정기주문설정!$I80="매월",DAY($B$3)=정기주문설정!$K80,FALSE()))))))</f>
        <v>0</v>
      </c>
      <c r="L83" s="5" t="str">
        <f aca="false">IF($K83=FALSE(),"",COUNTIF($K$6:$K83,TRUE()))</f>
        <v/>
      </c>
      <c r="M83" s="5" t="str">
        <f aca="false">IF($L83="","","R"&amp;$L83)</f>
        <v/>
      </c>
    </row>
    <row r="84" customFormat="false" ht="15" hidden="false" customHeight="true" outlineLevel="0" collapsed="false">
      <c r="A84" s="18" t="str">
        <f aca="false">IF($C84="","",$B$3)</f>
        <v/>
      </c>
      <c r="B84" s="19" t="str">
        <f aca="false">IFERROR(INDEX(정기주문설정!$B$3:$B$302,MATCH("R"&amp;79,주문생성!$M$6:$M$305,0)),"")</f>
        <v/>
      </c>
      <c r="C84" s="19" t="str">
        <f aca="false">IF($B84="","",IFERROR(INDEX(정기주문설정!$C$3:$C$302,MATCH("R"&amp;79,주문생성!$M$6:$M$305,0)),""))</f>
        <v/>
      </c>
      <c r="D84" s="19" t="str">
        <f aca="false">IF($B84="","",IFERROR(INDEX(정기주문설정!$D$3:$D$302,MATCH("R"&amp;79,주문생성!$M$6:$M$305,0)),""))</f>
        <v/>
      </c>
      <c r="E84" s="19" t="str">
        <f aca="false">IF($B84="","",IFERROR(INDEX(정기주문설정!$E$3:$E$302,MATCH("R"&amp;79,주문생성!$M$6:$M$305,0)),""))</f>
        <v/>
      </c>
      <c r="F84" s="19" t="str">
        <f aca="false">IF($B84="","",IFERROR(INDEX(정기주문설정!$F$3:$F$302,MATCH("R"&amp;79,주문생성!$M$6:$M$305,0)),""))</f>
        <v/>
      </c>
      <c r="G84" s="20" t="str">
        <f aca="false">IF($B84="","",IFERROR(INDEX(정기주문설정!$G$3:$G$302,MATCH("R"&amp;79,주문생성!$M$6:$M$305,0)),""))</f>
        <v/>
      </c>
      <c r="H84" s="12" t="str">
        <f aca="false">IF($B84="","",IFERROR(INDEX(정기주문설정!$H$3:$H$302,MATCH("R"&amp;79,주문생성!$M$6:$M$305,0)),""))</f>
        <v/>
      </c>
      <c r="I84" s="12" t="str">
        <f aca="false">IF($B84="","",ROUND($G84*$H84,0))</f>
        <v/>
      </c>
      <c r="K84" s="21" t="b">
        <f aca="false">IF(정기주문설정!$B81="",FALSE(),IF(정기주문설정!$M81="중지",FALSE(),IF(정기주문설정!$L81&lt;&gt;"",IF($B$3&lt;정기주문설정!$L81,FALSE(),IF(정기주문설정!$I81="매일",TRUE(),IF(정기주문설정!$I81="매주",(WEEKDAY($B$3)=IFERROR(MATCH(정기주문설정!$J81,정기주문설정!$O$3:$O$9,0),0)),IF(정기주문설정!$I81="격주",AND((WEEKDAY($B$3)=IFERROR(MATCH(정기주문설정!$J81,정기주문설정!$O$3:$O$9,0),0)),MOD(INT(($B$3-정기주문설정!$L81)/7),2)=0),IF(정기주문설정!$I81="매월",DAY($B$3)=정기주문설정!$K81,FALSE()))))),IF(정기주문설정!$I81="매일",TRUE(),IF(정기주문설정!$I81="매주",(WEEKDAY($B$3)=IFERROR(MATCH(정기주문설정!$J81,정기주문설정!$O$3:$O$9,0),0)),IF(정기주문설정!$I81="매월",DAY($B$3)=정기주문설정!$K81,FALSE()))))))</f>
        <v>0</v>
      </c>
      <c r="L84" s="5" t="str">
        <f aca="false">IF($K84=FALSE(),"",COUNTIF($K$6:$K84,TRUE()))</f>
        <v/>
      </c>
      <c r="M84" s="5" t="str">
        <f aca="false">IF($L84="","","R"&amp;$L84)</f>
        <v/>
      </c>
    </row>
    <row r="85" customFormat="false" ht="15" hidden="false" customHeight="true" outlineLevel="0" collapsed="false">
      <c r="A85" s="18" t="str">
        <f aca="false">IF($C85="","",$B$3)</f>
        <v/>
      </c>
      <c r="B85" s="19" t="str">
        <f aca="false">IFERROR(INDEX(정기주문설정!$B$3:$B$302,MATCH("R"&amp;80,주문생성!$M$6:$M$305,0)),"")</f>
        <v/>
      </c>
      <c r="C85" s="19" t="str">
        <f aca="false">IF($B85="","",IFERROR(INDEX(정기주문설정!$C$3:$C$302,MATCH("R"&amp;80,주문생성!$M$6:$M$305,0)),""))</f>
        <v/>
      </c>
      <c r="D85" s="19" t="str">
        <f aca="false">IF($B85="","",IFERROR(INDEX(정기주문설정!$D$3:$D$302,MATCH("R"&amp;80,주문생성!$M$6:$M$305,0)),""))</f>
        <v/>
      </c>
      <c r="E85" s="19" t="str">
        <f aca="false">IF($B85="","",IFERROR(INDEX(정기주문설정!$E$3:$E$302,MATCH("R"&amp;80,주문생성!$M$6:$M$305,0)),""))</f>
        <v/>
      </c>
      <c r="F85" s="19" t="str">
        <f aca="false">IF($B85="","",IFERROR(INDEX(정기주문설정!$F$3:$F$302,MATCH("R"&amp;80,주문생성!$M$6:$M$305,0)),""))</f>
        <v/>
      </c>
      <c r="G85" s="20" t="str">
        <f aca="false">IF($B85="","",IFERROR(INDEX(정기주문설정!$G$3:$G$302,MATCH("R"&amp;80,주문생성!$M$6:$M$305,0)),""))</f>
        <v/>
      </c>
      <c r="H85" s="12" t="str">
        <f aca="false">IF($B85="","",IFERROR(INDEX(정기주문설정!$H$3:$H$302,MATCH("R"&amp;80,주문생성!$M$6:$M$305,0)),""))</f>
        <v/>
      </c>
      <c r="I85" s="12" t="str">
        <f aca="false">IF($B85="","",ROUND($G85*$H85,0))</f>
        <v/>
      </c>
      <c r="K85" s="21" t="b">
        <f aca="false">IF(정기주문설정!$B82="",FALSE(),IF(정기주문설정!$M82="중지",FALSE(),IF(정기주문설정!$L82&lt;&gt;"",IF($B$3&lt;정기주문설정!$L82,FALSE(),IF(정기주문설정!$I82="매일",TRUE(),IF(정기주문설정!$I82="매주",(WEEKDAY($B$3)=IFERROR(MATCH(정기주문설정!$J82,정기주문설정!$O$3:$O$9,0),0)),IF(정기주문설정!$I82="격주",AND((WEEKDAY($B$3)=IFERROR(MATCH(정기주문설정!$J82,정기주문설정!$O$3:$O$9,0),0)),MOD(INT(($B$3-정기주문설정!$L82)/7),2)=0),IF(정기주문설정!$I82="매월",DAY($B$3)=정기주문설정!$K82,FALSE()))))),IF(정기주문설정!$I82="매일",TRUE(),IF(정기주문설정!$I82="매주",(WEEKDAY($B$3)=IFERROR(MATCH(정기주문설정!$J82,정기주문설정!$O$3:$O$9,0),0)),IF(정기주문설정!$I82="매월",DAY($B$3)=정기주문설정!$K82,FALSE()))))))</f>
        <v>0</v>
      </c>
      <c r="L85" s="5" t="str">
        <f aca="false">IF($K85=FALSE(),"",COUNTIF($K$6:$K85,TRUE()))</f>
        <v/>
      </c>
      <c r="M85" s="5" t="str">
        <f aca="false">IF($L85="","","R"&amp;$L85)</f>
        <v/>
      </c>
    </row>
    <row r="86" customFormat="false" ht="15" hidden="false" customHeight="true" outlineLevel="0" collapsed="false">
      <c r="K86" s="21" t="b">
        <f aca="false">IF(정기주문설정!$B83="",FALSE(),IF(정기주문설정!$M83="중지",FALSE(),IF(정기주문설정!$L83&lt;&gt;"",IF($B$3&lt;정기주문설정!$L83,FALSE(),IF(정기주문설정!$I83="매일",TRUE(),IF(정기주문설정!$I83="매주",(WEEKDAY($B$3)=IFERROR(MATCH(정기주문설정!$J83,정기주문설정!$O$3:$O$9,0),0)),IF(정기주문설정!$I83="격주",AND((WEEKDAY($B$3)=IFERROR(MATCH(정기주문설정!$J83,정기주문설정!$O$3:$O$9,0),0)),MOD(INT(($B$3-정기주문설정!$L83)/7),2)=0),IF(정기주문설정!$I83="매월",DAY($B$3)=정기주문설정!$K83,FALSE()))))),IF(정기주문설정!$I83="매일",TRUE(),IF(정기주문설정!$I83="매주",(WEEKDAY($B$3)=IFERROR(MATCH(정기주문설정!$J83,정기주문설정!$O$3:$O$9,0),0)),IF(정기주문설정!$I83="매월",DAY($B$3)=정기주문설정!$K83,FALSE()))))))</f>
        <v>0</v>
      </c>
      <c r="L86" s="5" t="str">
        <f aca="false">IF($K86=FALSE(),"",COUNTIF($K$6:$K86,TRUE()))</f>
        <v/>
      </c>
      <c r="M86" s="5" t="str">
        <f aca="false">IF($L86="","","R"&amp;$L86)</f>
        <v/>
      </c>
    </row>
    <row r="87" customFormat="false" ht="15" hidden="false" customHeight="true" outlineLevel="0" collapsed="false">
      <c r="E87" s="22" t="s">
        <v>94</v>
      </c>
      <c r="G87" s="23" t="n">
        <f aca="false">SUM(G6:G85)</f>
        <v>6</v>
      </c>
      <c r="I87" s="23" t="n">
        <f aca="false">SUM(I6:I85)</f>
        <v>102000</v>
      </c>
      <c r="K87" s="21" t="b">
        <f aca="false">IF(정기주문설정!$B84="",FALSE(),IF(정기주문설정!$M84="중지",FALSE(),IF(정기주문설정!$L84&lt;&gt;"",IF($B$3&lt;정기주문설정!$L84,FALSE(),IF(정기주문설정!$I84="매일",TRUE(),IF(정기주문설정!$I84="매주",(WEEKDAY($B$3)=IFERROR(MATCH(정기주문설정!$J84,정기주문설정!$O$3:$O$9,0),0)),IF(정기주문설정!$I84="격주",AND((WEEKDAY($B$3)=IFERROR(MATCH(정기주문설정!$J84,정기주문설정!$O$3:$O$9,0),0)),MOD(INT(($B$3-정기주문설정!$L84)/7),2)=0),IF(정기주문설정!$I84="매월",DAY($B$3)=정기주문설정!$K84,FALSE()))))),IF(정기주문설정!$I84="매일",TRUE(),IF(정기주문설정!$I84="매주",(WEEKDAY($B$3)=IFERROR(MATCH(정기주문설정!$J84,정기주문설정!$O$3:$O$9,0),0)),IF(정기주문설정!$I84="매월",DAY($B$3)=정기주문설정!$K84,FALSE()))))))</f>
        <v>0</v>
      </c>
      <c r="L87" s="5" t="str">
        <f aca="false">IF($K87=FALSE(),"",COUNTIF($K$6:$K87,TRUE()))</f>
        <v/>
      </c>
      <c r="M87" s="5" t="str">
        <f aca="false">IF($L87="","","R"&amp;$L87)</f>
        <v/>
      </c>
    </row>
    <row r="88" customFormat="false" ht="15" hidden="false" customHeight="true" outlineLevel="0" collapsed="false">
      <c r="K88" s="21" t="b">
        <f aca="false">IF(정기주문설정!$B85="",FALSE(),IF(정기주문설정!$M85="중지",FALSE(),IF(정기주문설정!$L85&lt;&gt;"",IF($B$3&lt;정기주문설정!$L85,FALSE(),IF(정기주문설정!$I85="매일",TRUE(),IF(정기주문설정!$I85="매주",(WEEKDAY($B$3)=IFERROR(MATCH(정기주문설정!$J85,정기주문설정!$O$3:$O$9,0),0)),IF(정기주문설정!$I85="격주",AND((WEEKDAY($B$3)=IFERROR(MATCH(정기주문설정!$J85,정기주문설정!$O$3:$O$9,0),0)),MOD(INT(($B$3-정기주문설정!$L85)/7),2)=0),IF(정기주문설정!$I85="매월",DAY($B$3)=정기주문설정!$K85,FALSE()))))),IF(정기주문설정!$I85="매일",TRUE(),IF(정기주문설정!$I85="매주",(WEEKDAY($B$3)=IFERROR(MATCH(정기주문설정!$J85,정기주문설정!$O$3:$O$9,0),0)),IF(정기주문설정!$I85="매월",DAY($B$3)=정기주문설정!$K85,FALSE()))))))</f>
        <v>0</v>
      </c>
      <c r="L88" s="5" t="str">
        <f aca="false">IF($K88=FALSE(),"",COUNTIF($K$6:$K88,TRUE()))</f>
        <v/>
      </c>
      <c r="M88" s="5" t="str">
        <f aca="false">IF($L88="","","R"&amp;$L88)</f>
        <v/>
      </c>
    </row>
    <row r="89" customFormat="false" ht="15" hidden="false" customHeight="true" outlineLevel="0" collapsed="false">
      <c r="A89" s="24" t="s">
        <v>95</v>
      </c>
      <c r="K89" s="21" t="b">
        <f aca="false">IF(정기주문설정!$B86="",FALSE(),IF(정기주문설정!$M86="중지",FALSE(),IF(정기주문설정!$L86&lt;&gt;"",IF($B$3&lt;정기주문설정!$L86,FALSE(),IF(정기주문설정!$I86="매일",TRUE(),IF(정기주문설정!$I86="매주",(WEEKDAY($B$3)=IFERROR(MATCH(정기주문설정!$J86,정기주문설정!$O$3:$O$9,0),0)),IF(정기주문설정!$I86="격주",AND((WEEKDAY($B$3)=IFERROR(MATCH(정기주문설정!$J86,정기주문설정!$O$3:$O$9,0),0)),MOD(INT(($B$3-정기주문설정!$L86)/7),2)=0),IF(정기주문설정!$I86="매월",DAY($B$3)=정기주문설정!$K86,FALSE()))))),IF(정기주문설정!$I86="매일",TRUE(),IF(정기주문설정!$I86="매주",(WEEKDAY($B$3)=IFERROR(MATCH(정기주문설정!$J86,정기주문설정!$O$3:$O$9,0),0)),IF(정기주문설정!$I86="매월",DAY($B$3)=정기주문설정!$K86,FALSE()))))))</f>
        <v>0</v>
      </c>
      <c r="L89" s="5" t="str">
        <f aca="false">IF($K89=FALSE(),"",COUNTIF($K$6:$K89,TRUE()))</f>
        <v/>
      </c>
      <c r="M89" s="5" t="str">
        <f aca="false">IF($L89="","","R"&amp;$L89)</f>
        <v/>
      </c>
    </row>
    <row r="90" customFormat="false" ht="15" hidden="false" customHeight="true" outlineLevel="0" collapsed="false">
      <c r="A90" s="5" t="s">
        <v>96</v>
      </c>
      <c r="K90" s="21" t="b">
        <f aca="false">IF(정기주문설정!$B87="",FALSE(),IF(정기주문설정!$M87="중지",FALSE(),IF(정기주문설정!$L87&lt;&gt;"",IF($B$3&lt;정기주문설정!$L87,FALSE(),IF(정기주문설정!$I87="매일",TRUE(),IF(정기주문설정!$I87="매주",(WEEKDAY($B$3)=IFERROR(MATCH(정기주문설정!$J87,정기주문설정!$O$3:$O$9,0),0)),IF(정기주문설정!$I87="격주",AND((WEEKDAY($B$3)=IFERROR(MATCH(정기주문설정!$J87,정기주문설정!$O$3:$O$9,0),0)),MOD(INT(($B$3-정기주문설정!$L87)/7),2)=0),IF(정기주문설정!$I87="매월",DAY($B$3)=정기주문설정!$K87,FALSE()))))),IF(정기주문설정!$I87="매일",TRUE(),IF(정기주문설정!$I87="매주",(WEEKDAY($B$3)=IFERROR(MATCH(정기주문설정!$J87,정기주문설정!$O$3:$O$9,0),0)),IF(정기주문설정!$I87="매월",DAY($B$3)=정기주문설정!$K87,FALSE()))))))</f>
        <v>0</v>
      </c>
      <c r="L90" s="5" t="str">
        <f aca="false">IF($K90=FALSE(),"",COUNTIF($K$6:$K90,TRUE()))</f>
        <v/>
      </c>
      <c r="M90" s="5" t="str">
        <f aca="false">IF($L90="","","R"&amp;$L90)</f>
        <v/>
      </c>
    </row>
    <row r="91" customFormat="false" ht="15" hidden="false" customHeight="true" outlineLevel="0" collapsed="false">
      <c r="K91" s="21" t="b">
        <f aca="false">IF(정기주문설정!$B88="",FALSE(),IF(정기주문설정!$M88="중지",FALSE(),IF(정기주문설정!$L88&lt;&gt;"",IF($B$3&lt;정기주문설정!$L88,FALSE(),IF(정기주문설정!$I88="매일",TRUE(),IF(정기주문설정!$I88="매주",(WEEKDAY($B$3)=IFERROR(MATCH(정기주문설정!$J88,정기주문설정!$O$3:$O$9,0),0)),IF(정기주문설정!$I88="격주",AND((WEEKDAY($B$3)=IFERROR(MATCH(정기주문설정!$J88,정기주문설정!$O$3:$O$9,0),0)),MOD(INT(($B$3-정기주문설정!$L88)/7),2)=0),IF(정기주문설정!$I88="매월",DAY($B$3)=정기주문설정!$K88,FALSE()))))),IF(정기주문설정!$I88="매일",TRUE(),IF(정기주문설정!$I88="매주",(WEEKDAY($B$3)=IFERROR(MATCH(정기주문설정!$J88,정기주문설정!$O$3:$O$9,0),0)),IF(정기주문설정!$I88="매월",DAY($B$3)=정기주문설정!$K88,FALSE()))))))</f>
        <v>0</v>
      </c>
      <c r="L91" s="5" t="str">
        <f aca="false">IF($K91=FALSE(),"",COUNTIF($K$6:$K91,TRUE()))</f>
        <v/>
      </c>
      <c r="M91" s="5" t="str">
        <f aca="false">IF($L91="","","R"&amp;$L91)</f>
        <v/>
      </c>
    </row>
    <row r="92" customFormat="false" ht="15" hidden="false" customHeight="true" outlineLevel="0" collapsed="false">
      <c r="K92" s="21" t="b">
        <f aca="false">IF(정기주문설정!$B89="",FALSE(),IF(정기주문설정!$M89="중지",FALSE(),IF(정기주문설정!$L89&lt;&gt;"",IF($B$3&lt;정기주문설정!$L89,FALSE(),IF(정기주문설정!$I89="매일",TRUE(),IF(정기주문설정!$I89="매주",(WEEKDAY($B$3)=IFERROR(MATCH(정기주문설정!$J89,정기주문설정!$O$3:$O$9,0),0)),IF(정기주문설정!$I89="격주",AND((WEEKDAY($B$3)=IFERROR(MATCH(정기주문설정!$J89,정기주문설정!$O$3:$O$9,0),0)),MOD(INT(($B$3-정기주문설정!$L89)/7),2)=0),IF(정기주문설정!$I89="매월",DAY($B$3)=정기주문설정!$K89,FALSE()))))),IF(정기주문설정!$I89="매일",TRUE(),IF(정기주문설정!$I89="매주",(WEEKDAY($B$3)=IFERROR(MATCH(정기주문설정!$J89,정기주문설정!$O$3:$O$9,0),0)),IF(정기주문설정!$I89="매월",DAY($B$3)=정기주문설정!$K89,FALSE()))))))</f>
        <v>0</v>
      </c>
      <c r="L92" s="5" t="str">
        <f aca="false">IF($K92=FALSE(),"",COUNTIF($K$6:$K92,TRUE()))</f>
        <v/>
      </c>
      <c r="M92" s="5" t="str">
        <f aca="false">IF($L92="","","R"&amp;$L92)</f>
        <v/>
      </c>
    </row>
    <row r="93" customFormat="false" ht="15" hidden="false" customHeight="true" outlineLevel="0" collapsed="false">
      <c r="K93" s="21" t="b">
        <f aca="false">IF(정기주문설정!$B90="",FALSE(),IF(정기주문설정!$M90="중지",FALSE(),IF(정기주문설정!$L90&lt;&gt;"",IF($B$3&lt;정기주문설정!$L90,FALSE(),IF(정기주문설정!$I90="매일",TRUE(),IF(정기주문설정!$I90="매주",(WEEKDAY($B$3)=IFERROR(MATCH(정기주문설정!$J90,정기주문설정!$O$3:$O$9,0),0)),IF(정기주문설정!$I90="격주",AND((WEEKDAY($B$3)=IFERROR(MATCH(정기주문설정!$J90,정기주문설정!$O$3:$O$9,0),0)),MOD(INT(($B$3-정기주문설정!$L90)/7),2)=0),IF(정기주문설정!$I90="매월",DAY($B$3)=정기주문설정!$K90,FALSE()))))),IF(정기주문설정!$I90="매일",TRUE(),IF(정기주문설정!$I90="매주",(WEEKDAY($B$3)=IFERROR(MATCH(정기주문설정!$J90,정기주문설정!$O$3:$O$9,0),0)),IF(정기주문설정!$I90="매월",DAY($B$3)=정기주문설정!$K90,FALSE()))))))</f>
        <v>0</v>
      </c>
      <c r="L93" s="5" t="str">
        <f aca="false">IF($K93=FALSE(),"",COUNTIF($K$6:$K93,TRUE()))</f>
        <v/>
      </c>
      <c r="M93" s="5" t="str">
        <f aca="false">IF($L93="","","R"&amp;$L93)</f>
        <v/>
      </c>
    </row>
    <row r="94" customFormat="false" ht="15" hidden="false" customHeight="true" outlineLevel="0" collapsed="false">
      <c r="K94" s="21" t="b">
        <f aca="false">IF(정기주문설정!$B91="",FALSE(),IF(정기주문설정!$M91="중지",FALSE(),IF(정기주문설정!$L91&lt;&gt;"",IF($B$3&lt;정기주문설정!$L91,FALSE(),IF(정기주문설정!$I91="매일",TRUE(),IF(정기주문설정!$I91="매주",(WEEKDAY($B$3)=IFERROR(MATCH(정기주문설정!$J91,정기주문설정!$O$3:$O$9,0),0)),IF(정기주문설정!$I91="격주",AND((WEEKDAY($B$3)=IFERROR(MATCH(정기주문설정!$J91,정기주문설정!$O$3:$O$9,0),0)),MOD(INT(($B$3-정기주문설정!$L91)/7),2)=0),IF(정기주문설정!$I91="매월",DAY($B$3)=정기주문설정!$K91,FALSE()))))),IF(정기주문설정!$I91="매일",TRUE(),IF(정기주문설정!$I91="매주",(WEEKDAY($B$3)=IFERROR(MATCH(정기주문설정!$J91,정기주문설정!$O$3:$O$9,0),0)),IF(정기주문설정!$I91="매월",DAY($B$3)=정기주문설정!$K91,FALSE()))))))</f>
        <v>0</v>
      </c>
      <c r="L94" s="5" t="str">
        <f aca="false">IF($K94=FALSE(),"",COUNTIF($K$6:$K94,TRUE()))</f>
        <v/>
      </c>
      <c r="M94" s="5" t="str">
        <f aca="false">IF($L94="","","R"&amp;$L94)</f>
        <v/>
      </c>
    </row>
    <row r="95" customFormat="false" ht="15" hidden="false" customHeight="true" outlineLevel="0" collapsed="false">
      <c r="K95" s="21" t="b">
        <f aca="false">IF(정기주문설정!$B92="",FALSE(),IF(정기주문설정!$M92="중지",FALSE(),IF(정기주문설정!$L92&lt;&gt;"",IF($B$3&lt;정기주문설정!$L92,FALSE(),IF(정기주문설정!$I92="매일",TRUE(),IF(정기주문설정!$I92="매주",(WEEKDAY($B$3)=IFERROR(MATCH(정기주문설정!$J92,정기주문설정!$O$3:$O$9,0),0)),IF(정기주문설정!$I92="격주",AND((WEEKDAY($B$3)=IFERROR(MATCH(정기주문설정!$J92,정기주문설정!$O$3:$O$9,0),0)),MOD(INT(($B$3-정기주문설정!$L92)/7),2)=0),IF(정기주문설정!$I92="매월",DAY($B$3)=정기주문설정!$K92,FALSE()))))),IF(정기주문설정!$I92="매일",TRUE(),IF(정기주문설정!$I92="매주",(WEEKDAY($B$3)=IFERROR(MATCH(정기주문설정!$J92,정기주문설정!$O$3:$O$9,0),0)),IF(정기주문설정!$I92="매월",DAY($B$3)=정기주문설정!$K92,FALSE()))))))</f>
        <v>0</v>
      </c>
      <c r="L95" s="5" t="str">
        <f aca="false">IF($K95=FALSE(),"",COUNTIF($K$6:$K95,TRUE()))</f>
        <v/>
      </c>
      <c r="M95" s="5" t="str">
        <f aca="false">IF($L95="","","R"&amp;$L95)</f>
        <v/>
      </c>
    </row>
    <row r="96" customFormat="false" ht="15" hidden="false" customHeight="true" outlineLevel="0" collapsed="false">
      <c r="K96" s="21" t="b">
        <f aca="false">IF(정기주문설정!$B93="",FALSE(),IF(정기주문설정!$M93="중지",FALSE(),IF(정기주문설정!$L93&lt;&gt;"",IF($B$3&lt;정기주문설정!$L93,FALSE(),IF(정기주문설정!$I93="매일",TRUE(),IF(정기주문설정!$I93="매주",(WEEKDAY($B$3)=IFERROR(MATCH(정기주문설정!$J93,정기주문설정!$O$3:$O$9,0),0)),IF(정기주문설정!$I93="격주",AND((WEEKDAY($B$3)=IFERROR(MATCH(정기주문설정!$J93,정기주문설정!$O$3:$O$9,0),0)),MOD(INT(($B$3-정기주문설정!$L93)/7),2)=0),IF(정기주문설정!$I93="매월",DAY($B$3)=정기주문설정!$K93,FALSE()))))),IF(정기주문설정!$I93="매일",TRUE(),IF(정기주문설정!$I93="매주",(WEEKDAY($B$3)=IFERROR(MATCH(정기주문설정!$J93,정기주문설정!$O$3:$O$9,0),0)),IF(정기주문설정!$I93="매월",DAY($B$3)=정기주문설정!$K93,FALSE()))))))</f>
        <v>0</v>
      </c>
      <c r="L96" s="5" t="str">
        <f aca="false">IF($K96=FALSE(),"",COUNTIF($K$6:$K96,TRUE()))</f>
        <v/>
      </c>
      <c r="M96" s="5" t="str">
        <f aca="false">IF($L96="","","R"&amp;$L96)</f>
        <v/>
      </c>
    </row>
    <row r="97" customFormat="false" ht="15" hidden="false" customHeight="true" outlineLevel="0" collapsed="false">
      <c r="K97" s="21" t="b">
        <f aca="false">IF(정기주문설정!$B94="",FALSE(),IF(정기주문설정!$M94="중지",FALSE(),IF(정기주문설정!$L94&lt;&gt;"",IF($B$3&lt;정기주문설정!$L94,FALSE(),IF(정기주문설정!$I94="매일",TRUE(),IF(정기주문설정!$I94="매주",(WEEKDAY($B$3)=IFERROR(MATCH(정기주문설정!$J94,정기주문설정!$O$3:$O$9,0),0)),IF(정기주문설정!$I94="격주",AND((WEEKDAY($B$3)=IFERROR(MATCH(정기주문설정!$J94,정기주문설정!$O$3:$O$9,0),0)),MOD(INT(($B$3-정기주문설정!$L94)/7),2)=0),IF(정기주문설정!$I94="매월",DAY($B$3)=정기주문설정!$K94,FALSE()))))),IF(정기주문설정!$I94="매일",TRUE(),IF(정기주문설정!$I94="매주",(WEEKDAY($B$3)=IFERROR(MATCH(정기주문설정!$J94,정기주문설정!$O$3:$O$9,0),0)),IF(정기주문설정!$I94="매월",DAY($B$3)=정기주문설정!$K94,FALSE()))))))</f>
        <v>0</v>
      </c>
      <c r="L97" s="5" t="str">
        <f aca="false">IF($K97=FALSE(),"",COUNTIF($K$6:$K97,TRUE()))</f>
        <v/>
      </c>
      <c r="M97" s="5" t="str">
        <f aca="false">IF($L97="","","R"&amp;$L97)</f>
        <v/>
      </c>
    </row>
    <row r="98" customFormat="false" ht="15" hidden="false" customHeight="true" outlineLevel="0" collapsed="false">
      <c r="K98" s="21" t="b">
        <f aca="false">IF(정기주문설정!$B95="",FALSE(),IF(정기주문설정!$M95="중지",FALSE(),IF(정기주문설정!$L95&lt;&gt;"",IF($B$3&lt;정기주문설정!$L95,FALSE(),IF(정기주문설정!$I95="매일",TRUE(),IF(정기주문설정!$I95="매주",(WEEKDAY($B$3)=IFERROR(MATCH(정기주문설정!$J95,정기주문설정!$O$3:$O$9,0),0)),IF(정기주문설정!$I95="격주",AND((WEEKDAY($B$3)=IFERROR(MATCH(정기주문설정!$J95,정기주문설정!$O$3:$O$9,0),0)),MOD(INT(($B$3-정기주문설정!$L95)/7),2)=0),IF(정기주문설정!$I95="매월",DAY($B$3)=정기주문설정!$K95,FALSE()))))),IF(정기주문설정!$I95="매일",TRUE(),IF(정기주문설정!$I95="매주",(WEEKDAY($B$3)=IFERROR(MATCH(정기주문설정!$J95,정기주문설정!$O$3:$O$9,0),0)),IF(정기주문설정!$I95="매월",DAY($B$3)=정기주문설정!$K95,FALSE()))))))</f>
        <v>0</v>
      </c>
      <c r="L98" s="5" t="str">
        <f aca="false">IF($K98=FALSE(),"",COUNTIF($K$6:$K98,TRUE()))</f>
        <v/>
      </c>
      <c r="M98" s="5" t="str">
        <f aca="false">IF($L98="","","R"&amp;$L98)</f>
        <v/>
      </c>
    </row>
    <row r="99" customFormat="false" ht="15" hidden="false" customHeight="true" outlineLevel="0" collapsed="false">
      <c r="K99" s="21" t="b">
        <f aca="false">IF(정기주문설정!$B96="",FALSE(),IF(정기주문설정!$M96="중지",FALSE(),IF(정기주문설정!$L96&lt;&gt;"",IF($B$3&lt;정기주문설정!$L96,FALSE(),IF(정기주문설정!$I96="매일",TRUE(),IF(정기주문설정!$I96="매주",(WEEKDAY($B$3)=IFERROR(MATCH(정기주문설정!$J96,정기주문설정!$O$3:$O$9,0),0)),IF(정기주문설정!$I96="격주",AND((WEEKDAY($B$3)=IFERROR(MATCH(정기주문설정!$J96,정기주문설정!$O$3:$O$9,0),0)),MOD(INT(($B$3-정기주문설정!$L96)/7),2)=0),IF(정기주문설정!$I96="매월",DAY($B$3)=정기주문설정!$K96,FALSE()))))),IF(정기주문설정!$I96="매일",TRUE(),IF(정기주문설정!$I96="매주",(WEEKDAY($B$3)=IFERROR(MATCH(정기주문설정!$J96,정기주문설정!$O$3:$O$9,0),0)),IF(정기주문설정!$I96="매월",DAY($B$3)=정기주문설정!$K96,FALSE()))))))</f>
        <v>0</v>
      </c>
      <c r="L99" s="5" t="str">
        <f aca="false">IF($K99=FALSE(),"",COUNTIF($K$6:$K99,TRUE()))</f>
        <v/>
      </c>
      <c r="M99" s="5" t="str">
        <f aca="false">IF($L99="","","R"&amp;$L99)</f>
        <v/>
      </c>
    </row>
    <row r="100" customFormat="false" ht="15" hidden="false" customHeight="true" outlineLevel="0" collapsed="false">
      <c r="K100" s="21" t="b">
        <f aca="false">IF(정기주문설정!$B97="",FALSE(),IF(정기주문설정!$M97="중지",FALSE(),IF(정기주문설정!$L97&lt;&gt;"",IF($B$3&lt;정기주문설정!$L97,FALSE(),IF(정기주문설정!$I97="매일",TRUE(),IF(정기주문설정!$I97="매주",(WEEKDAY($B$3)=IFERROR(MATCH(정기주문설정!$J97,정기주문설정!$O$3:$O$9,0),0)),IF(정기주문설정!$I97="격주",AND((WEEKDAY($B$3)=IFERROR(MATCH(정기주문설정!$J97,정기주문설정!$O$3:$O$9,0),0)),MOD(INT(($B$3-정기주문설정!$L97)/7),2)=0),IF(정기주문설정!$I97="매월",DAY($B$3)=정기주문설정!$K97,FALSE()))))),IF(정기주문설정!$I97="매일",TRUE(),IF(정기주문설정!$I97="매주",(WEEKDAY($B$3)=IFERROR(MATCH(정기주문설정!$J97,정기주문설정!$O$3:$O$9,0),0)),IF(정기주문설정!$I97="매월",DAY($B$3)=정기주문설정!$K97,FALSE()))))))</f>
        <v>0</v>
      </c>
      <c r="L100" s="5" t="str">
        <f aca="false">IF($K100=FALSE(),"",COUNTIF($K$6:$K100,TRUE()))</f>
        <v/>
      </c>
      <c r="M100" s="5" t="str">
        <f aca="false">IF($L100="","","R"&amp;$L100)</f>
        <v/>
      </c>
    </row>
    <row r="101" customFormat="false" ht="15" hidden="false" customHeight="true" outlineLevel="0" collapsed="false">
      <c r="K101" s="21" t="b">
        <f aca="false">IF(정기주문설정!$B98="",FALSE(),IF(정기주문설정!$M98="중지",FALSE(),IF(정기주문설정!$L98&lt;&gt;"",IF($B$3&lt;정기주문설정!$L98,FALSE(),IF(정기주문설정!$I98="매일",TRUE(),IF(정기주문설정!$I98="매주",(WEEKDAY($B$3)=IFERROR(MATCH(정기주문설정!$J98,정기주문설정!$O$3:$O$9,0),0)),IF(정기주문설정!$I98="격주",AND((WEEKDAY($B$3)=IFERROR(MATCH(정기주문설정!$J98,정기주문설정!$O$3:$O$9,0),0)),MOD(INT(($B$3-정기주문설정!$L98)/7),2)=0),IF(정기주문설정!$I98="매월",DAY($B$3)=정기주문설정!$K98,FALSE()))))),IF(정기주문설정!$I98="매일",TRUE(),IF(정기주문설정!$I98="매주",(WEEKDAY($B$3)=IFERROR(MATCH(정기주문설정!$J98,정기주문설정!$O$3:$O$9,0),0)),IF(정기주문설정!$I98="매월",DAY($B$3)=정기주문설정!$K98,FALSE()))))))</f>
        <v>0</v>
      </c>
      <c r="L101" s="5" t="str">
        <f aca="false">IF($K101=FALSE(),"",COUNTIF($K$6:$K101,TRUE()))</f>
        <v/>
      </c>
      <c r="M101" s="5" t="str">
        <f aca="false">IF($L101="","","R"&amp;$L101)</f>
        <v/>
      </c>
    </row>
    <row r="102" customFormat="false" ht="15" hidden="false" customHeight="true" outlineLevel="0" collapsed="false">
      <c r="K102" s="21" t="b">
        <f aca="false">IF(정기주문설정!$B99="",FALSE(),IF(정기주문설정!$M99="중지",FALSE(),IF(정기주문설정!$L99&lt;&gt;"",IF($B$3&lt;정기주문설정!$L99,FALSE(),IF(정기주문설정!$I99="매일",TRUE(),IF(정기주문설정!$I99="매주",(WEEKDAY($B$3)=IFERROR(MATCH(정기주문설정!$J99,정기주문설정!$O$3:$O$9,0),0)),IF(정기주문설정!$I99="격주",AND((WEEKDAY($B$3)=IFERROR(MATCH(정기주문설정!$J99,정기주문설정!$O$3:$O$9,0),0)),MOD(INT(($B$3-정기주문설정!$L99)/7),2)=0),IF(정기주문설정!$I99="매월",DAY($B$3)=정기주문설정!$K99,FALSE()))))),IF(정기주문설정!$I99="매일",TRUE(),IF(정기주문설정!$I99="매주",(WEEKDAY($B$3)=IFERROR(MATCH(정기주문설정!$J99,정기주문설정!$O$3:$O$9,0),0)),IF(정기주문설정!$I99="매월",DAY($B$3)=정기주문설정!$K99,FALSE()))))))</f>
        <v>0</v>
      </c>
      <c r="L102" s="5" t="str">
        <f aca="false">IF($K102=FALSE(),"",COUNTIF($K$6:$K102,TRUE()))</f>
        <v/>
      </c>
      <c r="M102" s="5" t="str">
        <f aca="false">IF($L102="","","R"&amp;$L102)</f>
        <v/>
      </c>
    </row>
    <row r="103" customFormat="false" ht="15" hidden="false" customHeight="true" outlineLevel="0" collapsed="false">
      <c r="K103" s="21" t="b">
        <f aca="false">IF(정기주문설정!$B100="",FALSE(),IF(정기주문설정!$M100="중지",FALSE(),IF(정기주문설정!$L100&lt;&gt;"",IF($B$3&lt;정기주문설정!$L100,FALSE(),IF(정기주문설정!$I100="매일",TRUE(),IF(정기주문설정!$I100="매주",(WEEKDAY($B$3)=IFERROR(MATCH(정기주문설정!$J100,정기주문설정!$O$3:$O$9,0),0)),IF(정기주문설정!$I100="격주",AND((WEEKDAY($B$3)=IFERROR(MATCH(정기주문설정!$J100,정기주문설정!$O$3:$O$9,0),0)),MOD(INT(($B$3-정기주문설정!$L100)/7),2)=0),IF(정기주문설정!$I100="매월",DAY($B$3)=정기주문설정!$K100,FALSE()))))),IF(정기주문설정!$I100="매일",TRUE(),IF(정기주문설정!$I100="매주",(WEEKDAY($B$3)=IFERROR(MATCH(정기주문설정!$J100,정기주문설정!$O$3:$O$9,0),0)),IF(정기주문설정!$I100="매월",DAY($B$3)=정기주문설정!$K100,FALSE()))))))</f>
        <v>0</v>
      </c>
      <c r="L103" s="5" t="str">
        <f aca="false">IF($K103=FALSE(),"",COUNTIF($K$6:$K103,TRUE()))</f>
        <v/>
      </c>
      <c r="M103" s="5" t="str">
        <f aca="false">IF($L103="","","R"&amp;$L103)</f>
        <v/>
      </c>
    </row>
    <row r="104" customFormat="false" ht="15" hidden="false" customHeight="true" outlineLevel="0" collapsed="false">
      <c r="K104" s="21" t="b">
        <f aca="false">IF(정기주문설정!$B101="",FALSE(),IF(정기주문설정!$M101="중지",FALSE(),IF(정기주문설정!$L101&lt;&gt;"",IF($B$3&lt;정기주문설정!$L101,FALSE(),IF(정기주문설정!$I101="매일",TRUE(),IF(정기주문설정!$I101="매주",(WEEKDAY($B$3)=IFERROR(MATCH(정기주문설정!$J101,정기주문설정!$O$3:$O$9,0),0)),IF(정기주문설정!$I101="격주",AND((WEEKDAY($B$3)=IFERROR(MATCH(정기주문설정!$J101,정기주문설정!$O$3:$O$9,0),0)),MOD(INT(($B$3-정기주문설정!$L101)/7),2)=0),IF(정기주문설정!$I101="매월",DAY($B$3)=정기주문설정!$K101,FALSE()))))),IF(정기주문설정!$I101="매일",TRUE(),IF(정기주문설정!$I101="매주",(WEEKDAY($B$3)=IFERROR(MATCH(정기주문설정!$J101,정기주문설정!$O$3:$O$9,0),0)),IF(정기주문설정!$I101="매월",DAY($B$3)=정기주문설정!$K101,FALSE()))))))</f>
        <v>0</v>
      </c>
      <c r="L104" s="5" t="str">
        <f aca="false">IF($K104=FALSE(),"",COUNTIF($K$6:$K104,TRUE()))</f>
        <v/>
      </c>
      <c r="M104" s="5" t="str">
        <f aca="false">IF($L104="","","R"&amp;$L104)</f>
        <v/>
      </c>
    </row>
    <row r="105" customFormat="false" ht="15" hidden="false" customHeight="true" outlineLevel="0" collapsed="false">
      <c r="K105" s="21" t="b">
        <f aca="false">IF(정기주문설정!$B102="",FALSE(),IF(정기주문설정!$M102="중지",FALSE(),IF(정기주문설정!$L102&lt;&gt;"",IF($B$3&lt;정기주문설정!$L102,FALSE(),IF(정기주문설정!$I102="매일",TRUE(),IF(정기주문설정!$I102="매주",(WEEKDAY($B$3)=IFERROR(MATCH(정기주문설정!$J102,정기주문설정!$O$3:$O$9,0),0)),IF(정기주문설정!$I102="격주",AND((WEEKDAY($B$3)=IFERROR(MATCH(정기주문설정!$J102,정기주문설정!$O$3:$O$9,0),0)),MOD(INT(($B$3-정기주문설정!$L102)/7),2)=0),IF(정기주문설정!$I102="매월",DAY($B$3)=정기주문설정!$K102,FALSE()))))),IF(정기주문설정!$I102="매일",TRUE(),IF(정기주문설정!$I102="매주",(WEEKDAY($B$3)=IFERROR(MATCH(정기주문설정!$J102,정기주문설정!$O$3:$O$9,0),0)),IF(정기주문설정!$I102="매월",DAY($B$3)=정기주문설정!$K102,FALSE()))))))</f>
        <v>0</v>
      </c>
      <c r="L105" s="5" t="str">
        <f aca="false">IF($K105=FALSE(),"",COUNTIF($K$6:$K105,TRUE()))</f>
        <v/>
      </c>
      <c r="M105" s="5" t="str">
        <f aca="false">IF($L105="","","R"&amp;$L105)</f>
        <v/>
      </c>
    </row>
    <row r="106" customFormat="false" ht="15" hidden="false" customHeight="true" outlineLevel="0" collapsed="false">
      <c r="K106" s="21" t="b">
        <f aca="false">IF(정기주문설정!$B103="",FALSE(),IF(정기주문설정!$M103="중지",FALSE(),IF(정기주문설정!$L103&lt;&gt;"",IF($B$3&lt;정기주문설정!$L103,FALSE(),IF(정기주문설정!$I103="매일",TRUE(),IF(정기주문설정!$I103="매주",(WEEKDAY($B$3)=IFERROR(MATCH(정기주문설정!$J103,정기주문설정!$O$3:$O$9,0),0)),IF(정기주문설정!$I103="격주",AND((WEEKDAY($B$3)=IFERROR(MATCH(정기주문설정!$J103,정기주문설정!$O$3:$O$9,0),0)),MOD(INT(($B$3-정기주문설정!$L103)/7),2)=0),IF(정기주문설정!$I103="매월",DAY($B$3)=정기주문설정!$K103,FALSE()))))),IF(정기주문설정!$I103="매일",TRUE(),IF(정기주문설정!$I103="매주",(WEEKDAY($B$3)=IFERROR(MATCH(정기주문설정!$J103,정기주문설정!$O$3:$O$9,0),0)),IF(정기주문설정!$I103="매월",DAY($B$3)=정기주문설정!$K103,FALSE()))))))</f>
        <v>0</v>
      </c>
      <c r="L106" s="5" t="str">
        <f aca="false">IF($K106=FALSE(),"",COUNTIF($K$6:$K106,TRUE()))</f>
        <v/>
      </c>
      <c r="M106" s="5" t="str">
        <f aca="false">IF($L106="","","R"&amp;$L106)</f>
        <v/>
      </c>
    </row>
    <row r="107" customFormat="false" ht="15" hidden="false" customHeight="true" outlineLevel="0" collapsed="false">
      <c r="K107" s="21" t="b">
        <f aca="false">IF(정기주문설정!$B104="",FALSE(),IF(정기주문설정!$M104="중지",FALSE(),IF(정기주문설정!$L104&lt;&gt;"",IF($B$3&lt;정기주문설정!$L104,FALSE(),IF(정기주문설정!$I104="매일",TRUE(),IF(정기주문설정!$I104="매주",(WEEKDAY($B$3)=IFERROR(MATCH(정기주문설정!$J104,정기주문설정!$O$3:$O$9,0),0)),IF(정기주문설정!$I104="격주",AND((WEEKDAY($B$3)=IFERROR(MATCH(정기주문설정!$J104,정기주문설정!$O$3:$O$9,0),0)),MOD(INT(($B$3-정기주문설정!$L104)/7),2)=0),IF(정기주문설정!$I104="매월",DAY($B$3)=정기주문설정!$K104,FALSE()))))),IF(정기주문설정!$I104="매일",TRUE(),IF(정기주문설정!$I104="매주",(WEEKDAY($B$3)=IFERROR(MATCH(정기주문설정!$J104,정기주문설정!$O$3:$O$9,0),0)),IF(정기주문설정!$I104="매월",DAY($B$3)=정기주문설정!$K104,FALSE()))))))</f>
        <v>0</v>
      </c>
      <c r="L107" s="5" t="str">
        <f aca="false">IF($K107=FALSE(),"",COUNTIF($K$6:$K107,TRUE()))</f>
        <v/>
      </c>
      <c r="M107" s="5" t="str">
        <f aca="false">IF($L107="","","R"&amp;$L107)</f>
        <v/>
      </c>
    </row>
    <row r="108" customFormat="false" ht="15" hidden="false" customHeight="true" outlineLevel="0" collapsed="false">
      <c r="K108" s="21" t="b">
        <f aca="false">IF(정기주문설정!$B105="",FALSE(),IF(정기주문설정!$M105="중지",FALSE(),IF(정기주문설정!$L105&lt;&gt;"",IF($B$3&lt;정기주문설정!$L105,FALSE(),IF(정기주문설정!$I105="매일",TRUE(),IF(정기주문설정!$I105="매주",(WEEKDAY($B$3)=IFERROR(MATCH(정기주문설정!$J105,정기주문설정!$O$3:$O$9,0),0)),IF(정기주문설정!$I105="격주",AND((WEEKDAY($B$3)=IFERROR(MATCH(정기주문설정!$J105,정기주문설정!$O$3:$O$9,0),0)),MOD(INT(($B$3-정기주문설정!$L105)/7),2)=0),IF(정기주문설정!$I105="매월",DAY($B$3)=정기주문설정!$K105,FALSE()))))),IF(정기주문설정!$I105="매일",TRUE(),IF(정기주문설정!$I105="매주",(WEEKDAY($B$3)=IFERROR(MATCH(정기주문설정!$J105,정기주문설정!$O$3:$O$9,0),0)),IF(정기주문설정!$I105="매월",DAY($B$3)=정기주문설정!$K105,FALSE()))))))</f>
        <v>0</v>
      </c>
      <c r="L108" s="5" t="str">
        <f aca="false">IF($K108=FALSE(),"",COUNTIF($K$6:$K108,TRUE()))</f>
        <v/>
      </c>
      <c r="M108" s="5" t="str">
        <f aca="false">IF($L108="","","R"&amp;$L108)</f>
        <v/>
      </c>
    </row>
    <row r="109" customFormat="false" ht="15" hidden="false" customHeight="true" outlineLevel="0" collapsed="false">
      <c r="K109" s="21" t="b">
        <f aca="false">IF(정기주문설정!$B106="",FALSE(),IF(정기주문설정!$M106="중지",FALSE(),IF(정기주문설정!$L106&lt;&gt;"",IF($B$3&lt;정기주문설정!$L106,FALSE(),IF(정기주문설정!$I106="매일",TRUE(),IF(정기주문설정!$I106="매주",(WEEKDAY($B$3)=IFERROR(MATCH(정기주문설정!$J106,정기주문설정!$O$3:$O$9,0),0)),IF(정기주문설정!$I106="격주",AND((WEEKDAY($B$3)=IFERROR(MATCH(정기주문설정!$J106,정기주문설정!$O$3:$O$9,0),0)),MOD(INT(($B$3-정기주문설정!$L106)/7),2)=0),IF(정기주문설정!$I106="매월",DAY($B$3)=정기주문설정!$K106,FALSE()))))),IF(정기주문설정!$I106="매일",TRUE(),IF(정기주문설정!$I106="매주",(WEEKDAY($B$3)=IFERROR(MATCH(정기주문설정!$J106,정기주문설정!$O$3:$O$9,0),0)),IF(정기주문설정!$I106="매월",DAY($B$3)=정기주문설정!$K106,FALSE()))))))</f>
        <v>0</v>
      </c>
      <c r="L109" s="5" t="str">
        <f aca="false">IF($K109=FALSE(),"",COUNTIF($K$6:$K109,TRUE()))</f>
        <v/>
      </c>
      <c r="M109" s="5" t="str">
        <f aca="false">IF($L109="","","R"&amp;$L109)</f>
        <v/>
      </c>
    </row>
    <row r="110" customFormat="false" ht="15" hidden="false" customHeight="true" outlineLevel="0" collapsed="false">
      <c r="K110" s="21" t="b">
        <f aca="false">IF(정기주문설정!$B107="",FALSE(),IF(정기주문설정!$M107="중지",FALSE(),IF(정기주문설정!$L107&lt;&gt;"",IF($B$3&lt;정기주문설정!$L107,FALSE(),IF(정기주문설정!$I107="매일",TRUE(),IF(정기주문설정!$I107="매주",(WEEKDAY($B$3)=IFERROR(MATCH(정기주문설정!$J107,정기주문설정!$O$3:$O$9,0),0)),IF(정기주문설정!$I107="격주",AND((WEEKDAY($B$3)=IFERROR(MATCH(정기주문설정!$J107,정기주문설정!$O$3:$O$9,0),0)),MOD(INT(($B$3-정기주문설정!$L107)/7),2)=0),IF(정기주문설정!$I107="매월",DAY($B$3)=정기주문설정!$K107,FALSE()))))),IF(정기주문설정!$I107="매일",TRUE(),IF(정기주문설정!$I107="매주",(WEEKDAY($B$3)=IFERROR(MATCH(정기주문설정!$J107,정기주문설정!$O$3:$O$9,0),0)),IF(정기주문설정!$I107="매월",DAY($B$3)=정기주문설정!$K107,FALSE()))))))</f>
        <v>0</v>
      </c>
      <c r="L110" s="5" t="str">
        <f aca="false">IF($K110=FALSE(),"",COUNTIF($K$6:$K110,TRUE()))</f>
        <v/>
      </c>
      <c r="M110" s="5" t="str">
        <f aca="false">IF($L110="","","R"&amp;$L110)</f>
        <v/>
      </c>
    </row>
    <row r="111" customFormat="false" ht="15" hidden="false" customHeight="true" outlineLevel="0" collapsed="false">
      <c r="K111" s="21" t="b">
        <f aca="false">IF(정기주문설정!$B108="",FALSE(),IF(정기주문설정!$M108="중지",FALSE(),IF(정기주문설정!$L108&lt;&gt;"",IF($B$3&lt;정기주문설정!$L108,FALSE(),IF(정기주문설정!$I108="매일",TRUE(),IF(정기주문설정!$I108="매주",(WEEKDAY($B$3)=IFERROR(MATCH(정기주문설정!$J108,정기주문설정!$O$3:$O$9,0),0)),IF(정기주문설정!$I108="격주",AND((WEEKDAY($B$3)=IFERROR(MATCH(정기주문설정!$J108,정기주문설정!$O$3:$O$9,0),0)),MOD(INT(($B$3-정기주문설정!$L108)/7),2)=0),IF(정기주문설정!$I108="매월",DAY($B$3)=정기주문설정!$K108,FALSE()))))),IF(정기주문설정!$I108="매일",TRUE(),IF(정기주문설정!$I108="매주",(WEEKDAY($B$3)=IFERROR(MATCH(정기주문설정!$J108,정기주문설정!$O$3:$O$9,0),0)),IF(정기주문설정!$I108="매월",DAY($B$3)=정기주문설정!$K108,FALSE()))))))</f>
        <v>0</v>
      </c>
      <c r="L111" s="5" t="str">
        <f aca="false">IF($K111=FALSE(),"",COUNTIF($K$6:$K111,TRUE()))</f>
        <v/>
      </c>
      <c r="M111" s="5" t="str">
        <f aca="false">IF($L111="","","R"&amp;$L111)</f>
        <v/>
      </c>
    </row>
    <row r="112" customFormat="false" ht="15" hidden="false" customHeight="true" outlineLevel="0" collapsed="false">
      <c r="K112" s="21" t="b">
        <f aca="false">IF(정기주문설정!$B109="",FALSE(),IF(정기주문설정!$M109="중지",FALSE(),IF(정기주문설정!$L109&lt;&gt;"",IF($B$3&lt;정기주문설정!$L109,FALSE(),IF(정기주문설정!$I109="매일",TRUE(),IF(정기주문설정!$I109="매주",(WEEKDAY($B$3)=IFERROR(MATCH(정기주문설정!$J109,정기주문설정!$O$3:$O$9,0),0)),IF(정기주문설정!$I109="격주",AND((WEEKDAY($B$3)=IFERROR(MATCH(정기주문설정!$J109,정기주문설정!$O$3:$O$9,0),0)),MOD(INT(($B$3-정기주문설정!$L109)/7),2)=0),IF(정기주문설정!$I109="매월",DAY($B$3)=정기주문설정!$K109,FALSE()))))),IF(정기주문설정!$I109="매일",TRUE(),IF(정기주문설정!$I109="매주",(WEEKDAY($B$3)=IFERROR(MATCH(정기주문설정!$J109,정기주문설정!$O$3:$O$9,0),0)),IF(정기주문설정!$I109="매월",DAY($B$3)=정기주문설정!$K109,FALSE()))))))</f>
        <v>0</v>
      </c>
      <c r="L112" s="5" t="str">
        <f aca="false">IF($K112=FALSE(),"",COUNTIF($K$6:$K112,TRUE()))</f>
        <v/>
      </c>
      <c r="M112" s="5" t="str">
        <f aca="false">IF($L112="","","R"&amp;$L112)</f>
        <v/>
      </c>
    </row>
    <row r="113" customFormat="false" ht="15" hidden="false" customHeight="true" outlineLevel="0" collapsed="false">
      <c r="K113" s="21" t="b">
        <f aca="false">IF(정기주문설정!$B110="",FALSE(),IF(정기주문설정!$M110="중지",FALSE(),IF(정기주문설정!$L110&lt;&gt;"",IF($B$3&lt;정기주문설정!$L110,FALSE(),IF(정기주문설정!$I110="매일",TRUE(),IF(정기주문설정!$I110="매주",(WEEKDAY($B$3)=IFERROR(MATCH(정기주문설정!$J110,정기주문설정!$O$3:$O$9,0),0)),IF(정기주문설정!$I110="격주",AND((WEEKDAY($B$3)=IFERROR(MATCH(정기주문설정!$J110,정기주문설정!$O$3:$O$9,0),0)),MOD(INT(($B$3-정기주문설정!$L110)/7),2)=0),IF(정기주문설정!$I110="매월",DAY($B$3)=정기주문설정!$K110,FALSE()))))),IF(정기주문설정!$I110="매일",TRUE(),IF(정기주문설정!$I110="매주",(WEEKDAY($B$3)=IFERROR(MATCH(정기주문설정!$J110,정기주문설정!$O$3:$O$9,0),0)),IF(정기주문설정!$I110="매월",DAY($B$3)=정기주문설정!$K110,FALSE()))))))</f>
        <v>0</v>
      </c>
      <c r="L113" s="5" t="str">
        <f aca="false">IF($K113=FALSE(),"",COUNTIF($K$6:$K113,TRUE()))</f>
        <v/>
      </c>
      <c r="M113" s="5" t="str">
        <f aca="false">IF($L113="","","R"&amp;$L113)</f>
        <v/>
      </c>
    </row>
    <row r="114" customFormat="false" ht="15" hidden="false" customHeight="true" outlineLevel="0" collapsed="false">
      <c r="K114" s="21" t="b">
        <f aca="false">IF(정기주문설정!$B111="",FALSE(),IF(정기주문설정!$M111="중지",FALSE(),IF(정기주문설정!$L111&lt;&gt;"",IF($B$3&lt;정기주문설정!$L111,FALSE(),IF(정기주문설정!$I111="매일",TRUE(),IF(정기주문설정!$I111="매주",(WEEKDAY($B$3)=IFERROR(MATCH(정기주문설정!$J111,정기주문설정!$O$3:$O$9,0),0)),IF(정기주문설정!$I111="격주",AND((WEEKDAY($B$3)=IFERROR(MATCH(정기주문설정!$J111,정기주문설정!$O$3:$O$9,0),0)),MOD(INT(($B$3-정기주문설정!$L111)/7),2)=0),IF(정기주문설정!$I111="매월",DAY($B$3)=정기주문설정!$K111,FALSE()))))),IF(정기주문설정!$I111="매일",TRUE(),IF(정기주문설정!$I111="매주",(WEEKDAY($B$3)=IFERROR(MATCH(정기주문설정!$J111,정기주문설정!$O$3:$O$9,0),0)),IF(정기주문설정!$I111="매월",DAY($B$3)=정기주문설정!$K111,FALSE()))))))</f>
        <v>0</v>
      </c>
      <c r="L114" s="5" t="str">
        <f aca="false">IF($K114=FALSE(),"",COUNTIF($K$6:$K114,TRUE()))</f>
        <v/>
      </c>
      <c r="M114" s="5" t="str">
        <f aca="false">IF($L114="","","R"&amp;$L114)</f>
        <v/>
      </c>
    </row>
    <row r="115" customFormat="false" ht="15" hidden="false" customHeight="true" outlineLevel="0" collapsed="false">
      <c r="K115" s="21" t="b">
        <f aca="false">IF(정기주문설정!$B112="",FALSE(),IF(정기주문설정!$M112="중지",FALSE(),IF(정기주문설정!$L112&lt;&gt;"",IF($B$3&lt;정기주문설정!$L112,FALSE(),IF(정기주문설정!$I112="매일",TRUE(),IF(정기주문설정!$I112="매주",(WEEKDAY($B$3)=IFERROR(MATCH(정기주문설정!$J112,정기주문설정!$O$3:$O$9,0),0)),IF(정기주문설정!$I112="격주",AND((WEEKDAY($B$3)=IFERROR(MATCH(정기주문설정!$J112,정기주문설정!$O$3:$O$9,0),0)),MOD(INT(($B$3-정기주문설정!$L112)/7),2)=0),IF(정기주문설정!$I112="매월",DAY($B$3)=정기주문설정!$K112,FALSE()))))),IF(정기주문설정!$I112="매일",TRUE(),IF(정기주문설정!$I112="매주",(WEEKDAY($B$3)=IFERROR(MATCH(정기주문설정!$J112,정기주문설정!$O$3:$O$9,0),0)),IF(정기주문설정!$I112="매월",DAY($B$3)=정기주문설정!$K112,FALSE()))))))</f>
        <v>0</v>
      </c>
      <c r="L115" s="5" t="str">
        <f aca="false">IF($K115=FALSE(),"",COUNTIF($K$6:$K115,TRUE()))</f>
        <v/>
      </c>
      <c r="M115" s="5" t="str">
        <f aca="false">IF($L115="","","R"&amp;$L115)</f>
        <v/>
      </c>
    </row>
    <row r="116" customFormat="false" ht="15" hidden="false" customHeight="true" outlineLevel="0" collapsed="false">
      <c r="K116" s="21" t="b">
        <f aca="false">IF(정기주문설정!$B113="",FALSE(),IF(정기주문설정!$M113="중지",FALSE(),IF(정기주문설정!$L113&lt;&gt;"",IF($B$3&lt;정기주문설정!$L113,FALSE(),IF(정기주문설정!$I113="매일",TRUE(),IF(정기주문설정!$I113="매주",(WEEKDAY($B$3)=IFERROR(MATCH(정기주문설정!$J113,정기주문설정!$O$3:$O$9,0),0)),IF(정기주문설정!$I113="격주",AND((WEEKDAY($B$3)=IFERROR(MATCH(정기주문설정!$J113,정기주문설정!$O$3:$O$9,0),0)),MOD(INT(($B$3-정기주문설정!$L113)/7),2)=0),IF(정기주문설정!$I113="매월",DAY($B$3)=정기주문설정!$K113,FALSE()))))),IF(정기주문설정!$I113="매일",TRUE(),IF(정기주문설정!$I113="매주",(WEEKDAY($B$3)=IFERROR(MATCH(정기주문설정!$J113,정기주문설정!$O$3:$O$9,0),0)),IF(정기주문설정!$I113="매월",DAY($B$3)=정기주문설정!$K113,FALSE()))))))</f>
        <v>0</v>
      </c>
      <c r="L116" s="5" t="str">
        <f aca="false">IF($K116=FALSE(),"",COUNTIF($K$6:$K116,TRUE()))</f>
        <v/>
      </c>
      <c r="M116" s="5" t="str">
        <f aca="false">IF($L116="","","R"&amp;$L116)</f>
        <v/>
      </c>
    </row>
    <row r="117" customFormat="false" ht="15" hidden="false" customHeight="true" outlineLevel="0" collapsed="false">
      <c r="K117" s="21" t="b">
        <f aca="false">IF(정기주문설정!$B114="",FALSE(),IF(정기주문설정!$M114="중지",FALSE(),IF(정기주문설정!$L114&lt;&gt;"",IF($B$3&lt;정기주문설정!$L114,FALSE(),IF(정기주문설정!$I114="매일",TRUE(),IF(정기주문설정!$I114="매주",(WEEKDAY($B$3)=IFERROR(MATCH(정기주문설정!$J114,정기주문설정!$O$3:$O$9,0),0)),IF(정기주문설정!$I114="격주",AND((WEEKDAY($B$3)=IFERROR(MATCH(정기주문설정!$J114,정기주문설정!$O$3:$O$9,0),0)),MOD(INT(($B$3-정기주문설정!$L114)/7),2)=0),IF(정기주문설정!$I114="매월",DAY($B$3)=정기주문설정!$K114,FALSE()))))),IF(정기주문설정!$I114="매일",TRUE(),IF(정기주문설정!$I114="매주",(WEEKDAY($B$3)=IFERROR(MATCH(정기주문설정!$J114,정기주문설정!$O$3:$O$9,0),0)),IF(정기주문설정!$I114="매월",DAY($B$3)=정기주문설정!$K114,FALSE()))))))</f>
        <v>0</v>
      </c>
      <c r="L117" s="5" t="str">
        <f aca="false">IF($K117=FALSE(),"",COUNTIF($K$6:$K117,TRUE()))</f>
        <v/>
      </c>
      <c r="M117" s="5" t="str">
        <f aca="false">IF($L117="","","R"&amp;$L117)</f>
        <v/>
      </c>
    </row>
    <row r="118" customFormat="false" ht="15" hidden="false" customHeight="true" outlineLevel="0" collapsed="false">
      <c r="K118" s="21" t="b">
        <f aca="false">IF(정기주문설정!$B115="",FALSE(),IF(정기주문설정!$M115="중지",FALSE(),IF(정기주문설정!$L115&lt;&gt;"",IF($B$3&lt;정기주문설정!$L115,FALSE(),IF(정기주문설정!$I115="매일",TRUE(),IF(정기주문설정!$I115="매주",(WEEKDAY($B$3)=IFERROR(MATCH(정기주문설정!$J115,정기주문설정!$O$3:$O$9,0),0)),IF(정기주문설정!$I115="격주",AND((WEEKDAY($B$3)=IFERROR(MATCH(정기주문설정!$J115,정기주문설정!$O$3:$O$9,0),0)),MOD(INT(($B$3-정기주문설정!$L115)/7),2)=0),IF(정기주문설정!$I115="매월",DAY($B$3)=정기주문설정!$K115,FALSE()))))),IF(정기주문설정!$I115="매일",TRUE(),IF(정기주문설정!$I115="매주",(WEEKDAY($B$3)=IFERROR(MATCH(정기주문설정!$J115,정기주문설정!$O$3:$O$9,0),0)),IF(정기주문설정!$I115="매월",DAY($B$3)=정기주문설정!$K115,FALSE()))))))</f>
        <v>0</v>
      </c>
      <c r="L118" s="5" t="str">
        <f aca="false">IF($K118=FALSE(),"",COUNTIF($K$6:$K118,TRUE()))</f>
        <v/>
      </c>
      <c r="M118" s="5" t="str">
        <f aca="false">IF($L118="","","R"&amp;$L118)</f>
        <v/>
      </c>
    </row>
    <row r="119" customFormat="false" ht="15" hidden="false" customHeight="true" outlineLevel="0" collapsed="false">
      <c r="K119" s="21" t="b">
        <f aca="false">IF(정기주문설정!$B116="",FALSE(),IF(정기주문설정!$M116="중지",FALSE(),IF(정기주문설정!$L116&lt;&gt;"",IF($B$3&lt;정기주문설정!$L116,FALSE(),IF(정기주문설정!$I116="매일",TRUE(),IF(정기주문설정!$I116="매주",(WEEKDAY($B$3)=IFERROR(MATCH(정기주문설정!$J116,정기주문설정!$O$3:$O$9,0),0)),IF(정기주문설정!$I116="격주",AND((WEEKDAY($B$3)=IFERROR(MATCH(정기주문설정!$J116,정기주문설정!$O$3:$O$9,0),0)),MOD(INT(($B$3-정기주문설정!$L116)/7),2)=0),IF(정기주문설정!$I116="매월",DAY($B$3)=정기주문설정!$K116,FALSE()))))),IF(정기주문설정!$I116="매일",TRUE(),IF(정기주문설정!$I116="매주",(WEEKDAY($B$3)=IFERROR(MATCH(정기주문설정!$J116,정기주문설정!$O$3:$O$9,0),0)),IF(정기주문설정!$I116="매월",DAY($B$3)=정기주문설정!$K116,FALSE()))))))</f>
        <v>0</v>
      </c>
      <c r="L119" s="5" t="str">
        <f aca="false">IF($K119=FALSE(),"",COUNTIF($K$6:$K119,TRUE()))</f>
        <v/>
      </c>
      <c r="M119" s="5" t="str">
        <f aca="false">IF($L119="","","R"&amp;$L119)</f>
        <v/>
      </c>
    </row>
    <row r="120" customFormat="false" ht="15" hidden="false" customHeight="true" outlineLevel="0" collapsed="false">
      <c r="K120" s="21" t="b">
        <f aca="false">IF(정기주문설정!$B117="",FALSE(),IF(정기주문설정!$M117="중지",FALSE(),IF(정기주문설정!$L117&lt;&gt;"",IF($B$3&lt;정기주문설정!$L117,FALSE(),IF(정기주문설정!$I117="매일",TRUE(),IF(정기주문설정!$I117="매주",(WEEKDAY($B$3)=IFERROR(MATCH(정기주문설정!$J117,정기주문설정!$O$3:$O$9,0),0)),IF(정기주문설정!$I117="격주",AND((WEEKDAY($B$3)=IFERROR(MATCH(정기주문설정!$J117,정기주문설정!$O$3:$O$9,0),0)),MOD(INT(($B$3-정기주문설정!$L117)/7),2)=0),IF(정기주문설정!$I117="매월",DAY($B$3)=정기주문설정!$K117,FALSE()))))),IF(정기주문설정!$I117="매일",TRUE(),IF(정기주문설정!$I117="매주",(WEEKDAY($B$3)=IFERROR(MATCH(정기주문설정!$J117,정기주문설정!$O$3:$O$9,0),0)),IF(정기주문설정!$I117="매월",DAY($B$3)=정기주문설정!$K117,FALSE()))))))</f>
        <v>0</v>
      </c>
      <c r="L120" s="5" t="str">
        <f aca="false">IF($K120=FALSE(),"",COUNTIF($K$6:$K120,TRUE()))</f>
        <v/>
      </c>
      <c r="M120" s="5" t="str">
        <f aca="false">IF($L120="","","R"&amp;$L120)</f>
        <v/>
      </c>
    </row>
    <row r="121" customFormat="false" ht="15" hidden="false" customHeight="true" outlineLevel="0" collapsed="false">
      <c r="K121" s="21" t="b">
        <f aca="false">IF(정기주문설정!$B118="",FALSE(),IF(정기주문설정!$M118="중지",FALSE(),IF(정기주문설정!$L118&lt;&gt;"",IF($B$3&lt;정기주문설정!$L118,FALSE(),IF(정기주문설정!$I118="매일",TRUE(),IF(정기주문설정!$I118="매주",(WEEKDAY($B$3)=IFERROR(MATCH(정기주문설정!$J118,정기주문설정!$O$3:$O$9,0),0)),IF(정기주문설정!$I118="격주",AND((WEEKDAY($B$3)=IFERROR(MATCH(정기주문설정!$J118,정기주문설정!$O$3:$O$9,0),0)),MOD(INT(($B$3-정기주문설정!$L118)/7),2)=0),IF(정기주문설정!$I118="매월",DAY($B$3)=정기주문설정!$K118,FALSE()))))),IF(정기주문설정!$I118="매일",TRUE(),IF(정기주문설정!$I118="매주",(WEEKDAY($B$3)=IFERROR(MATCH(정기주문설정!$J118,정기주문설정!$O$3:$O$9,0),0)),IF(정기주문설정!$I118="매월",DAY($B$3)=정기주문설정!$K118,FALSE()))))))</f>
        <v>0</v>
      </c>
      <c r="L121" s="5" t="str">
        <f aca="false">IF($K121=FALSE(),"",COUNTIF($K$6:$K121,TRUE()))</f>
        <v/>
      </c>
      <c r="M121" s="5" t="str">
        <f aca="false">IF($L121="","","R"&amp;$L121)</f>
        <v/>
      </c>
    </row>
    <row r="122" customFormat="false" ht="15" hidden="false" customHeight="true" outlineLevel="0" collapsed="false">
      <c r="K122" s="21" t="b">
        <f aca="false">IF(정기주문설정!$B119="",FALSE(),IF(정기주문설정!$M119="중지",FALSE(),IF(정기주문설정!$L119&lt;&gt;"",IF($B$3&lt;정기주문설정!$L119,FALSE(),IF(정기주문설정!$I119="매일",TRUE(),IF(정기주문설정!$I119="매주",(WEEKDAY($B$3)=IFERROR(MATCH(정기주문설정!$J119,정기주문설정!$O$3:$O$9,0),0)),IF(정기주문설정!$I119="격주",AND((WEEKDAY($B$3)=IFERROR(MATCH(정기주문설정!$J119,정기주문설정!$O$3:$O$9,0),0)),MOD(INT(($B$3-정기주문설정!$L119)/7),2)=0),IF(정기주문설정!$I119="매월",DAY($B$3)=정기주문설정!$K119,FALSE()))))),IF(정기주문설정!$I119="매일",TRUE(),IF(정기주문설정!$I119="매주",(WEEKDAY($B$3)=IFERROR(MATCH(정기주문설정!$J119,정기주문설정!$O$3:$O$9,0),0)),IF(정기주문설정!$I119="매월",DAY($B$3)=정기주문설정!$K119,FALSE()))))))</f>
        <v>0</v>
      </c>
      <c r="L122" s="5" t="str">
        <f aca="false">IF($K122=FALSE(),"",COUNTIF($K$6:$K122,TRUE()))</f>
        <v/>
      </c>
      <c r="M122" s="5" t="str">
        <f aca="false">IF($L122="","","R"&amp;$L122)</f>
        <v/>
      </c>
    </row>
    <row r="123" customFormat="false" ht="15" hidden="false" customHeight="true" outlineLevel="0" collapsed="false">
      <c r="K123" s="21" t="b">
        <f aca="false">IF(정기주문설정!$B120="",FALSE(),IF(정기주문설정!$M120="중지",FALSE(),IF(정기주문설정!$L120&lt;&gt;"",IF($B$3&lt;정기주문설정!$L120,FALSE(),IF(정기주문설정!$I120="매일",TRUE(),IF(정기주문설정!$I120="매주",(WEEKDAY($B$3)=IFERROR(MATCH(정기주문설정!$J120,정기주문설정!$O$3:$O$9,0),0)),IF(정기주문설정!$I120="격주",AND((WEEKDAY($B$3)=IFERROR(MATCH(정기주문설정!$J120,정기주문설정!$O$3:$O$9,0),0)),MOD(INT(($B$3-정기주문설정!$L120)/7),2)=0),IF(정기주문설정!$I120="매월",DAY($B$3)=정기주문설정!$K120,FALSE()))))),IF(정기주문설정!$I120="매일",TRUE(),IF(정기주문설정!$I120="매주",(WEEKDAY($B$3)=IFERROR(MATCH(정기주문설정!$J120,정기주문설정!$O$3:$O$9,0),0)),IF(정기주문설정!$I120="매월",DAY($B$3)=정기주문설정!$K120,FALSE()))))))</f>
        <v>0</v>
      </c>
      <c r="L123" s="5" t="str">
        <f aca="false">IF($K123=FALSE(),"",COUNTIF($K$6:$K123,TRUE()))</f>
        <v/>
      </c>
      <c r="M123" s="5" t="str">
        <f aca="false">IF($L123="","","R"&amp;$L123)</f>
        <v/>
      </c>
    </row>
    <row r="124" customFormat="false" ht="15" hidden="false" customHeight="true" outlineLevel="0" collapsed="false">
      <c r="K124" s="21" t="b">
        <f aca="false">IF(정기주문설정!$B121="",FALSE(),IF(정기주문설정!$M121="중지",FALSE(),IF(정기주문설정!$L121&lt;&gt;"",IF($B$3&lt;정기주문설정!$L121,FALSE(),IF(정기주문설정!$I121="매일",TRUE(),IF(정기주문설정!$I121="매주",(WEEKDAY($B$3)=IFERROR(MATCH(정기주문설정!$J121,정기주문설정!$O$3:$O$9,0),0)),IF(정기주문설정!$I121="격주",AND((WEEKDAY($B$3)=IFERROR(MATCH(정기주문설정!$J121,정기주문설정!$O$3:$O$9,0),0)),MOD(INT(($B$3-정기주문설정!$L121)/7),2)=0),IF(정기주문설정!$I121="매월",DAY($B$3)=정기주문설정!$K121,FALSE()))))),IF(정기주문설정!$I121="매일",TRUE(),IF(정기주문설정!$I121="매주",(WEEKDAY($B$3)=IFERROR(MATCH(정기주문설정!$J121,정기주문설정!$O$3:$O$9,0),0)),IF(정기주문설정!$I121="매월",DAY($B$3)=정기주문설정!$K121,FALSE()))))))</f>
        <v>0</v>
      </c>
      <c r="L124" s="5" t="str">
        <f aca="false">IF($K124=FALSE(),"",COUNTIF($K$6:$K124,TRUE()))</f>
        <v/>
      </c>
      <c r="M124" s="5" t="str">
        <f aca="false">IF($L124="","","R"&amp;$L124)</f>
        <v/>
      </c>
    </row>
    <row r="125" customFormat="false" ht="15" hidden="false" customHeight="true" outlineLevel="0" collapsed="false">
      <c r="K125" s="21" t="b">
        <f aca="false">IF(정기주문설정!$B122="",FALSE(),IF(정기주문설정!$M122="중지",FALSE(),IF(정기주문설정!$L122&lt;&gt;"",IF($B$3&lt;정기주문설정!$L122,FALSE(),IF(정기주문설정!$I122="매일",TRUE(),IF(정기주문설정!$I122="매주",(WEEKDAY($B$3)=IFERROR(MATCH(정기주문설정!$J122,정기주문설정!$O$3:$O$9,0),0)),IF(정기주문설정!$I122="격주",AND((WEEKDAY($B$3)=IFERROR(MATCH(정기주문설정!$J122,정기주문설정!$O$3:$O$9,0),0)),MOD(INT(($B$3-정기주문설정!$L122)/7),2)=0),IF(정기주문설정!$I122="매월",DAY($B$3)=정기주문설정!$K122,FALSE()))))),IF(정기주문설정!$I122="매일",TRUE(),IF(정기주문설정!$I122="매주",(WEEKDAY($B$3)=IFERROR(MATCH(정기주문설정!$J122,정기주문설정!$O$3:$O$9,0),0)),IF(정기주문설정!$I122="매월",DAY($B$3)=정기주문설정!$K122,FALSE()))))))</f>
        <v>0</v>
      </c>
      <c r="L125" s="5" t="str">
        <f aca="false">IF($K125=FALSE(),"",COUNTIF($K$6:$K125,TRUE()))</f>
        <v/>
      </c>
      <c r="M125" s="5" t="str">
        <f aca="false">IF($L125="","","R"&amp;$L125)</f>
        <v/>
      </c>
    </row>
    <row r="126" customFormat="false" ht="15" hidden="false" customHeight="true" outlineLevel="0" collapsed="false">
      <c r="K126" s="21" t="b">
        <f aca="false">IF(정기주문설정!$B123="",FALSE(),IF(정기주문설정!$M123="중지",FALSE(),IF(정기주문설정!$L123&lt;&gt;"",IF($B$3&lt;정기주문설정!$L123,FALSE(),IF(정기주문설정!$I123="매일",TRUE(),IF(정기주문설정!$I123="매주",(WEEKDAY($B$3)=IFERROR(MATCH(정기주문설정!$J123,정기주문설정!$O$3:$O$9,0),0)),IF(정기주문설정!$I123="격주",AND((WEEKDAY($B$3)=IFERROR(MATCH(정기주문설정!$J123,정기주문설정!$O$3:$O$9,0),0)),MOD(INT(($B$3-정기주문설정!$L123)/7),2)=0),IF(정기주문설정!$I123="매월",DAY($B$3)=정기주문설정!$K123,FALSE()))))),IF(정기주문설정!$I123="매일",TRUE(),IF(정기주문설정!$I123="매주",(WEEKDAY($B$3)=IFERROR(MATCH(정기주문설정!$J123,정기주문설정!$O$3:$O$9,0),0)),IF(정기주문설정!$I123="매월",DAY($B$3)=정기주문설정!$K123,FALSE()))))))</f>
        <v>0</v>
      </c>
      <c r="L126" s="5" t="str">
        <f aca="false">IF($K126=FALSE(),"",COUNTIF($K$6:$K126,TRUE()))</f>
        <v/>
      </c>
      <c r="M126" s="5" t="str">
        <f aca="false">IF($L126="","","R"&amp;$L126)</f>
        <v/>
      </c>
    </row>
    <row r="127" customFormat="false" ht="15" hidden="false" customHeight="true" outlineLevel="0" collapsed="false">
      <c r="K127" s="21" t="b">
        <f aca="false">IF(정기주문설정!$B124="",FALSE(),IF(정기주문설정!$M124="중지",FALSE(),IF(정기주문설정!$L124&lt;&gt;"",IF($B$3&lt;정기주문설정!$L124,FALSE(),IF(정기주문설정!$I124="매일",TRUE(),IF(정기주문설정!$I124="매주",(WEEKDAY($B$3)=IFERROR(MATCH(정기주문설정!$J124,정기주문설정!$O$3:$O$9,0),0)),IF(정기주문설정!$I124="격주",AND((WEEKDAY($B$3)=IFERROR(MATCH(정기주문설정!$J124,정기주문설정!$O$3:$O$9,0),0)),MOD(INT(($B$3-정기주문설정!$L124)/7),2)=0),IF(정기주문설정!$I124="매월",DAY($B$3)=정기주문설정!$K124,FALSE()))))),IF(정기주문설정!$I124="매일",TRUE(),IF(정기주문설정!$I124="매주",(WEEKDAY($B$3)=IFERROR(MATCH(정기주문설정!$J124,정기주문설정!$O$3:$O$9,0),0)),IF(정기주문설정!$I124="매월",DAY($B$3)=정기주문설정!$K124,FALSE()))))))</f>
        <v>0</v>
      </c>
      <c r="L127" s="5" t="str">
        <f aca="false">IF($K127=FALSE(),"",COUNTIF($K$6:$K127,TRUE()))</f>
        <v/>
      </c>
      <c r="M127" s="5" t="str">
        <f aca="false">IF($L127="","","R"&amp;$L127)</f>
        <v/>
      </c>
    </row>
    <row r="128" customFormat="false" ht="15" hidden="false" customHeight="true" outlineLevel="0" collapsed="false">
      <c r="K128" s="21" t="b">
        <f aca="false">IF(정기주문설정!$B125="",FALSE(),IF(정기주문설정!$M125="중지",FALSE(),IF(정기주문설정!$L125&lt;&gt;"",IF($B$3&lt;정기주문설정!$L125,FALSE(),IF(정기주문설정!$I125="매일",TRUE(),IF(정기주문설정!$I125="매주",(WEEKDAY($B$3)=IFERROR(MATCH(정기주문설정!$J125,정기주문설정!$O$3:$O$9,0),0)),IF(정기주문설정!$I125="격주",AND((WEEKDAY($B$3)=IFERROR(MATCH(정기주문설정!$J125,정기주문설정!$O$3:$O$9,0),0)),MOD(INT(($B$3-정기주문설정!$L125)/7),2)=0),IF(정기주문설정!$I125="매월",DAY($B$3)=정기주문설정!$K125,FALSE()))))),IF(정기주문설정!$I125="매일",TRUE(),IF(정기주문설정!$I125="매주",(WEEKDAY($B$3)=IFERROR(MATCH(정기주문설정!$J125,정기주문설정!$O$3:$O$9,0),0)),IF(정기주문설정!$I125="매월",DAY($B$3)=정기주문설정!$K125,FALSE()))))))</f>
        <v>0</v>
      </c>
      <c r="L128" s="5" t="str">
        <f aca="false">IF($K128=FALSE(),"",COUNTIF($K$6:$K128,TRUE()))</f>
        <v/>
      </c>
      <c r="M128" s="5" t="str">
        <f aca="false">IF($L128="","","R"&amp;$L128)</f>
        <v/>
      </c>
    </row>
    <row r="129" customFormat="false" ht="15" hidden="false" customHeight="true" outlineLevel="0" collapsed="false">
      <c r="K129" s="21" t="b">
        <f aca="false">IF(정기주문설정!$B126="",FALSE(),IF(정기주문설정!$M126="중지",FALSE(),IF(정기주문설정!$L126&lt;&gt;"",IF($B$3&lt;정기주문설정!$L126,FALSE(),IF(정기주문설정!$I126="매일",TRUE(),IF(정기주문설정!$I126="매주",(WEEKDAY($B$3)=IFERROR(MATCH(정기주문설정!$J126,정기주문설정!$O$3:$O$9,0),0)),IF(정기주문설정!$I126="격주",AND((WEEKDAY($B$3)=IFERROR(MATCH(정기주문설정!$J126,정기주문설정!$O$3:$O$9,0),0)),MOD(INT(($B$3-정기주문설정!$L126)/7),2)=0),IF(정기주문설정!$I126="매월",DAY($B$3)=정기주문설정!$K126,FALSE()))))),IF(정기주문설정!$I126="매일",TRUE(),IF(정기주문설정!$I126="매주",(WEEKDAY($B$3)=IFERROR(MATCH(정기주문설정!$J126,정기주문설정!$O$3:$O$9,0),0)),IF(정기주문설정!$I126="매월",DAY($B$3)=정기주문설정!$K126,FALSE()))))))</f>
        <v>0</v>
      </c>
      <c r="L129" s="5" t="str">
        <f aca="false">IF($K129=FALSE(),"",COUNTIF($K$6:$K129,TRUE()))</f>
        <v/>
      </c>
      <c r="M129" s="5" t="str">
        <f aca="false">IF($L129="","","R"&amp;$L129)</f>
        <v/>
      </c>
    </row>
    <row r="130" customFormat="false" ht="15" hidden="false" customHeight="true" outlineLevel="0" collapsed="false">
      <c r="K130" s="21" t="b">
        <f aca="false">IF(정기주문설정!$B127="",FALSE(),IF(정기주문설정!$M127="중지",FALSE(),IF(정기주문설정!$L127&lt;&gt;"",IF($B$3&lt;정기주문설정!$L127,FALSE(),IF(정기주문설정!$I127="매일",TRUE(),IF(정기주문설정!$I127="매주",(WEEKDAY($B$3)=IFERROR(MATCH(정기주문설정!$J127,정기주문설정!$O$3:$O$9,0),0)),IF(정기주문설정!$I127="격주",AND((WEEKDAY($B$3)=IFERROR(MATCH(정기주문설정!$J127,정기주문설정!$O$3:$O$9,0),0)),MOD(INT(($B$3-정기주문설정!$L127)/7),2)=0),IF(정기주문설정!$I127="매월",DAY($B$3)=정기주문설정!$K127,FALSE()))))),IF(정기주문설정!$I127="매일",TRUE(),IF(정기주문설정!$I127="매주",(WEEKDAY($B$3)=IFERROR(MATCH(정기주문설정!$J127,정기주문설정!$O$3:$O$9,0),0)),IF(정기주문설정!$I127="매월",DAY($B$3)=정기주문설정!$K127,FALSE()))))))</f>
        <v>0</v>
      </c>
      <c r="L130" s="5" t="str">
        <f aca="false">IF($K130=FALSE(),"",COUNTIF($K$6:$K130,TRUE()))</f>
        <v/>
      </c>
      <c r="M130" s="5" t="str">
        <f aca="false">IF($L130="","","R"&amp;$L130)</f>
        <v/>
      </c>
    </row>
    <row r="131" customFormat="false" ht="15" hidden="false" customHeight="true" outlineLevel="0" collapsed="false">
      <c r="K131" s="21" t="b">
        <f aca="false">IF(정기주문설정!$B128="",FALSE(),IF(정기주문설정!$M128="중지",FALSE(),IF(정기주문설정!$L128&lt;&gt;"",IF($B$3&lt;정기주문설정!$L128,FALSE(),IF(정기주문설정!$I128="매일",TRUE(),IF(정기주문설정!$I128="매주",(WEEKDAY($B$3)=IFERROR(MATCH(정기주문설정!$J128,정기주문설정!$O$3:$O$9,0),0)),IF(정기주문설정!$I128="격주",AND((WEEKDAY($B$3)=IFERROR(MATCH(정기주문설정!$J128,정기주문설정!$O$3:$O$9,0),0)),MOD(INT(($B$3-정기주문설정!$L128)/7),2)=0),IF(정기주문설정!$I128="매월",DAY($B$3)=정기주문설정!$K128,FALSE()))))),IF(정기주문설정!$I128="매일",TRUE(),IF(정기주문설정!$I128="매주",(WEEKDAY($B$3)=IFERROR(MATCH(정기주문설정!$J128,정기주문설정!$O$3:$O$9,0),0)),IF(정기주문설정!$I128="매월",DAY($B$3)=정기주문설정!$K128,FALSE()))))))</f>
        <v>0</v>
      </c>
      <c r="L131" s="5" t="str">
        <f aca="false">IF($K131=FALSE(),"",COUNTIF($K$6:$K131,TRUE()))</f>
        <v/>
      </c>
      <c r="M131" s="5" t="str">
        <f aca="false">IF($L131="","","R"&amp;$L131)</f>
        <v/>
      </c>
    </row>
    <row r="132" customFormat="false" ht="15" hidden="false" customHeight="true" outlineLevel="0" collapsed="false">
      <c r="K132" s="21" t="b">
        <f aca="false">IF(정기주문설정!$B129="",FALSE(),IF(정기주문설정!$M129="중지",FALSE(),IF(정기주문설정!$L129&lt;&gt;"",IF($B$3&lt;정기주문설정!$L129,FALSE(),IF(정기주문설정!$I129="매일",TRUE(),IF(정기주문설정!$I129="매주",(WEEKDAY($B$3)=IFERROR(MATCH(정기주문설정!$J129,정기주문설정!$O$3:$O$9,0),0)),IF(정기주문설정!$I129="격주",AND((WEEKDAY($B$3)=IFERROR(MATCH(정기주문설정!$J129,정기주문설정!$O$3:$O$9,0),0)),MOD(INT(($B$3-정기주문설정!$L129)/7),2)=0),IF(정기주문설정!$I129="매월",DAY($B$3)=정기주문설정!$K129,FALSE()))))),IF(정기주문설정!$I129="매일",TRUE(),IF(정기주문설정!$I129="매주",(WEEKDAY($B$3)=IFERROR(MATCH(정기주문설정!$J129,정기주문설정!$O$3:$O$9,0),0)),IF(정기주문설정!$I129="매월",DAY($B$3)=정기주문설정!$K129,FALSE()))))))</f>
        <v>0</v>
      </c>
      <c r="L132" s="5" t="str">
        <f aca="false">IF($K132=FALSE(),"",COUNTIF($K$6:$K132,TRUE()))</f>
        <v/>
      </c>
      <c r="M132" s="5" t="str">
        <f aca="false">IF($L132="","","R"&amp;$L132)</f>
        <v/>
      </c>
    </row>
    <row r="133" customFormat="false" ht="15" hidden="false" customHeight="true" outlineLevel="0" collapsed="false">
      <c r="K133" s="21" t="b">
        <f aca="false">IF(정기주문설정!$B130="",FALSE(),IF(정기주문설정!$M130="중지",FALSE(),IF(정기주문설정!$L130&lt;&gt;"",IF($B$3&lt;정기주문설정!$L130,FALSE(),IF(정기주문설정!$I130="매일",TRUE(),IF(정기주문설정!$I130="매주",(WEEKDAY($B$3)=IFERROR(MATCH(정기주문설정!$J130,정기주문설정!$O$3:$O$9,0),0)),IF(정기주문설정!$I130="격주",AND((WEEKDAY($B$3)=IFERROR(MATCH(정기주문설정!$J130,정기주문설정!$O$3:$O$9,0),0)),MOD(INT(($B$3-정기주문설정!$L130)/7),2)=0),IF(정기주문설정!$I130="매월",DAY($B$3)=정기주문설정!$K130,FALSE()))))),IF(정기주문설정!$I130="매일",TRUE(),IF(정기주문설정!$I130="매주",(WEEKDAY($B$3)=IFERROR(MATCH(정기주문설정!$J130,정기주문설정!$O$3:$O$9,0),0)),IF(정기주문설정!$I130="매월",DAY($B$3)=정기주문설정!$K130,FALSE()))))))</f>
        <v>0</v>
      </c>
      <c r="L133" s="5" t="str">
        <f aca="false">IF($K133=FALSE(),"",COUNTIF($K$6:$K133,TRUE()))</f>
        <v/>
      </c>
      <c r="M133" s="5" t="str">
        <f aca="false">IF($L133="","","R"&amp;$L133)</f>
        <v/>
      </c>
    </row>
    <row r="134" customFormat="false" ht="15" hidden="false" customHeight="true" outlineLevel="0" collapsed="false">
      <c r="K134" s="21" t="b">
        <f aca="false">IF(정기주문설정!$B131="",FALSE(),IF(정기주문설정!$M131="중지",FALSE(),IF(정기주문설정!$L131&lt;&gt;"",IF($B$3&lt;정기주문설정!$L131,FALSE(),IF(정기주문설정!$I131="매일",TRUE(),IF(정기주문설정!$I131="매주",(WEEKDAY($B$3)=IFERROR(MATCH(정기주문설정!$J131,정기주문설정!$O$3:$O$9,0),0)),IF(정기주문설정!$I131="격주",AND((WEEKDAY($B$3)=IFERROR(MATCH(정기주문설정!$J131,정기주문설정!$O$3:$O$9,0),0)),MOD(INT(($B$3-정기주문설정!$L131)/7),2)=0),IF(정기주문설정!$I131="매월",DAY($B$3)=정기주문설정!$K131,FALSE()))))),IF(정기주문설정!$I131="매일",TRUE(),IF(정기주문설정!$I131="매주",(WEEKDAY($B$3)=IFERROR(MATCH(정기주문설정!$J131,정기주문설정!$O$3:$O$9,0),0)),IF(정기주문설정!$I131="매월",DAY($B$3)=정기주문설정!$K131,FALSE()))))))</f>
        <v>0</v>
      </c>
      <c r="L134" s="5" t="str">
        <f aca="false">IF($K134=FALSE(),"",COUNTIF($K$6:$K134,TRUE()))</f>
        <v/>
      </c>
      <c r="M134" s="5" t="str">
        <f aca="false">IF($L134="","","R"&amp;$L134)</f>
        <v/>
      </c>
    </row>
    <row r="135" customFormat="false" ht="15" hidden="false" customHeight="true" outlineLevel="0" collapsed="false">
      <c r="K135" s="21" t="b">
        <f aca="false">IF(정기주문설정!$B132="",FALSE(),IF(정기주문설정!$M132="중지",FALSE(),IF(정기주문설정!$L132&lt;&gt;"",IF($B$3&lt;정기주문설정!$L132,FALSE(),IF(정기주문설정!$I132="매일",TRUE(),IF(정기주문설정!$I132="매주",(WEEKDAY($B$3)=IFERROR(MATCH(정기주문설정!$J132,정기주문설정!$O$3:$O$9,0),0)),IF(정기주문설정!$I132="격주",AND((WEEKDAY($B$3)=IFERROR(MATCH(정기주문설정!$J132,정기주문설정!$O$3:$O$9,0),0)),MOD(INT(($B$3-정기주문설정!$L132)/7),2)=0),IF(정기주문설정!$I132="매월",DAY($B$3)=정기주문설정!$K132,FALSE()))))),IF(정기주문설정!$I132="매일",TRUE(),IF(정기주문설정!$I132="매주",(WEEKDAY($B$3)=IFERROR(MATCH(정기주문설정!$J132,정기주문설정!$O$3:$O$9,0),0)),IF(정기주문설정!$I132="매월",DAY($B$3)=정기주문설정!$K132,FALSE()))))))</f>
        <v>0</v>
      </c>
      <c r="L135" s="5" t="str">
        <f aca="false">IF($K135=FALSE(),"",COUNTIF($K$6:$K135,TRUE()))</f>
        <v/>
      </c>
      <c r="M135" s="5" t="str">
        <f aca="false">IF($L135="","","R"&amp;$L135)</f>
        <v/>
      </c>
    </row>
    <row r="136" customFormat="false" ht="15" hidden="false" customHeight="true" outlineLevel="0" collapsed="false">
      <c r="K136" s="21" t="b">
        <f aca="false">IF(정기주문설정!$B133="",FALSE(),IF(정기주문설정!$M133="중지",FALSE(),IF(정기주문설정!$L133&lt;&gt;"",IF($B$3&lt;정기주문설정!$L133,FALSE(),IF(정기주문설정!$I133="매일",TRUE(),IF(정기주문설정!$I133="매주",(WEEKDAY($B$3)=IFERROR(MATCH(정기주문설정!$J133,정기주문설정!$O$3:$O$9,0),0)),IF(정기주문설정!$I133="격주",AND((WEEKDAY($B$3)=IFERROR(MATCH(정기주문설정!$J133,정기주문설정!$O$3:$O$9,0),0)),MOD(INT(($B$3-정기주문설정!$L133)/7),2)=0),IF(정기주문설정!$I133="매월",DAY($B$3)=정기주문설정!$K133,FALSE()))))),IF(정기주문설정!$I133="매일",TRUE(),IF(정기주문설정!$I133="매주",(WEEKDAY($B$3)=IFERROR(MATCH(정기주문설정!$J133,정기주문설정!$O$3:$O$9,0),0)),IF(정기주문설정!$I133="매월",DAY($B$3)=정기주문설정!$K133,FALSE()))))))</f>
        <v>0</v>
      </c>
      <c r="L136" s="5" t="str">
        <f aca="false">IF($K136=FALSE(),"",COUNTIF($K$6:$K136,TRUE()))</f>
        <v/>
      </c>
      <c r="M136" s="5" t="str">
        <f aca="false">IF($L136="","","R"&amp;$L136)</f>
        <v/>
      </c>
    </row>
    <row r="137" customFormat="false" ht="15" hidden="false" customHeight="true" outlineLevel="0" collapsed="false">
      <c r="K137" s="21" t="b">
        <f aca="false">IF(정기주문설정!$B134="",FALSE(),IF(정기주문설정!$M134="중지",FALSE(),IF(정기주문설정!$L134&lt;&gt;"",IF($B$3&lt;정기주문설정!$L134,FALSE(),IF(정기주문설정!$I134="매일",TRUE(),IF(정기주문설정!$I134="매주",(WEEKDAY($B$3)=IFERROR(MATCH(정기주문설정!$J134,정기주문설정!$O$3:$O$9,0),0)),IF(정기주문설정!$I134="격주",AND((WEEKDAY($B$3)=IFERROR(MATCH(정기주문설정!$J134,정기주문설정!$O$3:$O$9,0),0)),MOD(INT(($B$3-정기주문설정!$L134)/7),2)=0),IF(정기주문설정!$I134="매월",DAY($B$3)=정기주문설정!$K134,FALSE()))))),IF(정기주문설정!$I134="매일",TRUE(),IF(정기주문설정!$I134="매주",(WEEKDAY($B$3)=IFERROR(MATCH(정기주문설정!$J134,정기주문설정!$O$3:$O$9,0),0)),IF(정기주문설정!$I134="매월",DAY($B$3)=정기주문설정!$K134,FALSE()))))))</f>
        <v>0</v>
      </c>
      <c r="L137" s="5" t="str">
        <f aca="false">IF($K137=FALSE(),"",COUNTIF($K$6:$K137,TRUE()))</f>
        <v/>
      </c>
      <c r="M137" s="5" t="str">
        <f aca="false">IF($L137="","","R"&amp;$L137)</f>
        <v/>
      </c>
    </row>
    <row r="138" customFormat="false" ht="15" hidden="false" customHeight="true" outlineLevel="0" collapsed="false">
      <c r="K138" s="21" t="b">
        <f aca="false">IF(정기주문설정!$B135="",FALSE(),IF(정기주문설정!$M135="중지",FALSE(),IF(정기주문설정!$L135&lt;&gt;"",IF($B$3&lt;정기주문설정!$L135,FALSE(),IF(정기주문설정!$I135="매일",TRUE(),IF(정기주문설정!$I135="매주",(WEEKDAY($B$3)=IFERROR(MATCH(정기주문설정!$J135,정기주문설정!$O$3:$O$9,0),0)),IF(정기주문설정!$I135="격주",AND((WEEKDAY($B$3)=IFERROR(MATCH(정기주문설정!$J135,정기주문설정!$O$3:$O$9,0),0)),MOD(INT(($B$3-정기주문설정!$L135)/7),2)=0),IF(정기주문설정!$I135="매월",DAY($B$3)=정기주문설정!$K135,FALSE()))))),IF(정기주문설정!$I135="매일",TRUE(),IF(정기주문설정!$I135="매주",(WEEKDAY($B$3)=IFERROR(MATCH(정기주문설정!$J135,정기주문설정!$O$3:$O$9,0),0)),IF(정기주문설정!$I135="매월",DAY($B$3)=정기주문설정!$K135,FALSE()))))))</f>
        <v>0</v>
      </c>
      <c r="L138" s="5" t="str">
        <f aca="false">IF($K138=FALSE(),"",COUNTIF($K$6:$K138,TRUE()))</f>
        <v/>
      </c>
      <c r="M138" s="5" t="str">
        <f aca="false">IF($L138="","","R"&amp;$L138)</f>
        <v/>
      </c>
    </row>
    <row r="139" customFormat="false" ht="15" hidden="false" customHeight="true" outlineLevel="0" collapsed="false">
      <c r="K139" s="21" t="b">
        <f aca="false">IF(정기주문설정!$B136="",FALSE(),IF(정기주문설정!$M136="중지",FALSE(),IF(정기주문설정!$L136&lt;&gt;"",IF($B$3&lt;정기주문설정!$L136,FALSE(),IF(정기주문설정!$I136="매일",TRUE(),IF(정기주문설정!$I136="매주",(WEEKDAY($B$3)=IFERROR(MATCH(정기주문설정!$J136,정기주문설정!$O$3:$O$9,0),0)),IF(정기주문설정!$I136="격주",AND((WEEKDAY($B$3)=IFERROR(MATCH(정기주문설정!$J136,정기주문설정!$O$3:$O$9,0),0)),MOD(INT(($B$3-정기주문설정!$L136)/7),2)=0),IF(정기주문설정!$I136="매월",DAY($B$3)=정기주문설정!$K136,FALSE()))))),IF(정기주문설정!$I136="매일",TRUE(),IF(정기주문설정!$I136="매주",(WEEKDAY($B$3)=IFERROR(MATCH(정기주문설정!$J136,정기주문설정!$O$3:$O$9,0),0)),IF(정기주문설정!$I136="매월",DAY($B$3)=정기주문설정!$K136,FALSE()))))))</f>
        <v>0</v>
      </c>
      <c r="L139" s="5" t="str">
        <f aca="false">IF($K139=FALSE(),"",COUNTIF($K$6:$K139,TRUE()))</f>
        <v/>
      </c>
      <c r="M139" s="5" t="str">
        <f aca="false">IF($L139="","","R"&amp;$L139)</f>
        <v/>
      </c>
    </row>
    <row r="140" customFormat="false" ht="15" hidden="false" customHeight="true" outlineLevel="0" collapsed="false">
      <c r="K140" s="21" t="b">
        <f aca="false">IF(정기주문설정!$B137="",FALSE(),IF(정기주문설정!$M137="중지",FALSE(),IF(정기주문설정!$L137&lt;&gt;"",IF($B$3&lt;정기주문설정!$L137,FALSE(),IF(정기주문설정!$I137="매일",TRUE(),IF(정기주문설정!$I137="매주",(WEEKDAY($B$3)=IFERROR(MATCH(정기주문설정!$J137,정기주문설정!$O$3:$O$9,0),0)),IF(정기주문설정!$I137="격주",AND((WEEKDAY($B$3)=IFERROR(MATCH(정기주문설정!$J137,정기주문설정!$O$3:$O$9,0),0)),MOD(INT(($B$3-정기주문설정!$L137)/7),2)=0),IF(정기주문설정!$I137="매월",DAY($B$3)=정기주문설정!$K137,FALSE()))))),IF(정기주문설정!$I137="매일",TRUE(),IF(정기주문설정!$I137="매주",(WEEKDAY($B$3)=IFERROR(MATCH(정기주문설정!$J137,정기주문설정!$O$3:$O$9,0),0)),IF(정기주문설정!$I137="매월",DAY($B$3)=정기주문설정!$K137,FALSE()))))))</f>
        <v>0</v>
      </c>
      <c r="L140" s="5" t="str">
        <f aca="false">IF($K140=FALSE(),"",COUNTIF($K$6:$K140,TRUE()))</f>
        <v/>
      </c>
      <c r="M140" s="5" t="str">
        <f aca="false">IF($L140="","","R"&amp;$L140)</f>
        <v/>
      </c>
    </row>
    <row r="141" customFormat="false" ht="15" hidden="false" customHeight="true" outlineLevel="0" collapsed="false">
      <c r="K141" s="21" t="b">
        <f aca="false">IF(정기주문설정!$B138="",FALSE(),IF(정기주문설정!$M138="중지",FALSE(),IF(정기주문설정!$L138&lt;&gt;"",IF($B$3&lt;정기주문설정!$L138,FALSE(),IF(정기주문설정!$I138="매일",TRUE(),IF(정기주문설정!$I138="매주",(WEEKDAY($B$3)=IFERROR(MATCH(정기주문설정!$J138,정기주문설정!$O$3:$O$9,0),0)),IF(정기주문설정!$I138="격주",AND((WEEKDAY($B$3)=IFERROR(MATCH(정기주문설정!$J138,정기주문설정!$O$3:$O$9,0),0)),MOD(INT(($B$3-정기주문설정!$L138)/7),2)=0),IF(정기주문설정!$I138="매월",DAY($B$3)=정기주문설정!$K138,FALSE()))))),IF(정기주문설정!$I138="매일",TRUE(),IF(정기주문설정!$I138="매주",(WEEKDAY($B$3)=IFERROR(MATCH(정기주문설정!$J138,정기주문설정!$O$3:$O$9,0),0)),IF(정기주문설정!$I138="매월",DAY($B$3)=정기주문설정!$K138,FALSE()))))))</f>
        <v>0</v>
      </c>
      <c r="L141" s="5" t="str">
        <f aca="false">IF($K141=FALSE(),"",COUNTIF($K$6:$K141,TRUE()))</f>
        <v/>
      </c>
      <c r="M141" s="5" t="str">
        <f aca="false">IF($L141="","","R"&amp;$L141)</f>
        <v/>
      </c>
    </row>
    <row r="142" customFormat="false" ht="15" hidden="false" customHeight="true" outlineLevel="0" collapsed="false">
      <c r="K142" s="21" t="b">
        <f aca="false">IF(정기주문설정!$B139="",FALSE(),IF(정기주문설정!$M139="중지",FALSE(),IF(정기주문설정!$L139&lt;&gt;"",IF($B$3&lt;정기주문설정!$L139,FALSE(),IF(정기주문설정!$I139="매일",TRUE(),IF(정기주문설정!$I139="매주",(WEEKDAY($B$3)=IFERROR(MATCH(정기주문설정!$J139,정기주문설정!$O$3:$O$9,0),0)),IF(정기주문설정!$I139="격주",AND((WEEKDAY($B$3)=IFERROR(MATCH(정기주문설정!$J139,정기주문설정!$O$3:$O$9,0),0)),MOD(INT(($B$3-정기주문설정!$L139)/7),2)=0),IF(정기주문설정!$I139="매월",DAY($B$3)=정기주문설정!$K139,FALSE()))))),IF(정기주문설정!$I139="매일",TRUE(),IF(정기주문설정!$I139="매주",(WEEKDAY($B$3)=IFERROR(MATCH(정기주문설정!$J139,정기주문설정!$O$3:$O$9,0),0)),IF(정기주문설정!$I139="매월",DAY($B$3)=정기주문설정!$K139,FALSE()))))))</f>
        <v>0</v>
      </c>
      <c r="L142" s="5" t="str">
        <f aca="false">IF($K142=FALSE(),"",COUNTIF($K$6:$K142,TRUE()))</f>
        <v/>
      </c>
      <c r="M142" s="5" t="str">
        <f aca="false">IF($L142="","","R"&amp;$L142)</f>
        <v/>
      </c>
    </row>
    <row r="143" customFormat="false" ht="15" hidden="false" customHeight="true" outlineLevel="0" collapsed="false">
      <c r="K143" s="21" t="b">
        <f aca="false">IF(정기주문설정!$B140="",FALSE(),IF(정기주문설정!$M140="중지",FALSE(),IF(정기주문설정!$L140&lt;&gt;"",IF($B$3&lt;정기주문설정!$L140,FALSE(),IF(정기주문설정!$I140="매일",TRUE(),IF(정기주문설정!$I140="매주",(WEEKDAY($B$3)=IFERROR(MATCH(정기주문설정!$J140,정기주문설정!$O$3:$O$9,0),0)),IF(정기주문설정!$I140="격주",AND((WEEKDAY($B$3)=IFERROR(MATCH(정기주문설정!$J140,정기주문설정!$O$3:$O$9,0),0)),MOD(INT(($B$3-정기주문설정!$L140)/7),2)=0),IF(정기주문설정!$I140="매월",DAY($B$3)=정기주문설정!$K140,FALSE()))))),IF(정기주문설정!$I140="매일",TRUE(),IF(정기주문설정!$I140="매주",(WEEKDAY($B$3)=IFERROR(MATCH(정기주문설정!$J140,정기주문설정!$O$3:$O$9,0),0)),IF(정기주문설정!$I140="매월",DAY($B$3)=정기주문설정!$K140,FALSE()))))))</f>
        <v>0</v>
      </c>
      <c r="L143" s="5" t="str">
        <f aca="false">IF($K143=FALSE(),"",COUNTIF($K$6:$K143,TRUE()))</f>
        <v/>
      </c>
      <c r="M143" s="5" t="str">
        <f aca="false">IF($L143="","","R"&amp;$L143)</f>
        <v/>
      </c>
    </row>
    <row r="144" customFormat="false" ht="15" hidden="false" customHeight="true" outlineLevel="0" collapsed="false">
      <c r="K144" s="21" t="b">
        <f aca="false">IF(정기주문설정!$B141="",FALSE(),IF(정기주문설정!$M141="중지",FALSE(),IF(정기주문설정!$L141&lt;&gt;"",IF($B$3&lt;정기주문설정!$L141,FALSE(),IF(정기주문설정!$I141="매일",TRUE(),IF(정기주문설정!$I141="매주",(WEEKDAY($B$3)=IFERROR(MATCH(정기주문설정!$J141,정기주문설정!$O$3:$O$9,0),0)),IF(정기주문설정!$I141="격주",AND((WEEKDAY($B$3)=IFERROR(MATCH(정기주문설정!$J141,정기주문설정!$O$3:$O$9,0),0)),MOD(INT(($B$3-정기주문설정!$L141)/7),2)=0),IF(정기주문설정!$I141="매월",DAY($B$3)=정기주문설정!$K141,FALSE()))))),IF(정기주문설정!$I141="매일",TRUE(),IF(정기주문설정!$I141="매주",(WEEKDAY($B$3)=IFERROR(MATCH(정기주문설정!$J141,정기주문설정!$O$3:$O$9,0),0)),IF(정기주문설정!$I141="매월",DAY($B$3)=정기주문설정!$K141,FALSE()))))))</f>
        <v>0</v>
      </c>
      <c r="L144" s="5" t="str">
        <f aca="false">IF($K144=FALSE(),"",COUNTIF($K$6:$K144,TRUE()))</f>
        <v/>
      </c>
      <c r="M144" s="5" t="str">
        <f aca="false">IF($L144="","","R"&amp;$L144)</f>
        <v/>
      </c>
    </row>
    <row r="145" customFormat="false" ht="15" hidden="false" customHeight="true" outlineLevel="0" collapsed="false">
      <c r="K145" s="21" t="b">
        <f aca="false">IF(정기주문설정!$B142="",FALSE(),IF(정기주문설정!$M142="중지",FALSE(),IF(정기주문설정!$L142&lt;&gt;"",IF($B$3&lt;정기주문설정!$L142,FALSE(),IF(정기주문설정!$I142="매일",TRUE(),IF(정기주문설정!$I142="매주",(WEEKDAY($B$3)=IFERROR(MATCH(정기주문설정!$J142,정기주문설정!$O$3:$O$9,0),0)),IF(정기주문설정!$I142="격주",AND((WEEKDAY($B$3)=IFERROR(MATCH(정기주문설정!$J142,정기주문설정!$O$3:$O$9,0),0)),MOD(INT(($B$3-정기주문설정!$L142)/7),2)=0),IF(정기주문설정!$I142="매월",DAY($B$3)=정기주문설정!$K142,FALSE()))))),IF(정기주문설정!$I142="매일",TRUE(),IF(정기주문설정!$I142="매주",(WEEKDAY($B$3)=IFERROR(MATCH(정기주문설정!$J142,정기주문설정!$O$3:$O$9,0),0)),IF(정기주문설정!$I142="매월",DAY($B$3)=정기주문설정!$K142,FALSE()))))))</f>
        <v>0</v>
      </c>
      <c r="L145" s="5" t="str">
        <f aca="false">IF($K145=FALSE(),"",COUNTIF($K$6:$K145,TRUE()))</f>
        <v/>
      </c>
      <c r="M145" s="5" t="str">
        <f aca="false">IF($L145="","","R"&amp;$L145)</f>
        <v/>
      </c>
    </row>
    <row r="146" customFormat="false" ht="15" hidden="false" customHeight="true" outlineLevel="0" collapsed="false">
      <c r="K146" s="21" t="b">
        <f aca="false">IF(정기주문설정!$B143="",FALSE(),IF(정기주문설정!$M143="중지",FALSE(),IF(정기주문설정!$L143&lt;&gt;"",IF($B$3&lt;정기주문설정!$L143,FALSE(),IF(정기주문설정!$I143="매일",TRUE(),IF(정기주문설정!$I143="매주",(WEEKDAY($B$3)=IFERROR(MATCH(정기주문설정!$J143,정기주문설정!$O$3:$O$9,0),0)),IF(정기주문설정!$I143="격주",AND((WEEKDAY($B$3)=IFERROR(MATCH(정기주문설정!$J143,정기주문설정!$O$3:$O$9,0),0)),MOD(INT(($B$3-정기주문설정!$L143)/7),2)=0),IF(정기주문설정!$I143="매월",DAY($B$3)=정기주문설정!$K143,FALSE()))))),IF(정기주문설정!$I143="매일",TRUE(),IF(정기주문설정!$I143="매주",(WEEKDAY($B$3)=IFERROR(MATCH(정기주문설정!$J143,정기주문설정!$O$3:$O$9,0),0)),IF(정기주문설정!$I143="매월",DAY($B$3)=정기주문설정!$K143,FALSE()))))))</f>
        <v>0</v>
      </c>
      <c r="L146" s="5" t="str">
        <f aca="false">IF($K146=FALSE(),"",COUNTIF($K$6:$K146,TRUE()))</f>
        <v/>
      </c>
      <c r="M146" s="5" t="str">
        <f aca="false">IF($L146="","","R"&amp;$L146)</f>
        <v/>
      </c>
    </row>
    <row r="147" customFormat="false" ht="15" hidden="false" customHeight="true" outlineLevel="0" collapsed="false">
      <c r="K147" s="21" t="b">
        <f aca="false">IF(정기주문설정!$B144="",FALSE(),IF(정기주문설정!$M144="중지",FALSE(),IF(정기주문설정!$L144&lt;&gt;"",IF($B$3&lt;정기주문설정!$L144,FALSE(),IF(정기주문설정!$I144="매일",TRUE(),IF(정기주문설정!$I144="매주",(WEEKDAY($B$3)=IFERROR(MATCH(정기주문설정!$J144,정기주문설정!$O$3:$O$9,0),0)),IF(정기주문설정!$I144="격주",AND((WEEKDAY($B$3)=IFERROR(MATCH(정기주문설정!$J144,정기주문설정!$O$3:$O$9,0),0)),MOD(INT(($B$3-정기주문설정!$L144)/7),2)=0),IF(정기주문설정!$I144="매월",DAY($B$3)=정기주문설정!$K144,FALSE()))))),IF(정기주문설정!$I144="매일",TRUE(),IF(정기주문설정!$I144="매주",(WEEKDAY($B$3)=IFERROR(MATCH(정기주문설정!$J144,정기주문설정!$O$3:$O$9,0),0)),IF(정기주문설정!$I144="매월",DAY($B$3)=정기주문설정!$K144,FALSE()))))))</f>
        <v>0</v>
      </c>
      <c r="L147" s="5" t="str">
        <f aca="false">IF($K147=FALSE(),"",COUNTIF($K$6:$K147,TRUE()))</f>
        <v/>
      </c>
      <c r="M147" s="5" t="str">
        <f aca="false">IF($L147="","","R"&amp;$L147)</f>
        <v/>
      </c>
    </row>
    <row r="148" customFormat="false" ht="15" hidden="false" customHeight="true" outlineLevel="0" collapsed="false">
      <c r="K148" s="21" t="b">
        <f aca="false">IF(정기주문설정!$B145="",FALSE(),IF(정기주문설정!$M145="중지",FALSE(),IF(정기주문설정!$L145&lt;&gt;"",IF($B$3&lt;정기주문설정!$L145,FALSE(),IF(정기주문설정!$I145="매일",TRUE(),IF(정기주문설정!$I145="매주",(WEEKDAY($B$3)=IFERROR(MATCH(정기주문설정!$J145,정기주문설정!$O$3:$O$9,0),0)),IF(정기주문설정!$I145="격주",AND((WEEKDAY($B$3)=IFERROR(MATCH(정기주문설정!$J145,정기주문설정!$O$3:$O$9,0),0)),MOD(INT(($B$3-정기주문설정!$L145)/7),2)=0),IF(정기주문설정!$I145="매월",DAY($B$3)=정기주문설정!$K145,FALSE()))))),IF(정기주문설정!$I145="매일",TRUE(),IF(정기주문설정!$I145="매주",(WEEKDAY($B$3)=IFERROR(MATCH(정기주문설정!$J145,정기주문설정!$O$3:$O$9,0),0)),IF(정기주문설정!$I145="매월",DAY($B$3)=정기주문설정!$K145,FALSE()))))))</f>
        <v>0</v>
      </c>
      <c r="L148" s="5" t="str">
        <f aca="false">IF($K148=FALSE(),"",COUNTIF($K$6:$K148,TRUE()))</f>
        <v/>
      </c>
      <c r="M148" s="5" t="str">
        <f aca="false">IF($L148="","","R"&amp;$L148)</f>
        <v/>
      </c>
    </row>
    <row r="149" customFormat="false" ht="15" hidden="false" customHeight="true" outlineLevel="0" collapsed="false">
      <c r="K149" s="21" t="b">
        <f aca="false">IF(정기주문설정!$B146="",FALSE(),IF(정기주문설정!$M146="중지",FALSE(),IF(정기주문설정!$L146&lt;&gt;"",IF($B$3&lt;정기주문설정!$L146,FALSE(),IF(정기주문설정!$I146="매일",TRUE(),IF(정기주문설정!$I146="매주",(WEEKDAY($B$3)=IFERROR(MATCH(정기주문설정!$J146,정기주문설정!$O$3:$O$9,0),0)),IF(정기주문설정!$I146="격주",AND((WEEKDAY($B$3)=IFERROR(MATCH(정기주문설정!$J146,정기주문설정!$O$3:$O$9,0),0)),MOD(INT(($B$3-정기주문설정!$L146)/7),2)=0),IF(정기주문설정!$I146="매월",DAY($B$3)=정기주문설정!$K146,FALSE()))))),IF(정기주문설정!$I146="매일",TRUE(),IF(정기주문설정!$I146="매주",(WEEKDAY($B$3)=IFERROR(MATCH(정기주문설정!$J146,정기주문설정!$O$3:$O$9,0),0)),IF(정기주문설정!$I146="매월",DAY($B$3)=정기주문설정!$K146,FALSE()))))))</f>
        <v>0</v>
      </c>
      <c r="L149" s="5" t="str">
        <f aca="false">IF($K149=FALSE(),"",COUNTIF($K$6:$K149,TRUE()))</f>
        <v/>
      </c>
      <c r="M149" s="5" t="str">
        <f aca="false">IF($L149="","","R"&amp;$L149)</f>
        <v/>
      </c>
    </row>
    <row r="150" customFormat="false" ht="15" hidden="false" customHeight="true" outlineLevel="0" collapsed="false">
      <c r="K150" s="21" t="b">
        <f aca="false">IF(정기주문설정!$B147="",FALSE(),IF(정기주문설정!$M147="중지",FALSE(),IF(정기주문설정!$L147&lt;&gt;"",IF($B$3&lt;정기주문설정!$L147,FALSE(),IF(정기주문설정!$I147="매일",TRUE(),IF(정기주문설정!$I147="매주",(WEEKDAY($B$3)=IFERROR(MATCH(정기주문설정!$J147,정기주문설정!$O$3:$O$9,0),0)),IF(정기주문설정!$I147="격주",AND((WEEKDAY($B$3)=IFERROR(MATCH(정기주문설정!$J147,정기주문설정!$O$3:$O$9,0),0)),MOD(INT(($B$3-정기주문설정!$L147)/7),2)=0),IF(정기주문설정!$I147="매월",DAY($B$3)=정기주문설정!$K147,FALSE()))))),IF(정기주문설정!$I147="매일",TRUE(),IF(정기주문설정!$I147="매주",(WEEKDAY($B$3)=IFERROR(MATCH(정기주문설정!$J147,정기주문설정!$O$3:$O$9,0),0)),IF(정기주문설정!$I147="매월",DAY($B$3)=정기주문설정!$K147,FALSE()))))))</f>
        <v>0</v>
      </c>
      <c r="L150" s="5" t="str">
        <f aca="false">IF($K150=FALSE(),"",COUNTIF($K$6:$K150,TRUE()))</f>
        <v/>
      </c>
      <c r="M150" s="5" t="str">
        <f aca="false">IF($L150="","","R"&amp;$L150)</f>
        <v/>
      </c>
    </row>
    <row r="151" customFormat="false" ht="15" hidden="false" customHeight="true" outlineLevel="0" collapsed="false">
      <c r="K151" s="21" t="b">
        <f aca="false">IF(정기주문설정!$B148="",FALSE(),IF(정기주문설정!$M148="중지",FALSE(),IF(정기주문설정!$L148&lt;&gt;"",IF($B$3&lt;정기주문설정!$L148,FALSE(),IF(정기주문설정!$I148="매일",TRUE(),IF(정기주문설정!$I148="매주",(WEEKDAY($B$3)=IFERROR(MATCH(정기주문설정!$J148,정기주문설정!$O$3:$O$9,0),0)),IF(정기주문설정!$I148="격주",AND((WEEKDAY($B$3)=IFERROR(MATCH(정기주문설정!$J148,정기주문설정!$O$3:$O$9,0),0)),MOD(INT(($B$3-정기주문설정!$L148)/7),2)=0),IF(정기주문설정!$I148="매월",DAY($B$3)=정기주문설정!$K148,FALSE()))))),IF(정기주문설정!$I148="매일",TRUE(),IF(정기주문설정!$I148="매주",(WEEKDAY($B$3)=IFERROR(MATCH(정기주문설정!$J148,정기주문설정!$O$3:$O$9,0),0)),IF(정기주문설정!$I148="매월",DAY($B$3)=정기주문설정!$K148,FALSE()))))))</f>
        <v>0</v>
      </c>
      <c r="L151" s="5" t="str">
        <f aca="false">IF($K151=FALSE(),"",COUNTIF($K$6:$K151,TRUE()))</f>
        <v/>
      </c>
      <c r="M151" s="5" t="str">
        <f aca="false">IF($L151="","","R"&amp;$L151)</f>
        <v/>
      </c>
    </row>
    <row r="152" customFormat="false" ht="15" hidden="false" customHeight="true" outlineLevel="0" collapsed="false">
      <c r="K152" s="21" t="b">
        <f aca="false">IF(정기주문설정!$B149="",FALSE(),IF(정기주문설정!$M149="중지",FALSE(),IF(정기주문설정!$L149&lt;&gt;"",IF($B$3&lt;정기주문설정!$L149,FALSE(),IF(정기주문설정!$I149="매일",TRUE(),IF(정기주문설정!$I149="매주",(WEEKDAY($B$3)=IFERROR(MATCH(정기주문설정!$J149,정기주문설정!$O$3:$O$9,0),0)),IF(정기주문설정!$I149="격주",AND((WEEKDAY($B$3)=IFERROR(MATCH(정기주문설정!$J149,정기주문설정!$O$3:$O$9,0),0)),MOD(INT(($B$3-정기주문설정!$L149)/7),2)=0),IF(정기주문설정!$I149="매월",DAY($B$3)=정기주문설정!$K149,FALSE()))))),IF(정기주문설정!$I149="매일",TRUE(),IF(정기주문설정!$I149="매주",(WEEKDAY($B$3)=IFERROR(MATCH(정기주문설정!$J149,정기주문설정!$O$3:$O$9,0),0)),IF(정기주문설정!$I149="매월",DAY($B$3)=정기주문설정!$K149,FALSE()))))))</f>
        <v>0</v>
      </c>
      <c r="L152" s="5" t="str">
        <f aca="false">IF($K152=FALSE(),"",COUNTIF($K$6:$K152,TRUE()))</f>
        <v/>
      </c>
      <c r="M152" s="5" t="str">
        <f aca="false">IF($L152="","","R"&amp;$L152)</f>
        <v/>
      </c>
    </row>
    <row r="153" customFormat="false" ht="15" hidden="false" customHeight="true" outlineLevel="0" collapsed="false">
      <c r="K153" s="21" t="b">
        <f aca="false">IF(정기주문설정!$B150="",FALSE(),IF(정기주문설정!$M150="중지",FALSE(),IF(정기주문설정!$L150&lt;&gt;"",IF($B$3&lt;정기주문설정!$L150,FALSE(),IF(정기주문설정!$I150="매일",TRUE(),IF(정기주문설정!$I150="매주",(WEEKDAY($B$3)=IFERROR(MATCH(정기주문설정!$J150,정기주문설정!$O$3:$O$9,0),0)),IF(정기주문설정!$I150="격주",AND((WEEKDAY($B$3)=IFERROR(MATCH(정기주문설정!$J150,정기주문설정!$O$3:$O$9,0),0)),MOD(INT(($B$3-정기주문설정!$L150)/7),2)=0),IF(정기주문설정!$I150="매월",DAY($B$3)=정기주문설정!$K150,FALSE()))))),IF(정기주문설정!$I150="매일",TRUE(),IF(정기주문설정!$I150="매주",(WEEKDAY($B$3)=IFERROR(MATCH(정기주문설정!$J150,정기주문설정!$O$3:$O$9,0),0)),IF(정기주문설정!$I150="매월",DAY($B$3)=정기주문설정!$K150,FALSE()))))))</f>
        <v>0</v>
      </c>
      <c r="L153" s="5" t="str">
        <f aca="false">IF($K153=FALSE(),"",COUNTIF($K$6:$K153,TRUE()))</f>
        <v/>
      </c>
      <c r="M153" s="5" t="str">
        <f aca="false">IF($L153="","","R"&amp;$L153)</f>
        <v/>
      </c>
    </row>
    <row r="154" customFormat="false" ht="15" hidden="false" customHeight="true" outlineLevel="0" collapsed="false">
      <c r="K154" s="21" t="b">
        <f aca="false">IF(정기주문설정!$B151="",FALSE(),IF(정기주문설정!$M151="중지",FALSE(),IF(정기주문설정!$L151&lt;&gt;"",IF($B$3&lt;정기주문설정!$L151,FALSE(),IF(정기주문설정!$I151="매일",TRUE(),IF(정기주문설정!$I151="매주",(WEEKDAY($B$3)=IFERROR(MATCH(정기주문설정!$J151,정기주문설정!$O$3:$O$9,0),0)),IF(정기주문설정!$I151="격주",AND((WEEKDAY($B$3)=IFERROR(MATCH(정기주문설정!$J151,정기주문설정!$O$3:$O$9,0),0)),MOD(INT(($B$3-정기주문설정!$L151)/7),2)=0),IF(정기주문설정!$I151="매월",DAY($B$3)=정기주문설정!$K151,FALSE()))))),IF(정기주문설정!$I151="매일",TRUE(),IF(정기주문설정!$I151="매주",(WEEKDAY($B$3)=IFERROR(MATCH(정기주문설정!$J151,정기주문설정!$O$3:$O$9,0),0)),IF(정기주문설정!$I151="매월",DAY($B$3)=정기주문설정!$K151,FALSE()))))))</f>
        <v>0</v>
      </c>
      <c r="L154" s="5" t="str">
        <f aca="false">IF($K154=FALSE(),"",COUNTIF($K$6:$K154,TRUE()))</f>
        <v/>
      </c>
      <c r="M154" s="5" t="str">
        <f aca="false">IF($L154="","","R"&amp;$L154)</f>
        <v/>
      </c>
    </row>
    <row r="155" customFormat="false" ht="15" hidden="false" customHeight="true" outlineLevel="0" collapsed="false">
      <c r="K155" s="21" t="b">
        <f aca="false">IF(정기주문설정!$B152="",FALSE(),IF(정기주문설정!$M152="중지",FALSE(),IF(정기주문설정!$L152&lt;&gt;"",IF($B$3&lt;정기주문설정!$L152,FALSE(),IF(정기주문설정!$I152="매일",TRUE(),IF(정기주문설정!$I152="매주",(WEEKDAY($B$3)=IFERROR(MATCH(정기주문설정!$J152,정기주문설정!$O$3:$O$9,0),0)),IF(정기주문설정!$I152="격주",AND((WEEKDAY($B$3)=IFERROR(MATCH(정기주문설정!$J152,정기주문설정!$O$3:$O$9,0),0)),MOD(INT(($B$3-정기주문설정!$L152)/7),2)=0),IF(정기주문설정!$I152="매월",DAY($B$3)=정기주문설정!$K152,FALSE()))))),IF(정기주문설정!$I152="매일",TRUE(),IF(정기주문설정!$I152="매주",(WEEKDAY($B$3)=IFERROR(MATCH(정기주문설정!$J152,정기주문설정!$O$3:$O$9,0),0)),IF(정기주문설정!$I152="매월",DAY($B$3)=정기주문설정!$K152,FALSE()))))))</f>
        <v>0</v>
      </c>
      <c r="L155" s="5" t="str">
        <f aca="false">IF($K155=FALSE(),"",COUNTIF($K$6:$K155,TRUE()))</f>
        <v/>
      </c>
      <c r="M155" s="5" t="str">
        <f aca="false">IF($L155="","","R"&amp;$L155)</f>
        <v/>
      </c>
    </row>
    <row r="156" customFormat="false" ht="15" hidden="false" customHeight="true" outlineLevel="0" collapsed="false">
      <c r="K156" s="21" t="b">
        <f aca="false">IF(정기주문설정!$B153="",FALSE(),IF(정기주문설정!$M153="중지",FALSE(),IF(정기주문설정!$L153&lt;&gt;"",IF($B$3&lt;정기주문설정!$L153,FALSE(),IF(정기주문설정!$I153="매일",TRUE(),IF(정기주문설정!$I153="매주",(WEEKDAY($B$3)=IFERROR(MATCH(정기주문설정!$J153,정기주문설정!$O$3:$O$9,0),0)),IF(정기주문설정!$I153="격주",AND((WEEKDAY($B$3)=IFERROR(MATCH(정기주문설정!$J153,정기주문설정!$O$3:$O$9,0),0)),MOD(INT(($B$3-정기주문설정!$L153)/7),2)=0),IF(정기주문설정!$I153="매월",DAY($B$3)=정기주문설정!$K153,FALSE()))))),IF(정기주문설정!$I153="매일",TRUE(),IF(정기주문설정!$I153="매주",(WEEKDAY($B$3)=IFERROR(MATCH(정기주문설정!$J153,정기주문설정!$O$3:$O$9,0),0)),IF(정기주문설정!$I153="매월",DAY($B$3)=정기주문설정!$K153,FALSE()))))))</f>
        <v>0</v>
      </c>
      <c r="L156" s="5" t="str">
        <f aca="false">IF($K156=FALSE(),"",COUNTIF($K$6:$K156,TRUE()))</f>
        <v/>
      </c>
      <c r="M156" s="5" t="str">
        <f aca="false">IF($L156="","","R"&amp;$L156)</f>
        <v/>
      </c>
    </row>
    <row r="157" customFormat="false" ht="15" hidden="false" customHeight="true" outlineLevel="0" collapsed="false">
      <c r="K157" s="21" t="b">
        <f aca="false">IF(정기주문설정!$B154="",FALSE(),IF(정기주문설정!$M154="중지",FALSE(),IF(정기주문설정!$L154&lt;&gt;"",IF($B$3&lt;정기주문설정!$L154,FALSE(),IF(정기주문설정!$I154="매일",TRUE(),IF(정기주문설정!$I154="매주",(WEEKDAY($B$3)=IFERROR(MATCH(정기주문설정!$J154,정기주문설정!$O$3:$O$9,0),0)),IF(정기주문설정!$I154="격주",AND((WEEKDAY($B$3)=IFERROR(MATCH(정기주문설정!$J154,정기주문설정!$O$3:$O$9,0),0)),MOD(INT(($B$3-정기주문설정!$L154)/7),2)=0),IF(정기주문설정!$I154="매월",DAY($B$3)=정기주문설정!$K154,FALSE()))))),IF(정기주문설정!$I154="매일",TRUE(),IF(정기주문설정!$I154="매주",(WEEKDAY($B$3)=IFERROR(MATCH(정기주문설정!$J154,정기주문설정!$O$3:$O$9,0),0)),IF(정기주문설정!$I154="매월",DAY($B$3)=정기주문설정!$K154,FALSE()))))))</f>
        <v>0</v>
      </c>
      <c r="L157" s="5" t="str">
        <f aca="false">IF($K157=FALSE(),"",COUNTIF($K$6:$K157,TRUE()))</f>
        <v/>
      </c>
      <c r="M157" s="5" t="str">
        <f aca="false">IF($L157="","","R"&amp;$L157)</f>
        <v/>
      </c>
    </row>
    <row r="158" customFormat="false" ht="15" hidden="false" customHeight="true" outlineLevel="0" collapsed="false">
      <c r="K158" s="21" t="b">
        <f aca="false">IF(정기주문설정!$B155="",FALSE(),IF(정기주문설정!$M155="중지",FALSE(),IF(정기주문설정!$L155&lt;&gt;"",IF($B$3&lt;정기주문설정!$L155,FALSE(),IF(정기주문설정!$I155="매일",TRUE(),IF(정기주문설정!$I155="매주",(WEEKDAY($B$3)=IFERROR(MATCH(정기주문설정!$J155,정기주문설정!$O$3:$O$9,0),0)),IF(정기주문설정!$I155="격주",AND((WEEKDAY($B$3)=IFERROR(MATCH(정기주문설정!$J155,정기주문설정!$O$3:$O$9,0),0)),MOD(INT(($B$3-정기주문설정!$L155)/7),2)=0),IF(정기주문설정!$I155="매월",DAY($B$3)=정기주문설정!$K155,FALSE()))))),IF(정기주문설정!$I155="매일",TRUE(),IF(정기주문설정!$I155="매주",(WEEKDAY($B$3)=IFERROR(MATCH(정기주문설정!$J155,정기주문설정!$O$3:$O$9,0),0)),IF(정기주문설정!$I155="매월",DAY($B$3)=정기주문설정!$K155,FALSE()))))))</f>
        <v>0</v>
      </c>
      <c r="L158" s="5" t="str">
        <f aca="false">IF($K158=FALSE(),"",COUNTIF($K$6:$K158,TRUE()))</f>
        <v/>
      </c>
      <c r="M158" s="5" t="str">
        <f aca="false">IF($L158="","","R"&amp;$L158)</f>
        <v/>
      </c>
    </row>
    <row r="159" customFormat="false" ht="15" hidden="false" customHeight="true" outlineLevel="0" collapsed="false">
      <c r="K159" s="21" t="b">
        <f aca="false">IF(정기주문설정!$B156="",FALSE(),IF(정기주문설정!$M156="중지",FALSE(),IF(정기주문설정!$L156&lt;&gt;"",IF($B$3&lt;정기주문설정!$L156,FALSE(),IF(정기주문설정!$I156="매일",TRUE(),IF(정기주문설정!$I156="매주",(WEEKDAY($B$3)=IFERROR(MATCH(정기주문설정!$J156,정기주문설정!$O$3:$O$9,0),0)),IF(정기주문설정!$I156="격주",AND((WEEKDAY($B$3)=IFERROR(MATCH(정기주문설정!$J156,정기주문설정!$O$3:$O$9,0),0)),MOD(INT(($B$3-정기주문설정!$L156)/7),2)=0),IF(정기주문설정!$I156="매월",DAY($B$3)=정기주문설정!$K156,FALSE()))))),IF(정기주문설정!$I156="매일",TRUE(),IF(정기주문설정!$I156="매주",(WEEKDAY($B$3)=IFERROR(MATCH(정기주문설정!$J156,정기주문설정!$O$3:$O$9,0),0)),IF(정기주문설정!$I156="매월",DAY($B$3)=정기주문설정!$K156,FALSE()))))))</f>
        <v>0</v>
      </c>
      <c r="L159" s="5" t="str">
        <f aca="false">IF($K159=FALSE(),"",COUNTIF($K$6:$K159,TRUE()))</f>
        <v/>
      </c>
      <c r="M159" s="5" t="str">
        <f aca="false">IF($L159="","","R"&amp;$L159)</f>
        <v/>
      </c>
    </row>
    <row r="160" customFormat="false" ht="15" hidden="false" customHeight="true" outlineLevel="0" collapsed="false">
      <c r="K160" s="21" t="b">
        <f aca="false">IF(정기주문설정!$B157="",FALSE(),IF(정기주문설정!$M157="중지",FALSE(),IF(정기주문설정!$L157&lt;&gt;"",IF($B$3&lt;정기주문설정!$L157,FALSE(),IF(정기주문설정!$I157="매일",TRUE(),IF(정기주문설정!$I157="매주",(WEEKDAY($B$3)=IFERROR(MATCH(정기주문설정!$J157,정기주문설정!$O$3:$O$9,0),0)),IF(정기주문설정!$I157="격주",AND((WEEKDAY($B$3)=IFERROR(MATCH(정기주문설정!$J157,정기주문설정!$O$3:$O$9,0),0)),MOD(INT(($B$3-정기주문설정!$L157)/7),2)=0),IF(정기주문설정!$I157="매월",DAY($B$3)=정기주문설정!$K157,FALSE()))))),IF(정기주문설정!$I157="매일",TRUE(),IF(정기주문설정!$I157="매주",(WEEKDAY($B$3)=IFERROR(MATCH(정기주문설정!$J157,정기주문설정!$O$3:$O$9,0),0)),IF(정기주문설정!$I157="매월",DAY($B$3)=정기주문설정!$K157,FALSE()))))))</f>
        <v>0</v>
      </c>
      <c r="L160" s="5" t="str">
        <f aca="false">IF($K160=FALSE(),"",COUNTIF($K$6:$K160,TRUE()))</f>
        <v/>
      </c>
      <c r="M160" s="5" t="str">
        <f aca="false">IF($L160="","","R"&amp;$L160)</f>
        <v/>
      </c>
    </row>
    <row r="161" customFormat="false" ht="15" hidden="false" customHeight="true" outlineLevel="0" collapsed="false">
      <c r="K161" s="21" t="b">
        <f aca="false">IF(정기주문설정!$B158="",FALSE(),IF(정기주문설정!$M158="중지",FALSE(),IF(정기주문설정!$L158&lt;&gt;"",IF($B$3&lt;정기주문설정!$L158,FALSE(),IF(정기주문설정!$I158="매일",TRUE(),IF(정기주문설정!$I158="매주",(WEEKDAY($B$3)=IFERROR(MATCH(정기주문설정!$J158,정기주문설정!$O$3:$O$9,0),0)),IF(정기주문설정!$I158="격주",AND((WEEKDAY($B$3)=IFERROR(MATCH(정기주문설정!$J158,정기주문설정!$O$3:$O$9,0),0)),MOD(INT(($B$3-정기주문설정!$L158)/7),2)=0),IF(정기주문설정!$I158="매월",DAY($B$3)=정기주문설정!$K158,FALSE()))))),IF(정기주문설정!$I158="매일",TRUE(),IF(정기주문설정!$I158="매주",(WEEKDAY($B$3)=IFERROR(MATCH(정기주문설정!$J158,정기주문설정!$O$3:$O$9,0),0)),IF(정기주문설정!$I158="매월",DAY($B$3)=정기주문설정!$K158,FALSE()))))))</f>
        <v>0</v>
      </c>
      <c r="L161" s="5" t="str">
        <f aca="false">IF($K161=FALSE(),"",COUNTIF($K$6:$K161,TRUE()))</f>
        <v/>
      </c>
      <c r="M161" s="5" t="str">
        <f aca="false">IF($L161="","","R"&amp;$L161)</f>
        <v/>
      </c>
    </row>
    <row r="162" customFormat="false" ht="15" hidden="false" customHeight="true" outlineLevel="0" collapsed="false">
      <c r="K162" s="21" t="b">
        <f aca="false">IF(정기주문설정!$B159="",FALSE(),IF(정기주문설정!$M159="중지",FALSE(),IF(정기주문설정!$L159&lt;&gt;"",IF($B$3&lt;정기주문설정!$L159,FALSE(),IF(정기주문설정!$I159="매일",TRUE(),IF(정기주문설정!$I159="매주",(WEEKDAY($B$3)=IFERROR(MATCH(정기주문설정!$J159,정기주문설정!$O$3:$O$9,0),0)),IF(정기주문설정!$I159="격주",AND((WEEKDAY($B$3)=IFERROR(MATCH(정기주문설정!$J159,정기주문설정!$O$3:$O$9,0),0)),MOD(INT(($B$3-정기주문설정!$L159)/7),2)=0),IF(정기주문설정!$I159="매월",DAY($B$3)=정기주문설정!$K159,FALSE()))))),IF(정기주문설정!$I159="매일",TRUE(),IF(정기주문설정!$I159="매주",(WEEKDAY($B$3)=IFERROR(MATCH(정기주문설정!$J159,정기주문설정!$O$3:$O$9,0),0)),IF(정기주문설정!$I159="매월",DAY($B$3)=정기주문설정!$K159,FALSE()))))))</f>
        <v>0</v>
      </c>
      <c r="L162" s="5" t="str">
        <f aca="false">IF($K162=FALSE(),"",COUNTIF($K$6:$K162,TRUE()))</f>
        <v/>
      </c>
      <c r="M162" s="5" t="str">
        <f aca="false">IF($L162="","","R"&amp;$L162)</f>
        <v/>
      </c>
    </row>
    <row r="163" customFormat="false" ht="15" hidden="false" customHeight="true" outlineLevel="0" collapsed="false">
      <c r="K163" s="21" t="b">
        <f aca="false">IF(정기주문설정!$B160="",FALSE(),IF(정기주문설정!$M160="중지",FALSE(),IF(정기주문설정!$L160&lt;&gt;"",IF($B$3&lt;정기주문설정!$L160,FALSE(),IF(정기주문설정!$I160="매일",TRUE(),IF(정기주문설정!$I160="매주",(WEEKDAY($B$3)=IFERROR(MATCH(정기주문설정!$J160,정기주문설정!$O$3:$O$9,0),0)),IF(정기주문설정!$I160="격주",AND((WEEKDAY($B$3)=IFERROR(MATCH(정기주문설정!$J160,정기주문설정!$O$3:$O$9,0),0)),MOD(INT(($B$3-정기주문설정!$L160)/7),2)=0),IF(정기주문설정!$I160="매월",DAY($B$3)=정기주문설정!$K160,FALSE()))))),IF(정기주문설정!$I160="매일",TRUE(),IF(정기주문설정!$I160="매주",(WEEKDAY($B$3)=IFERROR(MATCH(정기주문설정!$J160,정기주문설정!$O$3:$O$9,0),0)),IF(정기주문설정!$I160="매월",DAY($B$3)=정기주문설정!$K160,FALSE()))))))</f>
        <v>0</v>
      </c>
      <c r="L163" s="5" t="str">
        <f aca="false">IF($K163=FALSE(),"",COUNTIF($K$6:$K163,TRUE()))</f>
        <v/>
      </c>
      <c r="M163" s="5" t="str">
        <f aca="false">IF($L163="","","R"&amp;$L163)</f>
        <v/>
      </c>
    </row>
    <row r="164" customFormat="false" ht="15" hidden="false" customHeight="true" outlineLevel="0" collapsed="false">
      <c r="K164" s="21" t="b">
        <f aca="false">IF(정기주문설정!$B161="",FALSE(),IF(정기주문설정!$M161="중지",FALSE(),IF(정기주문설정!$L161&lt;&gt;"",IF($B$3&lt;정기주문설정!$L161,FALSE(),IF(정기주문설정!$I161="매일",TRUE(),IF(정기주문설정!$I161="매주",(WEEKDAY($B$3)=IFERROR(MATCH(정기주문설정!$J161,정기주문설정!$O$3:$O$9,0),0)),IF(정기주문설정!$I161="격주",AND((WEEKDAY($B$3)=IFERROR(MATCH(정기주문설정!$J161,정기주문설정!$O$3:$O$9,0),0)),MOD(INT(($B$3-정기주문설정!$L161)/7),2)=0),IF(정기주문설정!$I161="매월",DAY($B$3)=정기주문설정!$K161,FALSE()))))),IF(정기주문설정!$I161="매일",TRUE(),IF(정기주문설정!$I161="매주",(WEEKDAY($B$3)=IFERROR(MATCH(정기주문설정!$J161,정기주문설정!$O$3:$O$9,0),0)),IF(정기주문설정!$I161="매월",DAY($B$3)=정기주문설정!$K161,FALSE()))))))</f>
        <v>0</v>
      </c>
      <c r="L164" s="5" t="str">
        <f aca="false">IF($K164=FALSE(),"",COUNTIF($K$6:$K164,TRUE()))</f>
        <v/>
      </c>
      <c r="M164" s="5" t="str">
        <f aca="false">IF($L164="","","R"&amp;$L164)</f>
        <v/>
      </c>
    </row>
    <row r="165" customFormat="false" ht="15" hidden="false" customHeight="true" outlineLevel="0" collapsed="false">
      <c r="K165" s="21" t="b">
        <f aca="false">IF(정기주문설정!$B162="",FALSE(),IF(정기주문설정!$M162="중지",FALSE(),IF(정기주문설정!$L162&lt;&gt;"",IF($B$3&lt;정기주문설정!$L162,FALSE(),IF(정기주문설정!$I162="매일",TRUE(),IF(정기주문설정!$I162="매주",(WEEKDAY($B$3)=IFERROR(MATCH(정기주문설정!$J162,정기주문설정!$O$3:$O$9,0),0)),IF(정기주문설정!$I162="격주",AND((WEEKDAY($B$3)=IFERROR(MATCH(정기주문설정!$J162,정기주문설정!$O$3:$O$9,0),0)),MOD(INT(($B$3-정기주문설정!$L162)/7),2)=0),IF(정기주문설정!$I162="매월",DAY($B$3)=정기주문설정!$K162,FALSE()))))),IF(정기주문설정!$I162="매일",TRUE(),IF(정기주문설정!$I162="매주",(WEEKDAY($B$3)=IFERROR(MATCH(정기주문설정!$J162,정기주문설정!$O$3:$O$9,0),0)),IF(정기주문설정!$I162="매월",DAY($B$3)=정기주문설정!$K162,FALSE()))))))</f>
        <v>0</v>
      </c>
      <c r="L165" s="5" t="str">
        <f aca="false">IF($K165=FALSE(),"",COUNTIF($K$6:$K165,TRUE()))</f>
        <v/>
      </c>
      <c r="M165" s="5" t="str">
        <f aca="false">IF($L165="","","R"&amp;$L165)</f>
        <v/>
      </c>
    </row>
    <row r="166" customFormat="false" ht="15" hidden="false" customHeight="true" outlineLevel="0" collapsed="false">
      <c r="K166" s="21" t="b">
        <f aca="false">IF(정기주문설정!$B163="",FALSE(),IF(정기주문설정!$M163="중지",FALSE(),IF(정기주문설정!$L163&lt;&gt;"",IF($B$3&lt;정기주문설정!$L163,FALSE(),IF(정기주문설정!$I163="매일",TRUE(),IF(정기주문설정!$I163="매주",(WEEKDAY($B$3)=IFERROR(MATCH(정기주문설정!$J163,정기주문설정!$O$3:$O$9,0),0)),IF(정기주문설정!$I163="격주",AND((WEEKDAY($B$3)=IFERROR(MATCH(정기주문설정!$J163,정기주문설정!$O$3:$O$9,0),0)),MOD(INT(($B$3-정기주문설정!$L163)/7),2)=0),IF(정기주문설정!$I163="매월",DAY($B$3)=정기주문설정!$K163,FALSE()))))),IF(정기주문설정!$I163="매일",TRUE(),IF(정기주문설정!$I163="매주",(WEEKDAY($B$3)=IFERROR(MATCH(정기주문설정!$J163,정기주문설정!$O$3:$O$9,0),0)),IF(정기주문설정!$I163="매월",DAY($B$3)=정기주문설정!$K163,FALSE()))))))</f>
        <v>0</v>
      </c>
      <c r="L166" s="5" t="str">
        <f aca="false">IF($K166=FALSE(),"",COUNTIF($K$6:$K166,TRUE()))</f>
        <v/>
      </c>
      <c r="M166" s="5" t="str">
        <f aca="false">IF($L166="","","R"&amp;$L166)</f>
        <v/>
      </c>
    </row>
    <row r="167" customFormat="false" ht="15" hidden="false" customHeight="true" outlineLevel="0" collapsed="false">
      <c r="K167" s="21" t="b">
        <f aca="false">IF(정기주문설정!$B164="",FALSE(),IF(정기주문설정!$M164="중지",FALSE(),IF(정기주문설정!$L164&lt;&gt;"",IF($B$3&lt;정기주문설정!$L164,FALSE(),IF(정기주문설정!$I164="매일",TRUE(),IF(정기주문설정!$I164="매주",(WEEKDAY($B$3)=IFERROR(MATCH(정기주문설정!$J164,정기주문설정!$O$3:$O$9,0),0)),IF(정기주문설정!$I164="격주",AND((WEEKDAY($B$3)=IFERROR(MATCH(정기주문설정!$J164,정기주문설정!$O$3:$O$9,0),0)),MOD(INT(($B$3-정기주문설정!$L164)/7),2)=0),IF(정기주문설정!$I164="매월",DAY($B$3)=정기주문설정!$K164,FALSE()))))),IF(정기주문설정!$I164="매일",TRUE(),IF(정기주문설정!$I164="매주",(WEEKDAY($B$3)=IFERROR(MATCH(정기주문설정!$J164,정기주문설정!$O$3:$O$9,0),0)),IF(정기주문설정!$I164="매월",DAY($B$3)=정기주문설정!$K164,FALSE()))))))</f>
        <v>0</v>
      </c>
      <c r="L167" s="5" t="str">
        <f aca="false">IF($K167=FALSE(),"",COUNTIF($K$6:$K167,TRUE()))</f>
        <v/>
      </c>
      <c r="M167" s="5" t="str">
        <f aca="false">IF($L167="","","R"&amp;$L167)</f>
        <v/>
      </c>
    </row>
    <row r="168" customFormat="false" ht="15" hidden="false" customHeight="true" outlineLevel="0" collapsed="false">
      <c r="K168" s="21" t="b">
        <f aca="false">IF(정기주문설정!$B165="",FALSE(),IF(정기주문설정!$M165="중지",FALSE(),IF(정기주문설정!$L165&lt;&gt;"",IF($B$3&lt;정기주문설정!$L165,FALSE(),IF(정기주문설정!$I165="매일",TRUE(),IF(정기주문설정!$I165="매주",(WEEKDAY($B$3)=IFERROR(MATCH(정기주문설정!$J165,정기주문설정!$O$3:$O$9,0),0)),IF(정기주문설정!$I165="격주",AND((WEEKDAY($B$3)=IFERROR(MATCH(정기주문설정!$J165,정기주문설정!$O$3:$O$9,0),0)),MOD(INT(($B$3-정기주문설정!$L165)/7),2)=0),IF(정기주문설정!$I165="매월",DAY($B$3)=정기주문설정!$K165,FALSE()))))),IF(정기주문설정!$I165="매일",TRUE(),IF(정기주문설정!$I165="매주",(WEEKDAY($B$3)=IFERROR(MATCH(정기주문설정!$J165,정기주문설정!$O$3:$O$9,0),0)),IF(정기주문설정!$I165="매월",DAY($B$3)=정기주문설정!$K165,FALSE()))))))</f>
        <v>0</v>
      </c>
      <c r="L168" s="5" t="str">
        <f aca="false">IF($K168=FALSE(),"",COUNTIF($K$6:$K168,TRUE()))</f>
        <v/>
      </c>
      <c r="M168" s="5" t="str">
        <f aca="false">IF($L168="","","R"&amp;$L168)</f>
        <v/>
      </c>
    </row>
    <row r="169" customFormat="false" ht="15" hidden="false" customHeight="true" outlineLevel="0" collapsed="false">
      <c r="K169" s="21" t="b">
        <f aca="false">IF(정기주문설정!$B166="",FALSE(),IF(정기주문설정!$M166="중지",FALSE(),IF(정기주문설정!$L166&lt;&gt;"",IF($B$3&lt;정기주문설정!$L166,FALSE(),IF(정기주문설정!$I166="매일",TRUE(),IF(정기주문설정!$I166="매주",(WEEKDAY($B$3)=IFERROR(MATCH(정기주문설정!$J166,정기주문설정!$O$3:$O$9,0),0)),IF(정기주문설정!$I166="격주",AND((WEEKDAY($B$3)=IFERROR(MATCH(정기주문설정!$J166,정기주문설정!$O$3:$O$9,0),0)),MOD(INT(($B$3-정기주문설정!$L166)/7),2)=0),IF(정기주문설정!$I166="매월",DAY($B$3)=정기주문설정!$K166,FALSE()))))),IF(정기주문설정!$I166="매일",TRUE(),IF(정기주문설정!$I166="매주",(WEEKDAY($B$3)=IFERROR(MATCH(정기주문설정!$J166,정기주문설정!$O$3:$O$9,0),0)),IF(정기주문설정!$I166="매월",DAY($B$3)=정기주문설정!$K166,FALSE()))))))</f>
        <v>0</v>
      </c>
      <c r="L169" s="5" t="str">
        <f aca="false">IF($K169=FALSE(),"",COUNTIF($K$6:$K169,TRUE()))</f>
        <v/>
      </c>
      <c r="M169" s="5" t="str">
        <f aca="false">IF($L169="","","R"&amp;$L169)</f>
        <v/>
      </c>
    </row>
    <row r="170" customFormat="false" ht="15" hidden="false" customHeight="true" outlineLevel="0" collapsed="false">
      <c r="K170" s="21" t="b">
        <f aca="false">IF(정기주문설정!$B167="",FALSE(),IF(정기주문설정!$M167="중지",FALSE(),IF(정기주문설정!$L167&lt;&gt;"",IF($B$3&lt;정기주문설정!$L167,FALSE(),IF(정기주문설정!$I167="매일",TRUE(),IF(정기주문설정!$I167="매주",(WEEKDAY($B$3)=IFERROR(MATCH(정기주문설정!$J167,정기주문설정!$O$3:$O$9,0),0)),IF(정기주문설정!$I167="격주",AND((WEEKDAY($B$3)=IFERROR(MATCH(정기주문설정!$J167,정기주문설정!$O$3:$O$9,0),0)),MOD(INT(($B$3-정기주문설정!$L167)/7),2)=0),IF(정기주문설정!$I167="매월",DAY($B$3)=정기주문설정!$K167,FALSE()))))),IF(정기주문설정!$I167="매일",TRUE(),IF(정기주문설정!$I167="매주",(WEEKDAY($B$3)=IFERROR(MATCH(정기주문설정!$J167,정기주문설정!$O$3:$O$9,0),0)),IF(정기주문설정!$I167="매월",DAY($B$3)=정기주문설정!$K167,FALSE()))))))</f>
        <v>0</v>
      </c>
      <c r="L170" s="5" t="str">
        <f aca="false">IF($K170=FALSE(),"",COUNTIF($K$6:$K170,TRUE()))</f>
        <v/>
      </c>
      <c r="M170" s="5" t="str">
        <f aca="false">IF($L170="","","R"&amp;$L170)</f>
        <v/>
      </c>
    </row>
    <row r="171" customFormat="false" ht="15" hidden="false" customHeight="true" outlineLevel="0" collapsed="false">
      <c r="K171" s="21" t="b">
        <f aca="false">IF(정기주문설정!$B168="",FALSE(),IF(정기주문설정!$M168="중지",FALSE(),IF(정기주문설정!$L168&lt;&gt;"",IF($B$3&lt;정기주문설정!$L168,FALSE(),IF(정기주문설정!$I168="매일",TRUE(),IF(정기주문설정!$I168="매주",(WEEKDAY($B$3)=IFERROR(MATCH(정기주문설정!$J168,정기주문설정!$O$3:$O$9,0),0)),IF(정기주문설정!$I168="격주",AND((WEEKDAY($B$3)=IFERROR(MATCH(정기주문설정!$J168,정기주문설정!$O$3:$O$9,0),0)),MOD(INT(($B$3-정기주문설정!$L168)/7),2)=0),IF(정기주문설정!$I168="매월",DAY($B$3)=정기주문설정!$K168,FALSE()))))),IF(정기주문설정!$I168="매일",TRUE(),IF(정기주문설정!$I168="매주",(WEEKDAY($B$3)=IFERROR(MATCH(정기주문설정!$J168,정기주문설정!$O$3:$O$9,0),0)),IF(정기주문설정!$I168="매월",DAY($B$3)=정기주문설정!$K168,FALSE()))))))</f>
        <v>0</v>
      </c>
      <c r="L171" s="5" t="str">
        <f aca="false">IF($K171=FALSE(),"",COUNTIF($K$6:$K171,TRUE()))</f>
        <v/>
      </c>
      <c r="M171" s="5" t="str">
        <f aca="false">IF($L171="","","R"&amp;$L171)</f>
        <v/>
      </c>
    </row>
    <row r="172" customFormat="false" ht="15" hidden="false" customHeight="true" outlineLevel="0" collapsed="false">
      <c r="K172" s="21" t="b">
        <f aca="false">IF(정기주문설정!$B169="",FALSE(),IF(정기주문설정!$M169="중지",FALSE(),IF(정기주문설정!$L169&lt;&gt;"",IF($B$3&lt;정기주문설정!$L169,FALSE(),IF(정기주문설정!$I169="매일",TRUE(),IF(정기주문설정!$I169="매주",(WEEKDAY($B$3)=IFERROR(MATCH(정기주문설정!$J169,정기주문설정!$O$3:$O$9,0),0)),IF(정기주문설정!$I169="격주",AND((WEEKDAY($B$3)=IFERROR(MATCH(정기주문설정!$J169,정기주문설정!$O$3:$O$9,0),0)),MOD(INT(($B$3-정기주문설정!$L169)/7),2)=0),IF(정기주문설정!$I169="매월",DAY($B$3)=정기주문설정!$K169,FALSE()))))),IF(정기주문설정!$I169="매일",TRUE(),IF(정기주문설정!$I169="매주",(WEEKDAY($B$3)=IFERROR(MATCH(정기주문설정!$J169,정기주문설정!$O$3:$O$9,0),0)),IF(정기주문설정!$I169="매월",DAY($B$3)=정기주문설정!$K169,FALSE()))))))</f>
        <v>0</v>
      </c>
      <c r="L172" s="5" t="str">
        <f aca="false">IF($K172=FALSE(),"",COUNTIF($K$6:$K172,TRUE()))</f>
        <v/>
      </c>
      <c r="M172" s="5" t="str">
        <f aca="false">IF($L172="","","R"&amp;$L172)</f>
        <v/>
      </c>
    </row>
    <row r="173" customFormat="false" ht="15" hidden="false" customHeight="true" outlineLevel="0" collapsed="false">
      <c r="K173" s="21" t="b">
        <f aca="false">IF(정기주문설정!$B170="",FALSE(),IF(정기주문설정!$M170="중지",FALSE(),IF(정기주문설정!$L170&lt;&gt;"",IF($B$3&lt;정기주문설정!$L170,FALSE(),IF(정기주문설정!$I170="매일",TRUE(),IF(정기주문설정!$I170="매주",(WEEKDAY($B$3)=IFERROR(MATCH(정기주문설정!$J170,정기주문설정!$O$3:$O$9,0),0)),IF(정기주문설정!$I170="격주",AND((WEEKDAY($B$3)=IFERROR(MATCH(정기주문설정!$J170,정기주문설정!$O$3:$O$9,0),0)),MOD(INT(($B$3-정기주문설정!$L170)/7),2)=0),IF(정기주문설정!$I170="매월",DAY($B$3)=정기주문설정!$K170,FALSE()))))),IF(정기주문설정!$I170="매일",TRUE(),IF(정기주문설정!$I170="매주",(WEEKDAY($B$3)=IFERROR(MATCH(정기주문설정!$J170,정기주문설정!$O$3:$O$9,0),0)),IF(정기주문설정!$I170="매월",DAY($B$3)=정기주문설정!$K170,FALSE()))))))</f>
        <v>0</v>
      </c>
      <c r="L173" s="5" t="str">
        <f aca="false">IF($K173=FALSE(),"",COUNTIF($K$6:$K173,TRUE()))</f>
        <v/>
      </c>
      <c r="M173" s="5" t="str">
        <f aca="false">IF($L173="","","R"&amp;$L173)</f>
        <v/>
      </c>
    </row>
    <row r="174" customFormat="false" ht="15" hidden="false" customHeight="true" outlineLevel="0" collapsed="false">
      <c r="K174" s="21" t="b">
        <f aca="false">IF(정기주문설정!$B171="",FALSE(),IF(정기주문설정!$M171="중지",FALSE(),IF(정기주문설정!$L171&lt;&gt;"",IF($B$3&lt;정기주문설정!$L171,FALSE(),IF(정기주문설정!$I171="매일",TRUE(),IF(정기주문설정!$I171="매주",(WEEKDAY($B$3)=IFERROR(MATCH(정기주문설정!$J171,정기주문설정!$O$3:$O$9,0),0)),IF(정기주문설정!$I171="격주",AND((WEEKDAY($B$3)=IFERROR(MATCH(정기주문설정!$J171,정기주문설정!$O$3:$O$9,0),0)),MOD(INT(($B$3-정기주문설정!$L171)/7),2)=0),IF(정기주문설정!$I171="매월",DAY($B$3)=정기주문설정!$K171,FALSE()))))),IF(정기주문설정!$I171="매일",TRUE(),IF(정기주문설정!$I171="매주",(WEEKDAY($B$3)=IFERROR(MATCH(정기주문설정!$J171,정기주문설정!$O$3:$O$9,0),0)),IF(정기주문설정!$I171="매월",DAY($B$3)=정기주문설정!$K171,FALSE()))))))</f>
        <v>0</v>
      </c>
      <c r="L174" s="5" t="str">
        <f aca="false">IF($K174=FALSE(),"",COUNTIF($K$6:$K174,TRUE()))</f>
        <v/>
      </c>
      <c r="M174" s="5" t="str">
        <f aca="false">IF($L174="","","R"&amp;$L174)</f>
        <v/>
      </c>
    </row>
    <row r="175" customFormat="false" ht="15" hidden="false" customHeight="true" outlineLevel="0" collapsed="false">
      <c r="K175" s="21" t="b">
        <f aca="false">IF(정기주문설정!$B172="",FALSE(),IF(정기주문설정!$M172="중지",FALSE(),IF(정기주문설정!$L172&lt;&gt;"",IF($B$3&lt;정기주문설정!$L172,FALSE(),IF(정기주문설정!$I172="매일",TRUE(),IF(정기주문설정!$I172="매주",(WEEKDAY($B$3)=IFERROR(MATCH(정기주문설정!$J172,정기주문설정!$O$3:$O$9,0),0)),IF(정기주문설정!$I172="격주",AND((WEEKDAY($B$3)=IFERROR(MATCH(정기주문설정!$J172,정기주문설정!$O$3:$O$9,0),0)),MOD(INT(($B$3-정기주문설정!$L172)/7),2)=0),IF(정기주문설정!$I172="매월",DAY($B$3)=정기주문설정!$K172,FALSE()))))),IF(정기주문설정!$I172="매일",TRUE(),IF(정기주문설정!$I172="매주",(WEEKDAY($B$3)=IFERROR(MATCH(정기주문설정!$J172,정기주문설정!$O$3:$O$9,0),0)),IF(정기주문설정!$I172="매월",DAY($B$3)=정기주문설정!$K172,FALSE()))))))</f>
        <v>0</v>
      </c>
      <c r="L175" s="5" t="str">
        <f aca="false">IF($K175=FALSE(),"",COUNTIF($K$6:$K175,TRUE()))</f>
        <v/>
      </c>
      <c r="M175" s="5" t="str">
        <f aca="false">IF($L175="","","R"&amp;$L175)</f>
        <v/>
      </c>
    </row>
    <row r="176" customFormat="false" ht="15" hidden="false" customHeight="true" outlineLevel="0" collapsed="false">
      <c r="K176" s="21" t="b">
        <f aca="false">IF(정기주문설정!$B173="",FALSE(),IF(정기주문설정!$M173="중지",FALSE(),IF(정기주문설정!$L173&lt;&gt;"",IF($B$3&lt;정기주문설정!$L173,FALSE(),IF(정기주문설정!$I173="매일",TRUE(),IF(정기주문설정!$I173="매주",(WEEKDAY($B$3)=IFERROR(MATCH(정기주문설정!$J173,정기주문설정!$O$3:$O$9,0),0)),IF(정기주문설정!$I173="격주",AND((WEEKDAY($B$3)=IFERROR(MATCH(정기주문설정!$J173,정기주문설정!$O$3:$O$9,0),0)),MOD(INT(($B$3-정기주문설정!$L173)/7),2)=0),IF(정기주문설정!$I173="매월",DAY($B$3)=정기주문설정!$K173,FALSE()))))),IF(정기주문설정!$I173="매일",TRUE(),IF(정기주문설정!$I173="매주",(WEEKDAY($B$3)=IFERROR(MATCH(정기주문설정!$J173,정기주문설정!$O$3:$O$9,0),0)),IF(정기주문설정!$I173="매월",DAY($B$3)=정기주문설정!$K173,FALSE()))))))</f>
        <v>0</v>
      </c>
      <c r="L176" s="5" t="str">
        <f aca="false">IF($K176=FALSE(),"",COUNTIF($K$6:$K176,TRUE()))</f>
        <v/>
      </c>
      <c r="M176" s="5" t="str">
        <f aca="false">IF($L176="","","R"&amp;$L176)</f>
        <v/>
      </c>
    </row>
    <row r="177" customFormat="false" ht="15" hidden="false" customHeight="true" outlineLevel="0" collapsed="false">
      <c r="K177" s="21" t="b">
        <f aca="false">IF(정기주문설정!$B174="",FALSE(),IF(정기주문설정!$M174="중지",FALSE(),IF(정기주문설정!$L174&lt;&gt;"",IF($B$3&lt;정기주문설정!$L174,FALSE(),IF(정기주문설정!$I174="매일",TRUE(),IF(정기주문설정!$I174="매주",(WEEKDAY($B$3)=IFERROR(MATCH(정기주문설정!$J174,정기주문설정!$O$3:$O$9,0),0)),IF(정기주문설정!$I174="격주",AND((WEEKDAY($B$3)=IFERROR(MATCH(정기주문설정!$J174,정기주문설정!$O$3:$O$9,0),0)),MOD(INT(($B$3-정기주문설정!$L174)/7),2)=0),IF(정기주문설정!$I174="매월",DAY($B$3)=정기주문설정!$K174,FALSE()))))),IF(정기주문설정!$I174="매일",TRUE(),IF(정기주문설정!$I174="매주",(WEEKDAY($B$3)=IFERROR(MATCH(정기주문설정!$J174,정기주문설정!$O$3:$O$9,0),0)),IF(정기주문설정!$I174="매월",DAY($B$3)=정기주문설정!$K174,FALSE()))))))</f>
        <v>0</v>
      </c>
      <c r="L177" s="5" t="str">
        <f aca="false">IF($K177=FALSE(),"",COUNTIF($K$6:$K177,TRUE()))</f>
        <v/>
      </c>
      <c r="M177" s="5" t="str">
        <f aca="false">IF($L177="","","R"&amp;$L177)</f>
        <v/>
      </c>
    </row>
    <row r="178" customFormat="false" ht="15" hidden="false" customHeight="true" outlineLevel="0" collapsed="false">
      <c r="K178" s="21" t="b">
        <f aca="false">IF(정기주문설정!$B175="",FALSE(),IF(정기주문설정!$M175="중지",FALSE(),IF(정기주문설정!$L175&lt;&gt;"",IF($B$3&lt;정기주문설정!$L175,FALSE(),IF(정기주문설정!$I175="매일",TRUE(),IF(정기주문설정!$I175="매주",(WEEKDAY($B$3)=IFERROR(MATCH(정기주문설정!$J175,정기주문설정!$O$3:$O$9,0),0)),IF(정기주문설정!$I175="격주",AND((WEEKDAY($B$3)=IFERROR(MATCH(정기주문설정!$J175,정기주문설정!$O$3:$O$9,0),0)),MOD(INT(($B$3-정기주문설정!$L175)/7),2)=0),IF(정기주문설정!$I175="매월",DAY($B$3)=정기주문설정!$K175,FALSE()))))),IF(정기주문설정!$I175="매일",TRUE(),IF(정기주문설정!$I175="매주",(WEEKDAY($B$3)=IFERROR(MATCH(정기주문설정!$J175,정기주문설정!$O$3:$O$9,0),0)),IF(정기주문설정!$I175="매월",DAY($B$3)=정기주문설정!$K175,FALSE()))))))</f>
        <v>0</v>
      </c>
      <c r="L178" s="5" t="str">
        <f aca="false">IF($K178=FALSE(),"",COUNTIF($K$6:$K178,TRUE()))</f>
        <v/>
      </c>
      <c r="M178" s="5" t="str">
        <f aca="false">IF($L178="","","R"&amp;$L178)</f>
        <v/>
      </c>
    </row>
    <row r="179" customFormat="false" ht="15" hidden="false" customHeight="true" outlineLevel="0" collapsed="false">
      <c r="K179" s="21" t="b">
        <f aca="false">IF(정기주문설정!$B176="",FALSE(),IF(정기주문설정!$M176="중지",FALSE(),IF(정기주문설정!$L176&lt;&gt;"",IF($B$3&lt;정기주문설정!$L176,FALSE(),IF(정기주문설정!$I176="매일",TRUE(),IF(정기주문설정!$I176="매주",(WEEKDAY($B$3)=IFERROR(MATCH(정기주문설정!$J176,정기주문설정!$O$3:$O$9,0),0)),IF(정기주문설정!$I176="격주",AND((WEEKDAY($B$3)=IFERROR(MATCH(정기주문설정!$J176,정기주문설정!$O$3:$O$9,0),0)),MOD(INT(($B$3-정기주문설정!$L176)/7),2)=0),IF(정기주문설정!$I176="매월",DAY($B$3)=정기주문설정!$K176,FALSE()))))),IF(정기주문설정!$I176="매일",TRUE(),IF(정기주문설정!$I176="매주",(WEEKDAY($B$3)=IFERROR(MATCH(정기주문설정!$J176,정기주문설정!$O$3:$O$9,0),0)),IF(정기주문설정!$I176="매월",DAY($B$3)=정기주문설정!$K176,FALSE()))))))</f>
        <v>0</v>
      </c>
      <c r="L179" s="5" t="str">
        <f aca="false">IF($K179=FALSE(),"",COUNTIF($K$6:$K179,TRUE()))</f>
        <v/>
      </c>
      <c r="M179" s="5" t="str">
        <f aca="false">IF($L179="","","R"&amp;$L179)</f>
        <v/>
      </c>
    </row>
    <row r="180" customFormat="false" ht="15" hidden="false" customHeight="true" outlineLevel="0" collapsed="false">
      <c r="K180" s="21" t="b">
        <f aca="false">IF(정기주문설정!$B177="",FALSE(),IF(정기주문설정!$M177="중지",FALSE(),IF(정기주문설정!$L177&lt;&gt;"",IF($B$3&lt;정기주문설정!$L177,FALSE(),IF(정기주문설정!$I177="매일",TRUE(),IF(정기주문설정!$I177="매주",(WEEKDAY($B$3)=IFERROR(MATCH(정기주문설정!$J177,정기주문설정!$O$3:$O$9,0),0)),IF(정기주문설정!$I177="격주",AND((WEEKDAY($B$3)=IFERROR(MATCH(정기주문설정!$J177,정기주문설정!$O$3:$O$9,0),0)),MOD(INT(($B$3-정기주문설정!$L177)/7),2)=0),IF(정기주문설정!$I177="매월",DAY($B$3)=정기주문설정!$K177,FALSE()))))),IF(정기주문설정!$I177="매일",TRUE(),IF(정기주문설정!$I177="매주",(WEEKDAY($B$3)=IFERROR(MATCH(정기주문설정!$J177,정기주문설정!$O$3:$O$9,0),0)),IF(정기주문설정!$I177="매월",DAY($B$3)=정기주문설정!$K177,FALSE()))))))</f>
        <v>0</v>
      </c>
      <c r="L180" s="5" t="str">
        <f aca="false">IF($K180=FALSE(),"",COUNTIF($K$6:$K180,TRUE()))</f>
        <v/>
      </c>
      <c r="M180" s="5" t="str">
        <f aca="false">IF($L180="","","R"&amp;$L180)</f>
        <v/>
      </c>
    </row>
    <row r="181" customFormat="false" ht="15" hidden="false" customHeight="true" outlineLevel="0" collapsed="false">
      <c r="K181" s="21" t="b">
        <f aca="false">IF(정기주문설정!$B178="",FALSE(),IF(정기주문설정!$M178="중지",FALSE(),IF(정기주문설정!$L178&lt;&gt;"",IF($B$3&lt;정기주문설정!$L178,FALSE(),IF(정기주문설정!$I178="매일",TRUE(),IF(정기주문설정!$I178="매주",(WEEKDAY($B$3)=IFERROR(MATCH(정기주문설정!$J178,정기주문설정!$O$3:$O$9,0),0)),IF(정기주문설정!$I178="격주",AND((WEEKDAY($B$3)=IFERROR(MATCH(정기주문설정!$J178,정기주문설정!$O$3:$O$9,0),0)),MOD(INT(($B$3-정기주문설정!$L178)/7),2)=0),IF(정기주문설정!$I178="매월",DAY($B$3)=정기주문설정!$K178,FALSE()))))),IF(정기주문설정!$I178="매일",TRUE(),IF(정기주문설정!$I178="매주",(WEEKDAY($B$3)=IFERROR(MATCH(정기주문설정!$J178,정기주문설정!$O$3:$O$9,0),0)),IF(정기주문설정!$I178="매월",DAY($B$3)=정기주문설정!$K178,FALSE()))))))</f>
        <v>0</v>
      </c>
      <c r="L181" s="5" t="str">
        <f aca="false">IF($K181=FALSE(),"",COUNTIF($K$6:$K181,TRUE()))</f>
        <v/>
      </c>
      <c r="M181" s="5" t="str">
        <f aca="false">IF($L181="","","R"&amp;$L181)</f>
        <v/>
      </c>
    </row>
    <row r="182" customFormat="false" ht="15" hidden="false" customHeight="true" outlineLevel="0" collapsed="false">
      <c r="K182" s="21" t="b">
        <f aca="false">IF(정기주문설정!$B179="",FALSE(),IF(정기주문설정!$M179="중지",FALSE(),IF(정기주문설정!$L179&lt;&gt;"",IF($B$3&lt;정기주문설정!$L179,FALSE(),IF(정기주문설정!$I179="매일",TRUE(),IF(정기주문설정!$I179="매주",(WEEKDAY($B$3)=IFERROR(MATCH(정기주문설정!$J179,정기주문설정!$O$3:$O$9,0),0)),IF(정기주문설정!$I179="격주",AND((WEEKDAY($B$3)=IFERROR(MATCH(정기주문설정!$J179,정기주문설정!$O$3:$O$9,0),0)),MOD(INT(($B$3-정기주문설정!$L179)/7),2)=0),IF(정기주문설정!$I179="매월",DAY($B$3)=정기주문설정!$K179,FALSE()))))),IF(정기주문설정!$I179="매일",TRUE(),IF(정기주문설정!$I179="매주",(WEEKDAY($B$3)=IFERROR(MATCH(정기주문설정!$J179,정기주문설정!$O$3:$O$9,0),0)),IF(정기주문설정!$I179="매월",DAY($B$3)=정기주문설정!$K179,FALSE()))))))</f>
        <v>0</v>
      </c>
      <c r="L182" s="5" t="str">
        <f aca="false">IF($K182=FALSE(),"",COUNTIF($K$6:$K182,TRUE()))</f>
        <v/>
      </c>
      <c r="M182" s="5" t="str">
        <f aca="false">IF($L182="","","R"&amp;$L182)</f>
        <v/>
      </c>
    </row>
    <row r="183" customFormat="false" ht="15" hidden="false" customHeight="true" outlineLevel="0" collapsed="false">
      <c r="K183" s="21" t="b">
        <f aca="false">IF(정기주문설정!$B180="",FALSE(),IF(정기주문설정!$M180="중지",FALSE(),IF(정기주문설정!$L180&lt;&gt;"",IF($B$3&lt;정기주문설정!$L180,FALSE(),IF(정기주문설정!$I180="매일",TRUE(),IF(정기주문설정!$I180="매주",(WEEKDAY($B$3)=IFERROR(MATCH(정기주문설정!$J180,정기주문설정!$O$3:$O$9,0),0)),IF(정기주문설정!$I180="격주",AND((WEEKDAY($B$3)=IFERROR(MATCH(정기주문설정!$J180,정기주문설정!$O$3:$O$9,0),0)),MOD(INT(($B$3-정기주문설정!$L180)/7),2)=0),IF(정기주문설정!$I180="매월",DAY($B$3)=정기주문설정!$K180,FALSE()))))),IF(정기주문설정!$I180="매일",TRUE(),IF(정기주문설정!$I180="매주",(WEEKDAY($B$3)=IFERROR(MATCH(정기주문설정!$J180,정기주문설정!$O$3:$O$9,0),0)),IF(정기주문설정!$I180="매월",DAY($B$3)=정기주문설정!$K180,FALSE()))))))</f>
        <v>0</v>
      </c>
      <c r="L183" s="5" t="str">
        <f aca="false">IF($K183=FALSE(),"",COUNTIF($K$6:$K183,TRUE()))</f>
        <v/>
      </c>
      <c r="M183" s="5" t="str">
        <f aca="false">IF($L183="","","R"&amp;$L183)</f>
        <v/>
      </c>
    </row>
    <row r="184" customFormat="false" ht="15" hidden="false" customHeight="true" outlineLevel="0" collapsed="false">
      <c r="K184" s="21" t="b">
        <f aca="false">IF(정기주문설정!$B181="",FALSE(),IF(정기주문설정!$M181="중지",FALSE(),IF(정기주문설정!$L181&lt;&gt;"",IF($B$3&lt;정기주문설정!$L181,FALSE(),IF(정기주문설정!$I181="매일",TRUE(),IF(정기주문설정!$I181="매주",(WEEKDAY($B$3)=IFERROR(MATCH(정기주문설정!$J181,정기주문설정!$O$3:$O$9,0),0)),IF(정기주문설정!$I181="격주",AND((WEEKDAY($B$3)=IFERROR(MATCH(정기주문설정!$J181,정기주문설정!$O$3:$O$9,0),0)),MOD(INT(($B$3-정기주문설정!$L181)/7),2)=0),IF(정기주문설정!$I181="매월",DAY($B$3)=정기주문설정!$K181,FALSE()))))),IF(정기주문설정!$I181="매일",TRUE(),IF(정기주문설정!$I181="매주",(WEEKDAY($B$3)=IFERROR(MATCH(정기주문설정!$J181,정기주문설정!$O$3:$O$9,0),0)),IF(정기주문설정!$I181="매월",DAY($B$3)=정기주문설정!$K181,FALSE()))))))</f>
        <v>0</v>
      </c>
      <c r="L184" s="5" t="str">
        <f aca="false">IF($K184=FALSE(),"",COUNTIF($K$6:$K184,TRUE()))</f>
        <v/>
      </c>
      <c r="M184" s="5" t="str">
        <f aca="false">IF($L184="","","R"&amp;$L184)</f>
        <v/>
      </c>
    </row>
    <row r="185" customFormat="false" ht="15" hidden="false" customHeight="true" outlineLevel="0" collapsed="false">
      <c r="K185" s="21" t="b">
        <f aca="false">IF(정기주문설정!$B182="",FALSE(),IF(정기주문설정!$M182="중지",FALSE(),IF(정기주문설정!$L182&lt;&gt;"",IF($B$3&lt;정기주문설정!$L182,FALSE(),IF(정기주문설정!$I182="매일",TRUE(),IF(정기주문설정!$I182="매주",(WEEKDAY($B$3)=IFERROR(MATCH(정기주문설정!$J182,정기주문설정!$O$3:$O$9,0),0)),IF(정기주문설정!$I182="격주",AND((WEEKDAY($B$3)=IFERROR(MATCH(정기주문설정!$J182,정기주문설정!$O$3:$O$9,0),0)),MOD(INT(($B$3-정기주문설정!$L182)/7),2)=0),IF(정기주문설정!$I182="매월",DAY($B$3)=정기주문설정!$K182,FALSE()))))),IF(정기주문설정!$I182="매일",TRUE(),IF(정기주문설정!$I182="매주",(WEEKDAY($B$3)=IFERROR(MATCH(정기주문설정!$J182,정기주문설정!$O$3:$O$9,0),0)),IF(정기주문설정!$I182="매월",DAY($B$3)=정기주문설정!$K182,FALSE()))))))</f>
        <v>0</v>
      </c>
      <c r="L185" s="5" t="str">
        <f aca="false">IF($K185=FALSE(),"",COUNTIF($K$6:$K185,TRUE()))</f>
        <v/>
      </c>
      <c r="M185" s="5" t="str">
        <f aca="false">IF($L185="","","R"&amp;$L185)</f>
        <v/>
      </c>
    </row>
    <row r="186" customFormat="false" ht="15" hidden="false" customHeight="true" outlineLevel="0" collapsed="false">
      <c r="K186" s="21" t="b">
        <f aca="false">IF(정기주문설정!$B183="",FALSE(),IF(정기주문설정!$M183="중지",FALSE(),IF(정기주문설정!$L183&lt;&gt;"",IF($B$3&lt;정기주문설정!$L183,FALSE(),IF(정기주문설정!$I183="매일",TRUE(),IF(정기주문설정!$I183="매주",(WEEKDAY($B$3)=IFERROR(MATCH(정기주문설정!$J183,정기주문설정!$O$3:$O$9,0),0)),IF(정기주문설정!$I183="격주",AND((WEEKDAY($B$3)=IFERROR(MATCH(정기주문설정!$J183,정기주문설정!$O$3:$O$9,0),0)),MOD(INT(($B$3-정기주문설정!$L183)/7),2)=0),IF(정기주문설정!$I183="매월",DAY($B$3)=정기주문설정!$K183,FALSE()))))),IF(정기주문설정!$I183="매일",TRUE(),IF(정기주문설정!$I183="매주",(WEEKDAY($B$3)=IFERROR(MATCH(정기주문설정!$J183,정기주문설정!$O$3:$O$9,0),0)),IF(정기주문설정!$I183="매월",DAY($B$3)=정기주문설정!$K183,FALSE()))))))</f>
        <v>0</v>
      </c>
      <c r="L186" s="5" t="str">
        <f aca="false">IF($K186=FALSE(),"",COUNTIF($K$6:$K186,TRUE()))</f>
        <v/>
      </c>
      <c r="M186" s="5" t="str">
        <f aca="false">IF($L186="","","R"&amp;$L186)</f>
        <v/>
      </c>
    </row>
    <row r="187" customFormat="false" ht="15" hidden="false" customHeight="true" outlineLevel="0" collapsed="false">
      <c r="K187" s="21" t="b">
        <f aca="false">IF(정기주문설정!$B184="",FALSE(),IF(정기주문설정!$M184="중지",FALSE(),IF(정기주문설정!$L184&lt;&gt;"",IF($B$3&lt;정기주문설정!$L184,FALSE(),IF(정기주문설정!$I184="매일",TRUE(),IF(정기주문설정!$I184="매주",(WEEKDAY($B$3)=IFERROR(MATCH(정기주문설정!$J184,정기주문설정!$O$3:$O$9,0),0)),IF(정기주문설정!$I184="격주",AND((WEEKDAY($B$3)=IFERROR(MATCH(정기주문설정!$J184,정기주문설정!$O$3:$O$9,0),0)),MOD(INT(($B$3-정기주문설정!$L184)/7),2)=0),IF(정기주문설정!$I184="매월",DAY($B$3)=정기주문설정!$K184,FALSE()))))),IF(정기주문설정!$I184="매일",TRUE(),IF(정기주문설정!$I184="매주",(WEEKDAY($B$3)=IFERROR(MATCH(정기주문설정!$J184,정기주문설정!$O$3:$O$9,0),0)),IF(정기주문설정!$I184="매월",DAY($B$3)=정기주문설정!$K184,FALSE()))))))</f>
        <v>0</v>
      </c>
      <c r="L187" s="5" t="str">
        <f aca="false">IF($K187=FALSE(),"",COUNTIF($K$6:$K187,TRUE()))</f>
        <v/>
      </c>
      <c r="M187" s="5" t="str">
        <f aca="false">IF($L187="","","R"&amp;$L187)</f>
        <v/>
      </c>
    </row>
    <row r="188" customFormat="false" ht="15" hidden="false" customHeight="true" outlineLevel="0" collapsed="false">
      <c r="K188" s="21" t="b">
        <f aca="false">IF(정기주문설정!$B185="",FALSE(),IF(정기주문설정!$M185="중지",FALSE(),IF(정기주문설정!$L185&lt;&gt;"",IF($B$3&lt;정기주문설정!$L185,FALSE(),IF(정기주문설정!$I185="매일",TRUE(),IF(정기주문설정!$I185="매주",(WEEKDAY($B$3)=IFERROR(MATCH(정기주문설정!$J185,정기주문설정!$O$3:$O$9,0),0)),IF(정기주문설정!$I185="격주",AND((WEEKDAY($B$3)=IFERROR(MATCH(정기주문설정!$J185,정기주문설정!$O$3:$O$9,0),0)),MOD(INT(($B$3-정기주문설정!$L185)/7),2)=0),IF(정기주문설정!$I185="매월",DAY($B$3)=정기주문설정!$K185,FALSE()))))),IF(정기주문설정!$I185="매일",TRUE(),IF(정기주문설정!$I185="매주",(WEEKDAY($B$3)=IFERROR(MATCH(정기주문설정!$J185,정기주문설정!$O$3:$O$9,0),0)),IF(정기주문설정!$I185="매월",DAY($B$3)=정기주문설정!$K185,FALSE()))))))</f>
        <v>0</v>
      </c>
      <c r="L188" s="5" t="str">
        <f aca="false">IF($K188=FALSE(),"",COUNTIF($K$6:$K188,TRUE()))</f>
        <v/>
      </c>
      <c r="M188" s="5" t="str">
        <f aca="false">IF($L188="","","R"&amp;$L188)</f>
        <v/>
      </c>
    </row>
    <row r="189" customFormat="false" ht="15" hidden="false" customHeight="true" outlineLevel="0" collapsed="false">
      <c r="K189" s="21" t="b">
        <f aca="false">IF(정기주문설정!$B186="",FALSE(),IF(정기주문설정!$M186="중지",FALSE(),IF(정기주문설정!$L186&lt;&gt;"",IF($B$3&lt;정기주문설정!$L186,FALSE(),IF(정기주문설정!$I186="매일",TRUE(),IF(정기주문설정!$I186="매주",(WEEKDAY($B$3)=IFERROR(MATCH(정기주문설정!$J186,정기주문설정!$O$3:$O$9,0),0)),IF(정기주문설정!$I186="격주",AND((WEEKDAY($B$3)=IFERROR(MATCH(정기주문설정!$J186,정기주문설정!$O$3:$O$9,0),0)),MOD(INT(($B$3-정기주문설정!$L186)/7),2)=0),IF(정기주문설정!$I186="매월",DAY($B$3)=정기주문설정!$K186,FALSE()))))),IF(정기주문설정!$I186="매일",TRUE(),IF(정기주문설정!$I186="매주",(WEEKDAY($B$3)=IFERROR(MATCH(정기주문설정!$J186,정기주문설정!$O$3:$O$9,0),0)),IF(정기주문설정!$I186="매월",DAY($B$3)=정기주문설정!$K186,FALSE()))))))</f>
        <v>0</v>
      </c>
      <c r="L189" s="5" t="str">
        <f aca="false">IF($K189=FALSE(),"",COUNTIF($K$6:$K189,TRUE()))</f>
        <v/>
      </c>
      <c r="M189" s="5" t="str">
        <f aca="false">IF($L189="","","R"&amp;$L189)</f>
        <v/>
      </c>
    </row>
    <row r="190" customFormat="false" ht="15" hidden="false" customHeight="true" outlineLevel="0" collapsed="false">
      <c r="K190" s="21" t="b">
        <f aca="false">IF(정기주문설정!$B187="",FALSE(),IF(정기주문설정!$M187="중지",FALSE(),IF(정기주문설정!$L187&lt;&gt;"",IF($B$3&lt;정기주문설정!$L187,FALSE(),IF(정기주문설정!$I187="매일",TRUE(),IF(정기주문설정!$I187="매주",(WEEKDAY($B$3)=IFERROR(MATCH(정기주문설정!$J187,정기주문설정!$O$3:$O$9,0),0)),IF(정기주문설정!$I187="격주",AND((WEEKDAY($B$3)=IFERROR(MATCH(정기주문설정!$J187,정기주문설정!$O$3:$O$9,0),0)),MOD(INT(($B$3-정기주문설정!$L187)/7),2)=0),IF(정기주문설정!$I187="매월",DAY($B$3)=정기주문설정!$K187,FALSE()))))),IF(정기주문설정!$I187="매일",TRUE(),IF(정기주문설정!$I187="매주",(WEEKDAY($B$3)=IFERROR(MATCH(정기주문설정!$J187,정기주문설정!$O$3:$O$9,0),0)),IF(정기주문설정!$I187="매월",DAY($B$3)=정기주문설정!$K187,FALSE()))))))</f>
        <v>0</v>
      </c>
      <c r="L190" s="5" t="str">
        <f aca="false">IF($K190=FALSE(),"",COUNTIF($K$6:$K190,TRUE()))</f>
        <v/>
      </c>
      <c r="M190" s="5" t="str">
        <f aca="false">IF($L190="","","R"&amp;$L190)</f>
        <v/>
      </c>
    </row>
    <row r="191" customFormat="false" ht="15" hidden="false" customHeight="true" outlineLevel="0" collapsed="false">
      <c r="K191" s="21" t="b">
        <f aca="false">IF(정기주문설정!$B188="",FALSE(),IF(정기주문설정!$M188="중지",FALSE(),IF(정기주문설정!$L188&lt;&gt;"",IF($B$3&lt;정기주문설정!$L188,FALSE(),IF(정기주문설정!$I188="매일",TRUE(),IF(정기주문설정!$I188="매주",(WEEKDAY($B$3)=IFERROR(MATCH(정기주문설정!$J188,정기주문설정!$O$3:$O$9,0),0)),IF(정기주문설정!$I188="격주",AND((WEEKDAY($B$3)=IFERROR(MATCH(정기주문설정!$J188,정기주문설정!$O$3:$O$9,0),0)),MOD(INT(($B$3-정기주문설정!$L188)/7),2)=0),IF(정기주문설정!$I188="매월",DAY($B$3)=정기주문설정!$K188,FALSE()))))),IF(정기주문설정!$I188="매일",TRUE(),IF(정기주문설정!$I188="매주",(WEEKDAY($B$3)=IFERROR(MATCH(정기주문설정!$J188,정기주문설정!$O$3:$O$9,0),0)),IF(정기주문설정!$I188="매월",DAY($B$3)=정기주문설정!$K188,FALSE()))))))</f>
        <v>0</v>
      </c>
      <c r="L191" s="5" t="str">
        <f aca="false">IF($K191=FALSE(),"",COUNTIF($K$6:$K191,TRUE()))</f>
        <v/>
      </c>
      <c r="M191" s="5" t="str">
        <f aca="false">IF($L191="","","R"&amp;$L191)</f>
        <v/>
      </c>
    </row>
    <row r="192" customFormat="false" ht="15" hidden="false" customHeight="true" outlineLevel="0" collapsed="false">
      <c r="K192" s="21" t="b">
        <f aca="false">IF(정기주문설정!$B189="",FALSE(),IF(정기주문설정!$M189="중지",FALSE(),IF(정기주문설정!$L189&lt;&gt;"",IF($B$3&lt;정기주문설정!$L189,FALSE(),IF(정기주문설정!$I189="매일",TRUE(),IF(정기주문설정!$I189="매주",(WEEKDAY($B$3)=IFERROR(MATCH(정기주문설정!$J189,정기주문설정!$O$3:$O$9,0),0)),IF(정기주문설정!$I189="격주",AND((WEEKDAY($B$3)=IFERROR(MATCH(정기주문설정!$J189,정기주문설정!$O$3:$O$9,0),0)),MOD(INT(($B$3-정기주문설정!$L189)/7),2)=0),IF(정기주문설정!$I189="매월",DAY($B$3)=정기주문설정!$K189,FALSE()))))),IF(정기주문설정!$I189="매일",TRUE(),IF(정기주문설정!$I189="매주",(WEEKDAY($B$3)=IFERROR(MATCH(정기주문설정!$J189,정기주문설정!$O$3:$O$9,0),0)),IF(정기주문설정!$I189="매월",DAY($B$3)=정기주문설정!$K189,FALSE()))))))</f>
        <v>0</v>
      </c>
      <c r="L192" s="5" t="str">
        <f aca="false">IF($K192=FALSE(),"",COUNTIF($K$6:$K192,TRUE()))</f>
        <v/>
      </c>
      <c r="M192" s="5" t="str">
        <f aca="false">IF($L192="","","R"&amp;$L192)</f>
        <v/>
      </c>
    </row>
    <row r="193" customFormat="false" ht="15" hidden="false" customHeight="true" outlineLevel="0" collapsed="false">
      <c r="K193" s="21" t="b">
        <f aca="false">IF(정기주문설정!$B190="",FALSE(),IF(정기주문설정!$M190="중지",FALSE(),IF(정기주문설정!$L190&lt;&gt;"",IF($B$3&lt;정기주문설정!$L190,FALSE(),IF(정기주문설정!$I190="매일",TRUE(),IF(정기주문설정!$I190="매주",(WEEKDAY($B$3)=IFERROR(MATCH(정기주문설정!$J190,정기주문설정!$O$3:$O$9,0),0)),IF(정기주문설정!$I190="격주",AND((WEEKDAY($B$3)=IFERROR(MATCH(정기주문설정!$J190,정기주문설정!$O$3:$O$9,0),0)),MOD(INT(($B$3-정기주문설정!$L190)/7),2)=0),IF(정기주문설정!$I190="매월",DAY($B$3)=정기주문설정!$K190,FALSE()))))),IF(정기주문설정!$I190="매일",TRUE(),IF(정기주문설정!$I190="매주",(WEEKDAY($B$3)=IFERROR(MATCH(정기주문설정!$J190,정기주문설정!$O$3:$O$9,0),0)),IF(정기주문설정!$I190="매월",DAY($B$3)=정기주문설정!$K190,FALSE()))))))</f>
        <v>0</v>
      </c>
      <c r="L193" s="5" t="str">
        <f aca="false">IF($K193=FALSE(),"",COUNTIF($K$6:$K193,TRUE()))</f>
        <v/>
      </c>
      <c r="M193" s="5" t="str">
        <f aca="false">IF($L193="","","R"&amp;$L193)</f>
        <v/>
      </c>
    </row>
    <row r="194" customFormat="false" ht="15" hidden="false" customHeight="true" outlineLevel="0" collapsed="false">
      <c r="K194" s="21" t="b">
        <f aca="false">IF(정기주문설정!$B191="",FALSE(),IF(정기주문설정!$M191="중지",FALSE(),IF(정기주문설정!$L191&lt;&gt;"",IF($B$3&lt;정기주문설정!$L191,FALSE(),IF(정기주문설정!$I191="매일",TRUE(),IF(정기주문설정!$I191="매주",(WEEKDAY($B$3)=IFERROR(MATCH(정기주문설정!$J191,정기주문설정!$O$3:$O$9,0),0)),IF(정기주문설정!$I191="격주",AND((WEEKDAY($B$3)=IFERROR(MATCH(정기주문설정!$J191,정기주문설정!$O$3:$O$9,0),0)),MOD(INT(($B$3-정기주문설정!$L191)/7),2)=0),IF(정기주문설정!$I191="매월",DAY($B$3)=정기주문설정!$K191,FALSE()))))),IF(정기주문설정!$I191="매일",TRUE(),IF(정기주문설정!$I191="매주",(WEEKDAY($B$3)=IFERROR(MATCH(정기주문설정!$J191,정기주문설정!$O$3:$O$9,0),0)),IF(정기주문설정!$I191="매월",DAY($B$3)=정기주문설정!$K191,FALSE()))))))</f>
        <v>0</v>
      </c>
      <c r="L194" s="5" t="str">
        <f aca="false">IF($K194=FALSE(),"",COUNTIF($K$6:$K194,TRUE()))</f>
        <v/>
      </c>
      <c r="M194" s="5" t="str">
        <f aca="false">IF($L194="","","R"&amp;$L194)</f>
        <v/>
      </c>
    </row>
    <row r="195" customFormat="false" ht="15" hidden="false" customHeight="true" outlineLevel="0" collapsed="false">
      <c r="K195" s="21" t="b">
        <f aca="false">IF(정기주문설정!$B192="",FALSE(),IF(정기주문설정!$M192="중지",FALSE(),IF(정기주문설정!$L192&lt;&gt;"",IF($B$3&lt;정기주문설정!$L192,FALSE(),IF(정기주문설정!$I192="매일",TRUE(),IF(정기주문설정!$I192="매주",(WEEKDAY($B$3)=IFERROR(MATCH(정기주문설정!$J192,정기주문설정!$O$3:$O$9,0),0)),IF(정기주문설정!$I192="격주",AND((WEEKDAY($B$3)=IFERROR(MATCH(정기주문설정!$J192,정기주문설정!$O$3:$O$9,0),0)),MOD(INT(($B$3-정기주문설정!$L192)/7),2)=0),IF(정기주문설정!$I192="매월",DAY($B$3)=정기주문설정!$K192,FALSE()))))),IF(정기주문설정!$I192="매일",TRUE(),IF(정기주문설정!$I192="매주",(WEEKDAY($B$3)=IFERROR(MATCH(정기주문설정!$J192,정기주문설정!$O$3:$O$9,0),0)),IF(정기주문설정!$I192="매월",DAY($B$3)=정기주문설정!$K192,FALSE()))))))</f>
        <v>0</v>
      </c>
      <c r="L195" s="5" t="str">
        <f aca="false">IF($K195=FALSE(),"",COUNTIF($K$6:$K195,TRUE()))</f>
        <v/>
      </c>
      <c r="M195" s="5" t="str">
        <f aca="false">IF($L195="","","R"&amp;$L195)</f>
        <v/>
      </c>
    </row>
    <row r="196" customFormat="false" ht="15" hidden="false" customHeight="true" outlineLevel="0" collapsed="false">
      <c r="K196" s="21" t="b">
        <f aca="false">IF(정기주문설정!$B193="",FALSE(),IF(정기주문설정!$M193="중지",FALSE(),IF(정기주문설정!$L193&lt;&gt;"",IF($B$3&lt;정기주문설정!$L193,FALSE(),IF(정기주문설정!$I193="매일",TRUE(),IF(정기주문설정!$I193="매주",(WEEKDAY($B$3)=IFERROR(MATCH(정기주문설정!$J193,정기주문설정!$O$3:$O$9,0),0)),IF(정기주문설정!$I193="격주",AND((WEEKDAY($B$3)=IFERROR(MATCH(정기주문설정!$J193,정기주문설정!$O$3:$O$9,0),0)),MOD(INT(($B$3-정기주문설정!$L193)/7),2)=0),IF(정기주문설정!$I193="매월",DAY($B$3)=정기주문설정!$K193,FALSE()))))),IF(정기주문설정!$I193="매일",TRUE(),IF(정기주문설정!$I193="매주",(WEEKDAY($B$3)=IFERROR(MATCH(정기주문설정!$J193,정기주문설정!$O$3:$O$9,0),0)),IF(정기주문설정!$I193="매월",DAY($B$3)=정기주문설정!$K193,FALSE()))))))</f>
        <v>0</v>
      </c>
      <c r="L196" s="5" t="str">
        <f aca="false">IF($K196=FALSE(),"",COUNTIF($K$6:$K196,TRUE()))</f>
        <v/>
      </c>
      <c r="M196" s="5" t="str">
        <f aca="false">IF($L196="","","R"&amp;$L196)</f>
        <v/>
      </c>
    </row>
    <row r="197" customFormat="false" ht="15" hidden="false" customHeight="true" outlineLevel="0" collapsed="false">
      <c r="K197" s="21" t="b">
        <f aca="false">IF(정기주문설정!$B194="",FALSE(),IF(정기주문설정!$M194="중지",FALSE(),IF(정기주문설정!$L194&lt;&gt;"",IF($B$3&lt;정기주문설정!$L194,FALSE(),IF(정기주문설정!$I194="매일",TRUE(),IF(정기주문설정!$I194="매주",(WEEKDAY($B$3)=IFERROR(MATCH(정기주문설정!$J194,정기주문설정!$O$3:$O$9,0),0)),IF(정기주문설정!$I194="격주",AND((WEEKDAY($B$3)=IFERROR(MATCH(정기주문설정!$J194,정기주문설정!$O$3:$O$9,0),0)),MOD(INT(($B$3-정기주문설정!$L194)/7),2)=0),IF(정기주문설정!$I194="매월",DAY($B$3)=정기주문설정!$K194,FALSE()))))),IF(정기주문설정!$I194="매일",TRUE(),IF(정기주문설정!$I194="매주",(WEEKDAY($B$3)=IFERROR(MATCH(정기주문설정!$J194,정기주문설정!$O$3:$O$9,0),0)),IF(정기주문설정!$I194="매월",DAY($B$3)=정기주문설정!$K194,FALSE()))))))</f>
        <v>0</v>
      </c>
      <c r="L197" s="5" t="str">
        <f aca="false">IF($K197=FALSE(),"",COUNTIF($K$6:$K197,TRUE()))</f>
        <v/>
      </c>
      <c r="M197" s="5" t="str">
        <f aca="false">IF($L197="","","R"&amp;$L197)</f>
        <v/>
      </c>
    </row>
    <row r="198" customFormat="false" ht="15" hidden="false" customHeight="true" outlineLevel="0" collapsed="false">
      <c r="K198" s="21" t="b">
        <f aca="false">IF(정기주문설정!$B195="",FALSE(),IF(정기주문설정!$M195="중지",FALSE(),IF(정기주문설정!$L195&lt;&gt;"",IF($B$3&lt;정기주문설정!$L195,FALSE(),IF(정기주문설정!$I195="매일",TRUE(),IF(정기주문설정!$I195="매주",(WEEKDAY($B$3)=IFERROR(MATCH(정기주문설정!$J195,정기주문설정!$O$3:$O$9,0),0)),IF(정기주문설정!$I195="격주",AND((WEEKDAY($B$3)=IFERROR(MATCH(정기주문설정!$J195,정기주문설정!$O$3:$O$9,0),0)),MOD(INT(($B$3-정기주문설정!$L195)/7),2)=0),IF(정기주문설정!$I195="매월",DAY($B$3)=정기주문설정!$K195,FALSE()))))),IF(정기주문설정!$I195="매일",TRUE(),IF(정기주문설정!$I195="매주",(WEEKDAY($B$3)=IFERROR(MATCH(정기주문설정!$J195,정기주문설정!$O$3:$O$9,0),0)),IF(정기주문설정!$I195="매월",DAY($B$3)=정기주문설정!$K195,FALSE()))))))</f>
        <v>0</v>
      </c>
      <c r="L198" s="5" t="str">
        <f aca="false">IF($K198=FALSE(),"",COUNTIF($K$6:$K198,TRUE()))</f>
        <v/>
      </c>
      <c r="M198" s="5" t="str">
        <f aca="false">IF($L198="","","R"&amp;$L198)</f>
        <v/>
      </c>
    </row>
    <row r="199" customFormat="false" ht="15" hidden="false" customHeight="true" outlineLevel="0" collapsed="false">
      <c r="K199" s="21" t="b">
        <f aca="false">IF(정기주문설정!$B196="",FALSE(),IF(정기주문설정!$M196="중지",FALSE(),IF(정기주문설정!$L196&lt;&gt;"",IF($B$3&lt;정기주문설정!$L196,FALSE(),IF(정기주문설정!$I196="매일",TRUE(),IF(정기주문설정!$I196="매주",(WEEKDAY($B$3)=IFERROR(MATCH(정기주문설정!$J196,정기주문설정!$O$3:$O$9,0),0)),IF(정기주문설정!$I196="격주",AND((WEEKDAY($B$3)=IFERROR(MATCH(정기주문설정!$J196,정기주문설정!$O$3:$O$9,0),0)),MOD(INT(($B$3-정기주문설정!$L196)/7),2)=0),IF(정기주문설정!$I196="매월",DAY($B$3)=정기주문설정!$K196,FALSE()))))),IF(정기주문설정!$I196="매일",TRUE(),IF(정기주문설정!$I196="매주",(WEEKDAY($B$3)=IFERROR(MATCH(정기주문설정!$J196,정기주문설정!$O$3:$O$9,0),0)),IF(정기주문설정!$I196="매월",DAY($B$3)=정기주문설정!$K196,FALSE()))))))</f>
        <v>0</v>
      </c>
      <c r="L199" s="5" t="str">
        <f aca="false">IF($K199=FALSE(),"",COUNTIF($K$6:$K199,TRUE()))</f>
        <v/>
      </c>
      <c r="M199" s="5" t="str">
        <f aca="false">IF($L199="","","R"&amp;$L199)</f>
        <v/>
      </c>
    </row>
    <row r="200" customFormat="false" ht="15" hidden="false" customHeight="true" outlineLevel="0" collapsed="false">
      <c r="K200" s="21" t="b">
        <f aca="false">IF(정기주문설정!$B197="",FALSE(),IF(정기주문설정!$M197="중지",FALSE(),IF(정기주문설정!$L197&lt;&gt;"",IF($B$3&lt;정기주문설정!$L197,FALSE(),IF(정기주문설정!$I197="매일",TRUE(),IF(정기주문설정!$I197="매주",(WEEKDAY($B$3)=IFERROR(MATCH(정기주문설정!$J197,정기주문설정!$O$3:$O$9,0),0)),IF(정기주문설정!$I197="격주",AND((WEEKDAY($B$3)=IFERROR(MATCH(정기주문설정!$J197,정기주문설정!$O$3:$O$9,0),0)),MOD(INT(($B$3-정기주문설정!$L197)/7),2)=0),IF(정기주문설정!$I197="매월",DAY($B$3)=정기주문설정!$K197,FALSE()))))),IF(정기주문설정!$I197="매일",TRUE(),IF(정기주문설정!$I197="매주",(WEEKDAY($B$3)=IFERROR(MATCH(정기주문설정!$J197,정기주문설정!$O$3:$O$9,0),0)),IF(정기주문설정!$I197="매월",DAY($B$3)=정기주문설정!$K197,FALSE()))))))</f>
        <v>0</v>
      </c>
      <c r="L200" s="5" t="str">
        <f aca="false">IF($K200=FALSE(),"",COUNTIF($K$6:$K200,TRUE()))</f>
        <v/>
      </c>
      <c r="M200" s="5" t="str">
        <f aca="false">IF($L200="","","R"&amp;$L200)</f>
        <v/>
      </c>
    </row>
    <row r="201" customFormat="false" ht="15" hidden="false" customHeight="true" outlineLevel="0" collapsed="false">
      <c r="K201" s="21" t="b">
        <f aca="false">IF(정기주문설정!$B198="",FALSE(),IF(정기주문설정!$M198="중지",FALSE(),IF(정기주문설정!$L198&lt;&gt;"",IF($B$3&lt;정기주문설정!$L198,FALSE(),IF(정기주문설정!$I198="매일",TRUE(),IF(정기주문설정!$I198="매주",(WEEKDAY($B$3)=IFERROR(MATCH(정기주문설정!$J198,정기주문설정!$O$3:$O$9,0),0)),IF(정기주문설정!$I198="격주",AND((WEEKDAY($B$3)=IFERROR(MATCH(정기주문설정!$J198,정기주문설정!$O$3:$O$9,0),0)),MOD(INT(($B$3-정기주문설정!$L198)/7),2)=0),IF(정기주문설정!$I198="매월",DAY($B$3)=정기주문설정!$K198,FALSE()))))),IF(정기주문설정!$I198="매일",TRUE(),IF(정기주문설정!$I198="매주",(WEEKDAY($B$3)=IFERROR(MATCH(정기주문설정!$J198,정기주문설정!$O$3:$O$9,0),0)),IF(정기주문설정!$I198="매월",DAY($B$3)=정기주문설정!$K198,FALSE()))))))</f>
        <v>0</v>
      </c>
      <c r="L201" s="5" t="str">
        <f aca="false">IF($K201=FALSE(),"",COUNTIF($K$6:$K201,TRUE()))</f>
        <v/>
      </c>
      <c r="M201" s="5" t="str">
        <f aca="false">IF($L201="","","R"&amp;$L201)</f>
        <v/>
      </c>
    </row>
    <row r="202" customFormat="false" ht="15" hidden="false" customHeight="true" outlineLevel="0" collapsed="false">
      <c r="K202" s="21" t="b">
        <f aca="false">IF(정기주문설정!$B199="",FALSE(),IF(정기주문설정!$M199="중지",FALSE(),IF(정기주문설정!$L199&lt;&gt;"",IF($B$3&lt;정기주문설정!$L199,FALSE(),IF(정기주문설정!$I199="매일",TRUE(),IF(정기주문설정!$I199="매주",(WEEKDAY($B$3)=IFERROR(MATCH(정기주문설정!$J199,정기주문설정!$O$3:$O$9,0),0)),IF(정기주문설정!$I199="격주",AND((WEEKDAY($B$3)=IFERROR(MATCH(정기주문설정!$J199,정기주문설정!$O$3:$O$9,0),0)),MOD(INT(($B$3-정기주문설정!$L199)/7),2)=0),IF(정기주문설정!$I199="매월",DAY($B$3)=정기주문설정!$K199,FALSE()))))),IF(정기주문설정!$I199="매일",TRUE(),IF(정기주문설정!$I199="매주",(WEEKDAY($B$3)=IFERROR(MATCH(정기주문설정!$J199,정기주문설정!$O$3:$O$9,0),0)),IF(정기주문설정!$I199="매월",DAY($B$3)=정기주문설정!$K199,FALSE()))))))</f>
        <v>0</v>
      </c>
      <c r="L202" s="5" t="str">
        <f aca="false">IF($K202=FALSE(),"",COUNTIF($K$6:$K202,TRUE()))</f>
        <v/>
      </c>
      <c r="M202" s="5" t="str">
        <f aca="false">IF($L202="","","R"&amp;$L202)</f>
        <v/>
      </c>
    </row>
    <row r="203" customFormat="false" ht="15" hidden="false" customHeight="true" outlineLevel="0" collapsed="false">
      <c r="K203" s="21" t="b">
        <f aca="false">IF(정기주문설정!$B200="",FALSE(),IF(정기주문설정!$M200="중지",FALSE(),IF(정기주문설정!$L200&lt;&gt;"",IF($B$3&lt;정기주문설정!$L200,FALSE(),IF(정기주문설정!$I200="매일",TRUE(),IF(정기주문설정!$I200="매주",(WEEKDAY($B$3)=IFERROR(MATCH(정기주문설정!$J200,정기주문설정!$O$3:$O$9,0),0)),IF(정기주문설정!$I200="격주",AND((WEEKDAY($B$3)=IFERROR(MATCH(정기주문설정!$J200,정기주문설정!$O$3:$O$9,0),0)),MOD(INT(($B$3-정기주문설정!$L200)/7),2)=0),IF(정기주문설정!$I200="매월",DAY($B$3)=정기주문설정!$K200,FALSE()))))),IF(정기주문설정!$I200="매일",TRUE(),IF(정기주문설정!$I200="매주",(WEEKDAY($B$3)=IFERROR(MATCH(정기주문설정!$J200,정기주문설정!$O$3:$O$9,0),0)),IF(정기주문설정!$I200="매월",DAY($B$3)=정기주문설정!$K200,FALSE()))))))</f>
        <v>0</v>
      </c>
      <c r="L203" s="5" t="str">
        <f aca="false">IF($K203=FALSE(),"",COUNTIF($K$6:$K203,TRUE()))</f>
        <v/>
      </c>
      <c r="M203" s="5" t="str">
        <f aca="false">IF($L203="","","R"&amp;$L203)</f>
        <v/>
      </c>
    </row>
    <row r="204" customFormat="false" ht="15" hidden="false" customHeight="true" outlineLevel="0" collapsed="false">
      <c r="K204" s="21" t="b">
        <f aca="false">IF(정기주문설정!$B201="",FALSE(),IF(정기주문설정!$M201="중지",FALSE(),IF(정기주문설정!$L201&lt;&gt;"",IF($B$3&lt;정기주문설정!$L201,FALSE(),IF(정기주문설정!$I201="매일",TRUE(),IF(정기주문설정!$I201="매주",(WEEKDAY($B$3)=IFERROR(MATCH(정기주문설정!$J201,정기주문설정!$O$3:$O$9,0),0)),IF(정기주문설정!$I201="격주",AND((WEEKDAY($B$3)=IFERROR(MATCH(정기주문설정!$J201,정기주문설정!$O$3:$O$9,0),0)),MOD(INT(($B$3-정기주문설정!$L201)/7),2)=0),IF(정기주문설정!$I201="매월",DAY($B$3)=정기주문설정!$K201,FALSE()))))),IF(정기주문설정!$I201="매일",TRUE(),IF(정기주문설정!$I201="매주",(WEEKDAY($B$3)=IFERROR(MATCH(정기주문설정!$J201,정기주문설정!$O$3:$O$9,0),0)),IF(정기주문설정!$I201="매월",DAY($B$3)=정기주문설정!$K201,FALSE()))))))</f>
        <v>0</v>
      </c>
      <c r="L204" s="5" t="str">
        <f aca="false">IF($K204=FALSE(),"",COUNTIF($K$6:$K204,TRUE()))</f>
        <v/>
      </c>
      <c r="M204" s="5" t="str">
        <f aca="false">IF($L204="","","R"&amp;$L204)</f>
        <v/>
      </c>
    </row>
    <row r="205" customFormat="false" ht="15" hidden="false" customHeight="true" outlineLevel="0" collapsed="false">
      <c r="K205" s="21" t="b">
        <f aca="false">IF(정기주문설정!$B202="",FALSE(),IF(정기주문설정!$M202="중지",FALSE(),IF(정기주문설정!$L202&lt;&gt;"",IF($B$3&lt;정기주문설정!$L202,FALSE(),IF(정기주문설정!$I202="매일",TRUE(),IF(정기주문설정!$I202="매주",(WEEKDAY($B$3)=IFERROR(MATCH(정기주문설정!$J202,정기주문설정!$O$3:$O$9,0),0)),IF(정기주문설정!$I202="격주",AND((WEEKDAY($B$3)=IFERROR(MATCH(정기주문설정!$J202,정기주문설정!$O$3:$O$9,0),0)),MOD(INT(($B$3-정기주문설정!$L202)/7),2)=0),IF(정기주문설정!$I202="매월",DAY($B$3)=정기주문설정!$K202,FALSE()))))),IF(정기주문설정!$I202="매일",TRUE(),IF(정기주문설정!$I202="매주",(WEEKDAY($B$3)=IFERROR(MATCH(정기주문설정!$J202,정기주문설정!$O$3:$O$9,0),0)),IF(정기주문설정!$I202="매월",DAY($B$3)=정기주문설정!$K202,FALSE()))))))</f>
        <v>0</v>
      </c>
      <c r="L205" s="5" t="str">
        <f aca="false">IF($K205=FALSE(),"",COUNTIF($K$6:$K205,TRUE()))</f>
        <v/>
      </c>
      <c r="M205" s="5" t="str">
        <f aca="false">IF($L205="","","R"&amp;$L205)</f>
        <v/>
      </c>
    </row>
    <row r="206" customFormat="false" ht="15" hidden="false" customHeight="true" outlineLevel="0" collapsed="false">
      <c r="K206" s="21" t="b">
        <f aca="false">IF(정기주문설정!$B203="",FALSE(),IF(정기주문설정!$M203="중지",FALSE(),IF(정기주문설정!$L203&lt;&gt;"",IF($B$3&lt;정기주문설정!$L203,FALSE(),IF(정기주문설정!$I203="매일",TRUE(),IF(정기주문설정!$I203="매주",(WEEKDAY($B$3)=IFERROR(MATCH(정기주문설정!$J203,정기주문설정!$O$3:$O$9,0),0)),IF(정기주문설정!$I203="격주",AND((WEEKDAY($B$3)=IFERROR(MATCH(정기주문설정!$J203,정기주문설정!$O$3:$O$9,0),0)),MOD(INT(($B$3-정기주문설정!$L203)/7),2)=0),IF(정기주문설정!$I203="매월",DAY($B$3)=정기주문설정!$K203,FALSE()))))),IF(정기주문설정!$I203="매일",TRUE(),IF(정기주문설정!$I203="매주",(WEEKDAY($B$3)=IFERROR(MATCH(정기주문설정!$J203,정기주문설정!$O$3:$O$9,0),0)),IF(정기주문설정!$I203="매월",DAY($B$3)=정기주문설정!$K203,FALSE()))))))</f>
        <v>0</v>
      </c>
      <c r="L206" s="5" t="str">
        <f aca="false">IF($K206=FALSE(),"",COUNTIF($K$6:$K206,TRUE()))</f>
        <v/>
      </c>
      <c r="M206" s="5" t="str">
        <f aca="false">IF($L206="","","R"&amp;$L206)</f>
        <v/>
      </c>
    </row>
    <row r="207" customFormat="false" ht="15" hidden="false" customHeight="true" outlineLevel="0" collapsed="false">
      <c r="K207" s="21" t="b">
        <f aca="false">IF(정기주문설정!$B204="",FALSE(),IF(정기주문설정!$M204="중지",FALSE(),IF(정기주문설정!$L204&lt;&gt;"",IF($B$3&lt;정기주문설정!$L204,FALSE(),IF(정기주문설정!$I204="매일",TRUE(),IF(정기주문설정!$I204="매주",(WEEKDAY($B$3)=IFERROR(MATCH(정기주문설정!$J204,정기주문설정!$O$3:$O$9,0),0)),IF(정기주문설정!$I204="격주",AND((WEEKDAY($B$3)=IFERROR(MATCH(정기주문설정!$J204,정기주문설정!$O$3:$O$9,0),0)),MOD(INT(($B$3-정기주문설정!$L204)/7),2)=0),IF(정기주문설정!$I204="매월",DAY($B$3)=정기주문설정!$K204,FALSE()))))),IF(정기주문설정!$I204="매일",TRUE(),IF(정기주문설정!$I204="매주",(WEEKDAY($B$3)=IFERROR(MATCH(정기주문설정!$J204,정기주문설정!$O$3:$O$9,0),0)),IF(정기주문설정!$I204="매월",DAY($B$3)=정기주문설정!$K204,FALSE()))))))</f>
        <v>0</v>
      </c>
      <c r="L207" s="5" t="str">
        <f aca="false">IF($K207=FALSE(),"",COUNTIF($K$6:$K207,TRUE()))</f>
        <v/>
      </c>
      <c r="M207" s="5" t="str">
        <f aca="false">IF($L207="","","R"&amp;$L207)</f>
        <v/>
      </c>
    </row>
    <row r="208" customFormat="false" ht="15" hidden="false" customHeight="true" outlineLevel="0" collapsed="false">
      <c r="K208" s="21" t="b">
        <f aca="false">IF(정기주문설정!$B205="",FALSE(),IF(정기주문설정!$M205="중지",FALSE(),IF(정기주문설정!$L205&lt;&gt;"",IF($B$3&lt;정기주문설정!$L205,FALSE(),IF(정기주문설정!$I205="매일",TRUE(),IF(정기주문설정!$I205="매주",(WEEKDAY($B$3)=IFERROR(MATCH(정기주문설정!$J205,정기주문설정!$O$3:$O$9,0),0)),IF(정기주문설정!$I205="격주",AND((WEEKDAY($B$3)=IFERROR(MATCH(정기주문설정!$J205,정기주문설정!$O$3:$O$9,0),0)),MOD(INT(($B$3-정기주문설정!$L205)/7),2)=0),IF(정기주문설정!$I205="매월",DAY($B$3)=정기주문설정!$K205,FALSE()))))),IF(정기주문설정!$I205="매일",TRUE(),IF(정기주문설정!$I205="매주",(WEEKDAY($B$3)=IFERROR(MATCH(정기주문설정!$J205,정기주문설정!$O$3:$O$9,0),0)),IF(정기주문설정!$I205="매월",DAY($B$3)=정기주문설정!$K205,FALSE()))))))</f>
        <v>0</v>
      </c>
      <c r="L208" s="5" t="str">
        <f aca="false">IF($K208=FALSE(),"",COUNTIF($K$6:$K208,TRUE()))</f>
        <v/>
      </c>
      <c r="M208" s="5" t="str">
        <f aca="false">IF($L208="","","R"&amp;$L208)</f>
        <v/>
      </c>
    </row>
    <row r="209" customFormat="false" ht="15" hidden="false" customHeight="true" outlineLevel="0" collapsed="false">
      <c r="K209" s="21" t="b">
        <f aca="false">IF(정기주문설정!$B206="",FALSE(),IF(정기주문설정!$M206="중지",FALSE(),IF(정기주문설정!$L206&lt;&gt;"",IF($B$3&lt;정기주문설정!$L206,FALSE(),IF(정기주문설정!$I206="매일",TRUE(),IF(정기주문설정!$I206="매주",(WEEKDAY($B$3)=IFERROR(MATCH(정기주문설정!$J206,정기주문설정!$O$3:$O$9,0),0)),IF(정기주문설정!$I206="격주",AND((WEEKDAY($B$3)=IFERROR(MATCH(정기주문설정!$J206,정기주문설정!$O$3:$O$9,0),0)),MOD(INT(($B$3-정기주문설정!$L206)/7),2)=0),IF(정기주문설정!$I206="매월",DAY($B$3)=정기주문설정!$K206,FALSE()))))),IF(정기주문설정!$I206="매일",TRUE(),IF(정기주문설정!$I206="매주",(WEEKDAY($B$3)=IFERROR(MATCH(정기주문설정!$J206,정기주문설정!$O$3:$O$9,0),0)),IF(정기주문설정!$I206="매월",DAY($B$3)=정기주문설정!$K206,FALSE()))))))</f>
        <v>0</v>
      </c>
      <c r="L209" s="5" t="str">
        <f aca="false">IF($K209=FALSE(),"",COUNTIF($K$6:$K209,TRUE()))</f>
        <v/>
      </c>
      <c r="M209" s="5" t="str">
        <f aca="false">IF($L209="","","R"&amp;$L209)</f>
        <v/>
      </c>
    </row>
    <row r="210" customFormat="false" ht="15" hidden="false" customHeight="true" outlineLevel="0" collapsed="false">
      <c r="K210" s="21" t="b">
        <f aca="false">IF(정기주문설정!$B207="",FALSE(),IF(정기주문설정!$M207="중지",FALSE(),IF(정기주문설정!$L207&lt;&gt;"",IF($B$3&lt;정기주문설정!$L207,FALSE(),IF(정기주문설정!$I207="매일",TRUE(),IF(정기주문설정!$I207="매주",(WEEKDAY($B$3)=IFERROR(MATCH(정기주문설정!$J207,정기주문설정!$O$3:$O$9,0),0)),IF(정기주문설정!$I207="격주",AND((WEEKDAY($B$3)=IFERROR(MATCH(정기주문설정!$J207,정기주문설정!$O$3:$O$9,0),0)),MOD(INT(($B$3-정기주문설정!$L207)/7),2)=0),IF(정기주문설정!$I207="매월",DAY($B$3)=정기주문설정!$K207,FALSE()))))),IF(정기주문설정!$I207="매일",TRUE(),IF(정기주문설정!$I207="매주",(WEEKDAY($B$3)=IFERROR(MATCH(정기주문설정!$J207,정기주문설정!$O$3:$O$9,0),0)),IF(정기주문설정!$I207="매월",DAY($B$3)=정기주문설정!$K207,FALSE()))))))</f>
        <v>0</v>
      </c>
      <c r="L210" s="5" t="str">
        <f aca="false">IF($K210=FALSE(),"",COUNTIF($K$6:$K210,TRUE()))</f>
        <v/>
      </c>
      <c r="M210" s="5" t="str">
        <f aca="false">IF($L210="","","R"&amp;$L210)</f>
        <v/>
      </c>
    </row>
    <row r="211" customFormat="false" ht="15" hidden="false" customHeight="true" outlineLevel="0" collapsed="false">
      <c r="K211" s="21" t="b">
        <f aca="false">IF(정기주문설정!$B208="",FALSE(),IF(정기주문설정!$M208="중지",FALSE(),IF(정기주문설정!$L208&lt;&gt;"",IF($B$3&lt;정기주문설정!$L208,FALSE(),IF(정기주문설정!$I208="매일",TRUE(),IF(정기주문설정!$I208="매주",(WEEKDAY($B$3)=IFERROR(MATCH(정기주문설정!$J208,정기주문설정!$O$3:$O$9,0),0)),IF(정기주문설정!$I208="격주",AND((WEEKDAY($B$3)=IFERROR(MATCH(정기주문설정!$J208,정기주문설정!$O$3:$O$9,0),0)),MOD(INT(($B$3-정기주문설정!$L208)/7),2)=0),IF(정기주문설정!$I208="매월",DAY($B$3)=정기주문설정!$K208,FALSE()))))),IF(정기주문설정!$I208="매일",TRUE(),IF(정기주문설정!$I208="매주",(WEEKDAY($B$3)=IFERROR(MATCH(정기주문설정!$J208,정기주문설정!$O$3:$O$9,0),0)),IF(정기주문설정!$I208="매월",DAY($B$3)=정기주문설정!$K208,FALSE()))))))</f>
        <v>0</v>
      </c>
      <c r="L211" s="5" t="str">
        <f aca="false">IF($K211=FALSE(),"",COUNTIF($K$6:$K211,TRUE()))</f>
        <v/>
      </c>
      <c r="M211" s="5" t="str">
        <f aca="false">IF($L211="","","R"&amp;$L211)</f>
        <v/>
      </c>
    </row>
    <row r="212" customFormat="false" ht="15" hidden="false" customHeight="true" outlineLevel="0" collapsed="false">
      <c r="K212" s="21" t="b">
        <f aca="false">IF(정기주문설정!$B209="",FALSE(),IF(정기주문설정!$M209="중지",FALSE(),IF(정기주문설정!$L209&lt;&gt;"",IF($B$3&lt;정기주문설정!$L209,FALSE(),IF(정기주문설정!$I209="매일",TRUE(),IF(정기주문설정!$I209="매주",(WEEKDAY($B$3)=IFERROR(MATCH(정기주문설정!$J209,정기주문설정!$O$3:$O$9,0),0)),IF(정기주문설정!$I209="격주",AND((WEEKDAY($B$3)=IFERROR(MATCH(정기주문설정!$J209,정기주문설정!$O$3:$O$9,0),0)),MOD(INT(($B$3-정기주문설정!$L209)/7),2)=0),IF(정기주문설정!$I209="매월",DAY($B$3)=정기주문설정!$K209,FALSE()))))),IF(정기주문설정!$I209="매일",TRUE(),IF(정기주문설정!$I209="매주",(WEEKDAY($B$3)=IFERROR(MATCH(정기주문설정!$J209,정기주문설정!$O$3:$O$9,0),0)),IF(정기주문설정!$I209="매월",DAY($B$3)=정기주문설정!$K209,FALSE()))))))</f>
        <v>0</v>
      </c>
      <c r="L212" s="5" t="str">
        <f aca="false">IF($K212=FALSE(),"",COUNTIF($K$6:$K212,TRUE()))</f>
        <v/>
      </c>
      <c r="M212" s="5" t="str">
        <f aca="false">IF($L212="","","R"&amp;$L212)</f>
        <v/>
      </c>
    </row>
    <row r="213" customFormat="false" ht="15" hidden="false" customHeight="true" outlineLevel="0" collapsed="false">
      <c r="K213" s="21" t="b">
        <f aca="false">IF(정기주문설정!$B210="",FALSE(),IF(정기주문설정!$M210="중지",FALSE(),IF(정기주문설정!$L210&lt;&gt;"",IF($B$3&lt;정기주문설정!$L210,FALSE(),IF(정기주문설정!$I210="매일",TRUE(),IF(정기주문설정!$I210="매주",(WEEKDAY($B$3)=IFERROR(MATCH(정기주문설정!$J210,정기주문설정!$O$3:$O$9,0),0)),IF(정기주문설정!$I210="격주",AND((WEEKDAY($B$3)=IFERROR(MATCH(정기주문설정!$J210,정기주문설정!$O$3:$O$9,0),0)),MOD(INT(($B$3-정기주문설정!$L210)/7),2)=0),IF(정기주문설정!$I210="매월",DAY($B$3)=정기주문설정!$K210,FALSE()))))),IF(정기주문설정!$I210="매일",TRUE(),IF(정기주문설정!$I210="매주",(WEEKDAY($B$3)=IFERROR(MATCH(정기주문설정!$J210,정기주문설정!$O$3:$O$9,0),0)),IF(정기주문설정!$I210="매월",DAY($B$3)=정기주문설정!$K210,FALSE()))))))</f>
        <v>0</v>
      </c>
      <c r="L213" s="5" t="str">
        <f aca="false">IF($K213=FALSE(),"",COUNTIF($K$6:$K213,TRUE()))</f>
        <v/>
      </c>
      <c r="M213" s="5" t="str">
        <f aca="false">IF($L213="","","R"&amp;$L213)</f>
        <v/>
      </c>
    </row>
    <row r="214" customFormat="false" ht="15" hidden="false" customHeight="true" outlineLevel="0" collapsed="false">
      <c r="K214" s="21" t="b">
        <f aca="false">IF(정기주문설정!$B211="",FALSE(),IF(정기주문설정!$M211="중지",FALSE(),IF(정기주문설정!$L211&lt;&gt;"",IF($B$3&lt;정기주문설정!$L211,FALSE(),IF(정기주문설정!$I211="매일",TRUE(),IF(정기주문설정!$I211="매주",(WEEKDAY($B$3)=IFERROR(MATCH(정기주문설정!$J211,정기주문설정!$O$3:$O$9,0),0)),IF(정기주문설정!$I211="격주",AND((WEEKDAY($B$3)=IFERROR(MATCH(정기주문설정!$J211,정기주문설정!$O$3:$O$9,0),0)),MOD(INT(($B$3-정기주문설정!$L211)/7),2)=0),IF(정기주문설정!$I211="매월",DAY($B$3)=정기주문설정!$K211,FALSE()))))),IF(정기주문설정!$I211="매일",TRUE(),IF(정기주문설정!$I211="매주",(WEEKDAY($B$3)=IFERROR(MATCH(정기주문설정!$J211,정기주문설정!$O$3:$O$9,0),0)),IF(정기주문설정!$I211="매월",DAY($B$3)=정기주문설정!$K211,FALSE()))))))</f>
        <v>0</v>
      </c>
      <c r="L214" s="5" t="str">
        <f aca="false">IF($K214=FALSE(),"",COUNTIF($K$6:$K214,TRUE()))</f>
        <v/>
      </c>
      <c r="M214" s="5" t="str">
        <f aca="false">IF($L214="","","R"&amp;$L214)</f>
        <v/>
      </c>
    </row>
    <row r="215" customFormat="false" ht="15" hidden="false" customHeight="true" outlineLevel="0" collapsed="false">
      <c r="K215" s="21" t="b">
        <f aca="false">IF(정기주문설정!$B212="",FALSE(),IF(정기주문설정!$M212="중지",FALSE(),IF(정기주문설정!$L212&lt;&gt;"",IF($B$3&lt;정기주문설정!$L212,FALSE(),IF(정기주문설정!$I212="매일",TRUE(),IF(정기주문설정!$I212="매주",(WEEKDAY($B$3)=IFERROR(MATCH(정기주문설정!$J212,정기주문설정!$O$3:$O$9,0),0)),IF(정기주문설정!$I212="격주",AND((WEEKDAY($B$3)=IFERROR(MATCH(정기주문설정!$J212,정기주문설정!$O$3:$O$9,0),0)),MOD(INT(($B$3-정기주문설정!$L212)/7),2)=0),IF(정기주문설정!$I212="매월",DAY($B$3)=정기주문설정!$K212,FALSE()))))),IF(정기주문설정!$I212="매일",TRUE(),IF(정기주문설정!$I212="매주",(WEEKDAY($B$3)=IFERROR(MATCH(정기주문설정!$J212,정기주문설정!$O$3:$O$9,0),0)),IF(정기주문설정!$I212="매월",DAY($B$3)=정기주문설정!$K212,FALSE()))))))</f>
        <v>0</v>
      </c>
      <c r="L215" s="5" t="str">
        <f aca="false">IF($K215=FALSE(),"",COUNTIF($K$6:$K215,TRUE()))</f>
        <v/>
      </c>
      <c r="M215" s="5" t="str">
        <f aca="false">IF($L215="","","R"&amp;$L215)</f>
        <v/>
      </c>
    </row>
    <row r="216" customFormat="false" ht="15" hidden="false" customHeight="true" outlineLevel="0" collapsed="false">
      <c r="K216" s="21" t="b">
        <f aca="false">IF(정기주문설정!$B213="",FALSE(),IF(정기주문설정!$M213="중지",FALSE(),IF(정기주문설정!$L213&lt;&gt;"",IF($B$3&lt;정기주문설정!$L213,FALSE(),IF(정기주문설정!$I213="매일",TRUE(),IF(정기주문설정!$I213="매주",(WEEKDAY($B$3)=IFERROR(MATCH(정기주문설정!$J213,정기주문설정!$O$3:$O$9,0),0)),IF(정기주문설정!$I213="격주",AND((WEEKDAY($B$3)=IFERROR(MATCH(정기주문설정!$J213,정기주문설정!$O$3:$O$9,0),0)),MOD(INT(($B$3-정기주문설정!$L213)/7),2)=0),IF(정기주문설정!$I213="매월",DAY($B$3)=정기주문설정!$K213,FALSE()))))),IF(정기주문설정!$I213="매일",TRUE(),IF(정기주문설정!$I213="매주",(WEEKDAY($B$3)=IFERROR(MATCH(정기주문설정!$J213,정기주문설정!$O$3:$O$9,0),0)),IF(정기주문설정!$I213="매월",DAY($B$3)=정기주문설정!$K213,FALSE()))))))</f>
        <v>0</v>
      </c>
      <c r="L216" s="5" t="str">
        <f aca="false">IF($K216=FALSE(),"",COUNTIF($K$6:$K216,TRUE()))</f>
        <v/>
      </c>
      <c r="M216" s="5" t="str">
        <f aca="false">IF($L216="","","R"&amp;$L216)</f>
        <v/>
      </c>
    </row>
    <row r="217" customFormat="false" ht="15" hidden="false" customHeight="true" outlineLevel="0" collapsed="false">
      <c r="K217" s="21" t="b">
        <f aca="false">IF(정기주문설정!$B214="",FALSE(),IF(정기주문설정!$M214="중지",FALSE(),IF(정기주문설정!$L214&lt;&gt;"",IF($B$3&lt;정기주문설정!$L214,FALSE(),IF(정기주문설정!$I214="매일",TRUE(),IF(정기주문설정!$I214="매주",(WEEKDAY($B$3)=IFERROR(MATCH(정기주문설정!$J214,정기주문설정!$O$3:$O$9,0),0)),IF(정기주문설정!$I214="격주",AND((WEEKDAY($B$3)=IFERROR(MATCH(정기주문설정!$J214,정기주문설정!$O$3:$O$9,0),0)),MOD(INT(($B$3-정기주문설정!$L214)/7),2)=0),IF(정기주문설정!$I214="매월",DAY($B$3)=정기주문설정!$K214,FALSE()))))),IF(정기주문설정!$I214="매일",TRUE(),IF(정기주문설정!$I214="매주",(WEEKDAY($B$3)=IFERROR(MATCH(정기주문설정!$J214,정기주문설정!$O$3:$O$9,0),0)),IF(정기주문설정!$I214="매월",DAY($B$3)=정기주문설정!$K214,FALSE()))))))</f>
        <v>0</v>
      </c>
      <c r="L217" s="5" t="str">
        <f aca="false">IF($K217=FALSE(),"",COUNTIF($K$6:$K217,TRUE()))</f>
        <v/>
      </c>
      <c r="M217" s="5" t="str">
        <f aca="false">IF($L217="","","R"&amp;$L217)</f>
        <v/>
      </c>
    </row>
    <row r="218" customFormat="false" ht="15" hidden="false" customHeight="true" outlineLevel="0" collapsed="false">
      <c r="K218" s="21" t="b">
        <f aca="false">IF(정기주문설정!$B215="",FALSE(),IF(정기주문설정!$M215="중지",FALSE(),IF(정기주문설정!$L215&lt;&gt;"",IF($B$3&lt;정기주문설정!$L215,FALSE(),IF(정기주문설정!$I215="매일",TRUE(),IF(정기주문설정!$I215="매주",(WEEKDAY($B$3)=IFERROR(MATCH(정기주문설정!$J215,정기주문설정!$O$3:$O$9,0),0)),IF(정기주문설정!$I215="격주",AND((WEEKDAY($B$3)=IFERROR(MATCH(정기주문설정!$J215,정기주문설정!$O$3:$O$9,0),0)),MOD(INT(($B$3-정기주문설정!$L215)/7),2)=0),IF(정기주문설정!$I215="매월",DAY($B$3)=정기주문설정!$K215,FALSE()))))),IF(정기주문설정!$I215="매일",TRUE(),IF(정기주문설정!$I215="매주",(WEEKDAY($B$3)=IFERROR(MATCH(정기주문설정!$J215,정기주문설정!$O$3:$O$9,0),0)),IF(정기주문설정!$I215="매월",DAY($B$3)=정기주문설정!$K215,FALSE()))))))</f>
        <v>0</v>
      </c>
      <c r="L218" s="5" t="str">
        <f aca="false">IF($K218=FALSE(),"",COUNTIF($K$6:$K218,TRUE()))</f>
        <v/>
      </c>
      <c r="M218" s="5" t="str">
        <f aca="false">IF($L218="","","R"&amp;$L218)</f>
        <v/>
      </c>
    </row>
    <row r="219" customFormat="false" ht="15" hidden="false" customHeight="true" outlineLevel="0" collapsed="false">
      <c r="K219" s="21" t="b">
        <f aca="false">IF(정기주문설정!$B216="",FALSE(),IF(정기주문설정!$M216="중지",FALSE(),IF(정기주문설정!$L216&lt;&gt;"",IF($B$3&lt;정기주문설정!$L216,FALSE(),IF(정기주문설정!$I216="매일",TRUE(),IF(정기주문설정!$I216="매주",(WEEKDAY($B$3)=IFERROR(MATCH(정기주문설정!$J216,정기주문설정!$O$3:$O$9,0),0)),IF(정기주문설정!$I216="격주",AND((WEEKDAY($B$3)=IFERROR(MATCH(정기주문설정!$J216,정기주문설정!$O$3:$O$9,0),0)),MOD(INT(($B$3-정기주문설정!$L216)/7),2)=0),IF(정기주문설정!$I216="매월",DAY($B$3)=정기주문설정!$K216,FALSE()))))),IF(정기주문설정!$I216="매일",TRUE(),IF(정기주문설정!$I216="매주",(WEEKDAY($B$3)=IFERROR(MATCH(정기주문설정!$J216,정기주문설정!$O$3:$O$9,0),0)),IF(정기주문설정!$I216="매월",DAY($B$3)=정기주문설정!$K216,FALSE()))))))</f>
        <v>0</v>
      </c>
      <c r="L219" s="5" t="str">
        <f aca="false">IF($K219=FALSE(),"",COUNTIF($K$6:$K219,TRUE()))</f>
        <v/>
      </c>
      <c r="M219" s="5" t="str">
        <f aca="false">IF($L219="","","R"&amp;$L219)</f>
        <v/>
      </c>
    </row>
    <row r="220" customFormat="false" ht="15" hidden="false" customHeight="true" outlineLevel="0" collapsed="false">
      <c r="K220" s="21" t="b">
        <f aca="false">IF(정기주문설정!$B217="",FALSE(),IF(정기주문설정!$M217="중지",FALSE(),IF(정기주문설정!$L217&lt;&gt;"",IF($B$3&lt;정기주문설정!$L217,FALSE(),IF(정기주문설정!$I217="매일",TRUE(),IF(정기주문설정!$I217="매주",(WEEKDAY($B$3)=IFERROR(MATCH(정기주문설정!$J217,정기주문설정!$O$3:$O$9,0),0)),IF(정기주문설정!$I217="격주",AND((WEEKDAY($B$3)=IFERROR(MATCH(정기주문설정!$J217,정기주문설정!$O$3:$O$9,0),0)),MOD(INT(($B$3-정기주문설정!$L217)/7),2)=0),IF(정기주문설정!$I217="매월",DAY($B$3)=정기주문설정!$K217,FALSE()))))),IF(정기주문설정!$I217="매일",TRUE(),IF(정기주문설정!$I217="매주",(WEEKDAY($B$3)=IFERROR(MATCH(정기주문설정!$J217,정기주문설정!$O$3:$O$9,0),0)),IF(정기주문설정!$I217="매월",DAY($B$3)=정기주문설정!$K217,FALSE()))))))</f>
        <v>0</v>
      </c>
      <c r="L220" s="5" t="str">
        <f aca="false">IF($K220=FALSE(),"",COUNTIF($K$6:$K220,TRUE()))</f>
        <v/>
      </c>
      <c r="M220" s="5" t="str">
        <f aca="false">IF($L220="","","R"&amp;$L220)</f>
        <v/>
      </c>
    </row>
    <row r="221" customFormat="false" ht="15" hidden="false" customHeight="true" outlineLevel="0" collapsed="false">
      <c r="K221" s="21" t="b">
        <f aca="false">IF(정기주문설정!$B218="",FALSE(),IF(정기주문설정!$M218="중지",FALSE(),IF(정기주문설정!$L218&lt;&gt;"",IF($B$3&lt;정기주문설정!$L218,FALSE(),IF(정기주문설정!$I218="매일",TRUE(),IF(정기주문설정!$I218="매주",(WEEKDAY($B$3)=IFERROR(MATCH(정기주문설정!$J218,정기주문설정!$O$3:$O$9,0),0)),IF(정기주문설정!$I218="격주",AND((WEEKDAY($B$3)=IFERROR(MATCH(정기주문설정!$J218,정기주문설정!$O$3:$O$9,0),0)),MOD(INT(($B$3-정기주문설정!$L218)/7),2)=0),IF(정기주문설정!$I218="매월",DAY($B$3)=정기주문설정!$K218,FALSE()))))),IF(정기주문설정!$I218="매일",TRUE(),IF(정기주문설정!$I218="매주",(WEEKDAY($B$3)=IFERROR(MATCH(정기주문설정!$J218,정기주문설정!$O$3:$O$9,0),0)),IF(정기주문설정!$I218="매월",DAY($B$3)=정기주문설정!$K218,FALSE()))))))</f>
        <v>0</v>
      </c>
      <c r="L221" s="5" t="str">
        <f aca="false">IF($K221=FALSE(),"",COUNTIF($K$6:$K221,TRUE()))</f>
        <v/>
      </c>
      <c r="M221" s="5" t="str">
        <f aca="false">IF($L221="","","R"&amp;$L221)</f>
        <v/>
      </c>
    </row>
    <row r="222" customFormat="false" ht="15" hidden="false" customHeight="true" outlineLevel="0" collapsed="false">
      <c r="K222" s="21" t="b">
        <f aca="false">IF(정기주문설정!$B219="",FALSE(),IF(정기주문설정!$M219="중지",FALSE(),IF(정기주문설정!$L219&lt;&gt;"",IF($B$3&lt;정기주문설정!$L219,FALSE(),IF(정기주문설정!$I219="매일",TRUE(),IF(정기주문설정!$I219="매주",(WEEKDAY($B$3)=IFERROR(MATCH(정기주문설정!$J219,정기주문설정!$O$3:$O$9,0),0)),IF(정기주문설정!$I219="격주",AND((WEEKDAY($B$3)=IFERROR(MATCH(정기주문설정!$J219,정기주문설정!$O$3:$O$9,0),0)),MOD(INT(($B$3-정기주문설정!$L219)/7),2)=0),IF(정기주문설정!$I219="매월",DAY($B$3)=정기주문설정!$K219,FALSE()))))),IF(정기주문설정!$I219="매일",TRUE(),IF(정기주문설정!$I219="매주",(WEEKDAY($B$3)=IFERROR(MATCH(정기주문설정!$J219,정기주문설정!$O$3:$O$9,0),0)),IF(정기주문설정!$I219="매월",DAY($B$3)=정기주문설정!$K219,FALSE()))))))</f>
        <v>0</v>
      </c>
      <c r="L222" s="5" t="str">
        <f aca="false">IF($K222=FALSE(),"",COUNTIF($K$6:$K222,TRUE()))</f>
        <v/>
      </c>
      <c r="M222" s="5" t="str">
        <f aca="false">IF($L222="","","R"&amp;$L222)</f>
        <v/>
      </c>
    </row>
    <row r="223" customFormat="false" ht="15" hidden="false" customHeight="true" outlineLevel="0" collapsed="false">
      <c r="K223" s="21" t="b">
        <f aca="false">IF(정기주문설정!$B220="",FALSE(),IF(정기주문설정!$M220="중지",FALSE(),IF(정기주문설정!$L220&lt;&gt;"",IF($B$3&lt;정기주문설정!$L220,FALSE(),IF(정기주문설정!$I220="매일",TRUE(),IF(정기주문설정!$I220="매주",(WEEKDAY($B$3)=IFERROR(MATCH(정기주문설정!$J220,정기주문설정!$O$3:$O$9,0),0)),IF(정기주문설정!$I220="격주",AND((WEEKDAY($B$3)=IFERROR(MATCH(정기주문설정!$J220,정기주문설정!$O$3:$O$9,0),0)),MOD(INT(($B$3-정기주문설정!$L220)/7),2)=0),IF(정기주문설정!$I220="매월",DAY($B$3)=정기주문설정!$K220,FALSE()))))),IF(정기주문설정!$I220="매일",TRUE(),IF(정기주문설정!$I220="매주",(WEEKDAY($B$3)=IFERROR(MATCH(정기주문설정!$J220,정기주문설정!$O$3:$O$9,0),0)),IF(정기주문설정!$I220="매월",DAY($B$3)=정기주문설정!$K220,FALSE()))))))</f>
        <v>0</v>
      </c>
      <c r="L223" s="5" t="str">
        <f aca="false">IF($K223=FALSE(),"",COUNTIF($K$6:$K223,TRUE()))</f>
        <v/>
      </c>
      <c r="M223" s="5" t="str">
        <f aca="false">IF($L223="","","R"&amp;$L223)</f>
        <v/>
      </c>
    </row>
    <row r="224" customFormat="false" ht="15" hidden="false" customHeight="true" outlineLevel="0" collapsed="false">
      <c r="K224" s="21" t="b">
        <f aca="false">IF(정기주문설정!$B221="",FALSE(),IF(정기주문설정!$M221="중지",FALSE(),IF(정기주문설정!$L221&lt;&gt;"",IF($B$3&lt;정기주문설정!$L221,FALSE(),IF(정기주문설정!$I221="매일",TRUE(),IF(정기주문설정!$I221="매주",(WEEKDAY($B$3)=IFERROR(MATCH(정기주문설정!$J221,정기주문설정!$O$3:$O$9,0),0)),IF(정기주문설정!$I221="격주",AND((WEEKDAY($B$3)=IFERROR(MATCH(정기주문설정!$J221,정기주문설정!$O$3:$O$9,0),0)),MOD(INT(($B$3-정기주문설정!$L221)/7),2)=0),IF(정기주문설정!$I221="매월",DAY($B$3)=정기주문설정!$K221,FALSE()))))),IF(정기주문설정!$I221="매일",TRUE(),IF(정기주문설정!$I221="매주",(WEEKDAY($B$3)=IFERROR(MATCH(정기주문설정!$J221,정기주문설정!$O$3:$O$9,0),0)),IF(정기주문설정!$I221="매월",DAY($B$3)=정기주문설정!$K221,FALSE()))))))</f>
        <v>0</v>
      </c>
      <c r="L224" s="5" t="str">
        <f aca="false">IF($K224=FALSE(),"",COUNTIF($K$6:$K224,TRUE()))</f>
        <v/>
      </c>
      <c r="M224" s="5" t="str">
        <f aca="false">IF($L224="","","R"&amp;$L224)</f>
        <v/>
      </c>
    </row>
    <row r="225" customFormat="false" ht="15" hidden="false" customHeight="true" outlineLevel="0" collapsed="false">
      <c r="K225" s="21" t="b">
        <f aca="false">IF(정기주문설정!$B222="",FALSE(),IF(정기주문설정!$M222="중지",FALSE(),IF(정기주문설정!$L222&lt;&gt;"",IF($B$3&lt;정기주문설정!$L222,FALSE(),IF(정기주문설정!$I222="매일",TRUE(),IF(정기주문설정!$I222="매주",(WEEKDAY($B$3)=IFERROR(MATCH(정기주문설정!$J222,정기주문설정!$O$3:$O$9,0),0)),IF(정기주문설정!$I222="격주",AND((WEEKDAY($B$3)=IFERROR(MATCH(정기주문설정!$J222,정기주문설정!$O$3:$O$9,0),0)),MOD(INT(($B$3-정기주문설정!$L222)/7),2)=0),IF(정기주문설정!$I222="매월",DAY($B$3)=정기주문설정!$K222,FALSE()))))),IF(정기주문설정!$I222="매일",TRUE(),IF(정기주문설정!$I222="매주",(WEEKDAY($B$3)=IFERROR(MATCH(정기주문설정!$J222,정기주문설정!$O$3:$O$9,0),0)),IF(정기주문설정!$I222="매월",DAY($B$3)=정기주문설정!$K222,FALSE()))))))</f>
        <v>0</v>
      </c>
      <c r="L225" s="5" t="str">
        <f aca="false">IF($K225=FALSE(),"",COUNTIF($K$6:$K225,TRUE()))</f>
        <v/>
      </c>
      <c r="M225" s="5" t="str">
        <f aca="false">IF($L225="","","R"&amp;$L225)</f>
        <v/>
      </c>
    </row>
    <row r="226" customFormat="false" ht="15" hidden="false" customHeight="true" outlineLevel="0" collapsed="false">
      <c r="K226" s="21" t="b">
        <f aca="false">IF(정기주문설정!$B223="",FALSE(),IF(정기주문설정!$M223="중지",FALSE(),IF(정기주문설정!$L223&lt;&gt;"",IF($B$3&lt;정기주문설정!$L223,FALSE(),IF(정기주문설정!$I223="매일",TRUE(),IF(정기주문설정!$I223="매주",(WEEKDAY($B$3)=IFERROR(MATCH(정기주문설정!$J223,정기주문설정!$O$3:$O$9,0),0)),IF(정기주문설정!$I223="격주",AND((WEEKDAY($B$3)=IFERROR(MATCH(정기주문설정!$J223,정기주문설정!$O$3:$O$9,0),0)),MOD(INT(($B$3-정기주문설정!$L223)/7),2)=0),IF(정기주문설정!$I223="매월",DAY($B$3)=정기주문설정!$K223,FALSE()))))),IF(정기주문설정!$I223="매일",TRUE(),IF(정기주문설정!$I223="매주",(WEEKDAY($B$3)=IFERROR(MATCH(정기주문설정!$J223,정기주문설정!$O$3:$O$9,0),0)),IF(정기주문설정!$I223="매월",DAY($B$3)=정기주문설정!$K223,FALSE()))))))</f>
        <v>0</v>
      </c>
      <c r="L226" s="5" t="str">
        <f aca="false">IF($K226=FALSE(),"",COUNTIF($K$6:$K226,TRUE()))</f>
        <v/>
      </c>
      <c r="M226" s="5" t="str">
        <f aca="false">IF($L226="","","R"&amp;$L226)</f>
        <v/>
      </c>
    </row>
    <row r="227" customFormat="false" ht="15" hidden="false" customHeight="true" outlineLevel="0" collapsed="false">
      <c r="K227" s="21" t="b">
        <f aca="false">IF(정기주문설정!$B224="",FALSE(),IF(정기주문설정!$M224="중지",FALSE(),IF(정기주문설정!$L224&lt;&gt;"",IF($B$3&lt;정기주문설정!$L224,FALSE(),IF(정기주문설정!$I224="매일",TRUE(),IF(정기주문설정!$I224="매주",(WEEKDAY($B$3)=IFERROR(MATCH(정기주문설정!$J224,정기주문설정!$O$3:$O$9,0),0)),IF(정기주문설정!$I224="격주",AND((WEEKDAY($B$3)=IFERROR(MATCH(정기주문설정!$J224,정기주문설정!$O$3:$O$9,0),0)),MOD(INT(($B$3-정기주문설정!$L224)/7),2)=0),IF(정기주문설정!$I224="매월",DAY($B$3)=정기주문설정!$K224,FALSE()))))),IF(정기주문설정!$I224="매일",TRUE(),IF(정기주문설정!$I224="매주",(WEEKDAY($B$3)=IFERROR(MATCH(정기주문설정!$J224,정기주문설정!$O$3:$O$9,0),0)),IF(정기주문설정!$I224="매월",DAY($B$3)=정기주문설정!$K224,FALSE()))))))</f>
        <v>0</v>
      </c>
      <c r="L227" s="5" t="str">
        <f aca="false">IF($K227=FALSE(),"",COUNTIF($K$6:$K227,TRUE()))</f>
        <v/>
      </c>
      <c r="M227" s="5" t="str">
        <f aca="false">IF($L227="","","R"&amp;$L227)</f>
        <v/>
      </c>
    </row>
    <row r="228" customFormat="false" ht="15" hidden="false" customHeight="true" outlineLevel="0" collapsed="false">
      <c r="K228" s="21" t="b">
        <f aca="false">IF(정기주문설정!$B225="",FALSE(),IF(정기주문설정!$M225="중지",FALSE(),IF(정기주문설정!$L225&lt;&gt;"",IF($B$3&lt;정기주문설정!$L225,FALSE(),IF(정기주문설정!$I225="매일",TRUE(),IF(정기주문설정!$I225="매주",(WEEKDAY($B$3)=IFERROR(MATCH(정기주문설정!$J225,정기주문설정!$O$3:$O$9,0),0)),IF(정기주문설정!$I225="격주",AND((WEEKDAY($B$3)=IFERROR(MATCH(정기주문설정!$J225,정기주문설정!$O$3:$O$9,0),0)),MOD(INT(($B$3-정기주문설정!$L225)/7),2)=0),IF(정기주문설정!$I225="매월",DAY($B$3)=정기주문설정!$K225,FALSE()))))),IF(정기주문설정!$I225="매일",TRUE(),IF(정기주문설정!$I225="매주",(WEEKDAY($B$3)=IFERROR(MATCH(정기주문설정!$J225,정기주문설정!$O$3:$O$9,0),0)),IF(정기주문설정!$I225="매월",DAY($B$3)=정기주문설정!$K225,FALSE()))))))</f>
        <v>0</v>
      </c>
      <c r="L228" s="5" t="str">
        <f aca="false">IF($K228=FALSE(),"",COUNTIF($K$6:$K228,TRUE()))</f>
        <v/>
      </c>
      <c r="M228" s="5" t="str">
        <f aca="false">IF($L228="","","R"&amp;$L228)</f>
        <v/>
      </c>
    </row>
    <row r="229" customFormat="false" ht="15" hidden="false" customHeight="true" outlineLevel="0" collapsed="false">
      <c r="K229" s="21" t="b">
        <f aca="false">IF(정기주문설정!$B226="",FALSE(),IF(정기주문설정!$M226="중지",FALSE(),IF(정기주문설정!$L226&lt;&gt;"",IF($B$3&lt;정기주문설정!$L226,FALSE(),IF(정기주문설정!$I226="매일",TRUE(),IF(정기주문설정!$I226="매주",(WEEKDAY($B$3)=IFERROR(MATCH(정기주문설정!$J226,정기주문설정!$O$3:$O$9,0),0)),IF(정기주문설정!$I226="격주",AND((WEEKDAY($B$3)=IFERROR(MATCH(정기주문설정!$J226,정기주문설정!$O$3:$O$9,0),0)),MOD(INT(($B$3-정기주문설정!$L226)/7),2)=0),IF(정기주문설정!$I226="매월",DAY($B$3)=정기주문설정!$K226,FALSE()))))),IF(정기주문설정!$I226="매일",TRUE(),IF(정기주문설정!$I226="매주",(WEEKDAY($B$3)=IFERROR(MATCH(정기주문설정!$J226,정기주문설정!$O$3:$O$9,0),0)),IF(정기주문설정!$I226="매월",DAY($B$3)=정기주문설정!$K226,FALSE()))))))</f>
        <v>0</v>
      </c>
      <c r="L229" s="5" t="str">
        <f aca="false">IF($K229=FALSE(),"",COUNTIF($K$6:$K229,TRUE()))</f>
        <v/>
      </c>
      <c r="M229" s="5" t="str">
        <f aca="false">IF($L229="","","R"&amp;$L229)</f>
        <v/>
      </c>
    </row>
    <row r="230" customFormat="false" ht="15" hidden="false" customHeight="true" outlineLevel="0" collapsed="false">
      <c r="K230" s="21" t="b">
        <f aca="false">IF(정기주문설정!$B227="",FALSE(),IF(정기주문설정!$M227="중지",FALSE(),IF(정기주문설정!$L227&lt;&gt;"",IF($B$3&lt;정기주문설정!$L227,FALSE(),IF(정기주문설정!$I227="매일",TRUE(),IF(정기주문설정!$I227="매주",(WEEKDAY($B$3)=IFERROR(MATCH(정기주문설정!$J227,정기주문설정!$O$3:$O$9,0),0)),IF(정기주문설정!$I227="격주",AND((WEEKDAY($B$3)=IFERROR(MATCH(정기주문설정!$J227,정기주문설정!$O$3:$O$9,0),0)),MOD(INT(($B$3-정기주문설정!$L227)/7),2)=0),IF(정기주문설정!$I227="매월",DAY($B$3)=정기주문설정!$K227,FALSE()))))),IF(정기주문설정!$I227="매일",TRUE(),IF(정기주문설정!$I227="매주",(WEEKDAY($B$3)=IFERROR(MATCH(정기주문설정!$J227,정기주문설정!$O$3:$O$9,0),0)),IF(정기주문설정!$I227="매월",DAY($B$3)=정기주문설정!$K227,FALSE()))))))</f>
        <v>0</v>
      </c>
      <c r="L230" s="5" t="str">
        <f aca="false">IF($K230=FALSE(),"",COUNTIF($K$6:$K230,TRUE()))</f>
        <v/>
      </c>
      <c r="M230" s="5" t="str">
        <f aca="false">IF($L230="","","R"&amp;$L230)</f>
        <v/>
      </c>
    </row>
    <row r="231" customFormat="false" ht="15" hidden="false" customHeight="true" outlineLevel="0" collapsed="false">
      <c r="K231" s="21" t="b">
        <f aca="false">IF(정기주문설정!$B228="",FALSE(),IF(정기주문설정!$M228="중지",FALSE(),IF(정기주문설정!$L228&lt;&gt;"",IF($B$3&lt;정기주문설정!$L228,FALSE(),IF(정기주문설정!$I228="매일",TRUE(),IF(정기주문설정!$I228="매주",(WEEKDAY($B$3)=IFERROR(MATCH(정기주문설정!$J228,정기주문설정!$O$3:$O$9,0),0)),IF(정기주문설정!$I228="격주",AND((WEEKDAY($B$3)=IFERROR(MATCH(정기주문설정!$J228,정기주문설정!$O$3:$O$9,0),0)),MOD(INT(($B$3-정기주문설정!$L228)/7),2)=0),IF(정기주문설정!$I228="매월",DAY($B$3)=정기주문설정!$K228,FALSE()))))),IF(정기주문설정!$I228="매일",TRUE(),IF(정기주문설정!$I228="매주",(WEEKDAY($B$3)=IFERROR(MATCH(정기주문설정!$J228,정기주문설정!$O$3:$O$9,0),0)),IF(정기주문설정!$I228="매월",DAY($B$3)=정기주문설정!$K228,FALSE()))))))</f>
        <v>0</v>
      </c>
      <c r="L231" s="5" t="str">
        <f aca="false">IF($K231=FALSE(),"",COUNTIF($K$6:$K231,TRUE()))</f>
        <v/>
      </c>
      <c r="M231" s="5" t="str">
        <f aca="false">IF($L231="","","R"&amp;$L231)</f>
        <v/>
      </c>
    </row>
    <row r="232" customFormat="false" ht="15" hidden="false" customHeight="true" outlineLevel="0" collapsed="false">
      <c r="K232" s="21" t="b">
        <f aca="false">IF(정기주문설정!$B229="",FALSE(),IF(정기주문설정!$M229="중지",FALSE(),IF(정기주문설정!$L229&lt;&gt;"",IF($B$3&lt;정기주문설정!$L229,FALSE(),IF(정기주문설정!$I229="매일",TRUE(),IF(정기주문설정!$I229="매주",(WEEKDAY($B$3)=IFERROR(MATCH(정기주문설정!$J229,정기주문설정!$O$3:$O$9,0),0)),IF(정기주문설정!$I229="격주",AND((WEEKDAY($B$3)=IFERROR(MATCH(정기주문설정!$J229,정기주문설정!$O$3:$O$9,0),0)),MOD(INT(($B$3-정기주문설정!$L229)/7),2)=0),IF(정기주문설정!$I229="매월",DAY($B$3)=정기주문설정!$K229,FALSE()))))),IF(정기주문설정!$I229="매일",TRUE(),IF(정기주문설정!$I229="매주",(WEEKDAY($B$3)=IFERROR(MATCH(정기주문설정!$J229,정기주문설정!$O$3:$O$9,0),0)),IF(정기주문설정!$I229="매월",DAY($B$3)=정기주문설정!$K229,FALSE()))))))</f>
        <v>0</v>
      </c>
      <c r="L232" s="5" t="str">
        <f aca="false">IF($K232=FALSE(),"",COUNTIF($K$6:$K232,TRUE()))</f>
        <v/>
      </c>
      <c r="M232" s="5" t="str">
        <f aca="false">IF($L232="","","R"&amp;$L232)</f>
        <v/>
      </c>
    </row>
    <row r="233" customFormat="false" ht="15" hidden="false" customHeight="true" outlineLevel="0" collapsed="false">
      <c r="K233" s="21" t="b">
        <f aca="false">IF(정기주문설정!$B230="",FALSE(),IF(정기주문설정!$M230="중지",FALSE(),IF(정기주문설정!$L230&lt;&gt;"",IF($B$3&lt;정기주문설정!$L230,FALSE(),IF(정기주문설정!$I230="매일",TRUE(),IF(정기주문설정!$I230="매주",(WEEKDAY($B$3)=IFERROR(MATCH(정기주문설정!$J230,정기주문설정!$O$3:$O$9,0),0)),IF(정기주문설정!$I230="격주",AND((WEEKDAY($B$3)=IFERROR(MATCH(정기주문설정!$J230,정기주문설정!$O$3:$O$9,0),0)),MOD(INT(($B$3-정기주문설정!$L230)/7),2)=0),IF(정기주문설정!$I230="매월",DAY($B$3)=정기주문설정!$K230,FALSE()))))),IF(정기주문설정!$I230="매일",TRUE(),IF(정기주문설정!$I230="매주",(WEEKDAY($B$3)=IFERROR(MATCH(정기주문설정!$J230,정기주문설정!$O$3:$O$9,0),0)),IF(정기주문설정!$I230="매월",DAY($B$3)=정기주문설정!$K230,FALSE()))))))</f>
        <v>0</v>
      </c>
      <c r="L233" s="5" t="str">
        <f aca="false">IF($K233=FALSE(),"",COUNTIF($K$6:$K233,TRUE()))</f>
        <v/>
      </c>
      <c r="M233" s="5" t="str">
        <f aca="false">IF($L233="","","R"&amp;$L233)</f>
        <v/>
      </c>
    </row>
    <row r="234" customFormat="false" ht="15" hidden="false" customHeight="true" outlineLevel="0" collapsed="false">
      <c r="K234" s="21" t="b">
        <f aca="false">IF(정기주문설정!$B231="",FALSE(),IF(정기주문설정!$M231="중지",FALSE(),IF(정기주문설정!$L231&lt;&gt;"",IF($B$3&lt;정기주문설정!$L231,FALSE(),IF(정기주문설정!$I231="매일",TRUE(),IF(정기주문설정!$I231="매주",(WEEKDAY($B$3)=IFERROR(MATCH(정기주문설정!$J231,정기주문설정!$O$3:$O$9,0),0)),IF(정기주문설정!$I231="격주",AND((WEEKDAY($B$3)=IFERROR(MATCH(정기주문설정!$J231,정기주문설정!$O$3:$O$9,0),0)),MOD(INT(($B$3-정기주문설정!$L231)/7),2)=0),IF(정기주문설정!$I231="매월",DAY($B$3)=정기주문설정!$K231,FALSE()))))),IF(정기주문설정!$I231="매일",TRUE(),IF(정기주문설정!$I231="매주",(WEEKDAY($B$3)=IFERROR(MATCH(정기주문설정!$J231,정기주문설정!$O$3:$O$9,0),0)),IF(정기주문설정!$I231="매월",DAY($B$3)=정기주문설정!$K231,FALSE()))))))</f>
        <v>0</v>
      </c>
      <c r="L234" s="5" t="str">
        <f aca="false">IF($K234=FALSE(),"",COUNTIF($K$6:$K234,TRUE()))</f>
        <v/>
      </c>
      <c r="M234" s="5" t="str">
        <f aca="false">IF($L234="","","R"&amp;$L234)</f>
        <v/>
      </c>
    </row>
    <row r="235" customFormat="false" ht="15" hidden="false" customHeight="true" outlineLevel="0" collapsed="false">
      <c r="K235" s="21" t="b">
        <f aca="false">IF(정기주문설정!$B232="",FALSE(),IF(정기주문설정!$M232="중지",FALSE(),IF(정기주문설정!$L232&lt;&gt;"",IF($B$3&lt;정기주문설정!$L232,FALSE(),IF(정기주문설정!$I232="매일",TRUE(),IF(정기주문설정!$I232="매주",(WEEKDAY($B$3)=IFERROR(MATCH(정기주문설정!$J232,정기주문설정!$O$3:$O$9,0),0)),IF(정기주문설정!$I232="격주",AND((WEEKDAY($B$3)=IFERROR(MATCH(정기주문설정!$J232,정기주문설정!$O$3:$O$9,0),0)),MOD(INT(($B$3-정기주문설정!$L232)/7),2)=0),IF(정기주문설정!$I232="매월",DAY($B$3)=정기주문설정!$K232,FALSE()))))),IF(정기주문설정!$I232="매일",TRUE(),IF(정기주문설정!$I232="매주",(WEEKDAY($B$3)=IFERROR(MATCH(정기주문설정!$J232,정기주문설정!$O$3:$O$9,0),0)),IF(정기주문설정!$I232="매월",DAY($B$3)=정기주문설정!$K232,FALSE()))))))</f>
        <v>0</v>
      </c>
      <c r="L235" s="5" t="str">
        <f aca="false">IF($K235=FALSE(),"",COUNTIF($K$6:$K235,TRUE()))</f>
        <v/>
      </c>
      <c r="M235" s="5" t="str">
        <f aca="false">IF($L235="","","R"&amp;$L235)</f>
        <v/>
      </c>
    </row>
    <row r="236" customFormat="false" ht="15" hidden="false" customHeight="true" outlineLevel="0" collapsed="false">
      <c r="K236" s="21" t="b">
        <f aca="false">IF(정기주문설정!$B233="",FALSE(),IF(정기주문설정!$M233="중지",FALSE(),IF(정기주문설정!$L233&lt;&gt;"",IF($B$3&lt;정기주문설정!$L233,FALSE(),IF(정기주문설정!$I233="매일",TRUE(),IF(정기주문설정!$I233="매주",(WEEKDAY($B$3)=IFERROR(MATCH(정기주문설정!$J233,정기주문설정!$O$3:$O$9,0),0)),IF(정기주문설정!$I233="격주",AND((WEEKDAY($B$3)=IFERROR(MATCH(정기주문설정!$J233,정기주문설정!$O$3:$O$9,0),0)),MOD(INT(($B$3-정기주문설정!$L233)/7),2)=0),IF(정기주문설정!$I233="매월",DAY($B$3)=정기주문설정!$K233,FALSE()))))),IF(정기주문설정!$I233="매일",TRUE(),IF(정기주문설정!$I233="매주",(WEEKDAY($B$3)=IFERROR(MATCH(정기주문설정!$J233,정기주문설정!$O$3:$O$9,0),0)),IF(정기주문설정!$I233="매월",DAY($B$3)=정기주문설정!$K233,FALSE()))))))</f>
        <v>0</v>
      </c>
      <c r="L236" s="5" t="str">
        <f aca="false">IF($K236=FALSE(),"",COUNTIF($K$6:$K236,TRUE()))</f>
        <v/>
      </c>
      <c r="M236" s="5" t="str">
        <f aca="false">IF($L236="","","R"&amp;$L236)</f>
        <v/>
      </c>
    </row>
    <row r="237" customFormat="false" ht="15" hidden="false" customHeight="true" outlineLevel="0" collapsed="false">
      <c r="K237" s="21" t="b">
        <f aca="false">IF(정기주문설정!$B234="",FALSE(),IF(정기주문설정!$M234="중지",FALSE(),IF(정기주문설정!$L234&lt;&gt;"",IF($B$3&lt;정기주문설정!$L234,FALSE(),IF(정기주문설정!$I234="매일",TRUE(),IF(정기주문설정!$I234="매주",(WEEKDAY($B$3)=IFERROR(MATCH(정기주문설정!$J234,정기주문설정!$O$3:$O$9,0),0)),IF(정기주문설정!$I234="격주",AND((WEEKDAY($B$3)=IFERROR(MATCH(정기주문설정!$J234,정기주문설정!$O$3:$O$9,0),0)),MOD(INT(($B$3-정기주문설정!$L234)/7),2)=0),IF(정기주문설정!$I234="매월",DAY($B$3)=정기주문설정!$K234,FALSE()))))),IF(정기주문설정!$I234="매일",TRUE(),IF(정기주문설정!$I234="매주",(WEEKDAY($B$3)=IFERROR(MATCH(정기주문설정!$J234,정기주문설정!$O$3:$O$9,0),0)),IF(정기주문설정!$I234="매월",DAY($B$3)=정기주문설정!$K234,FALSE()))))))</f>
        <v>0</v>
      </c>
      <c r="L237" s="5" t="str">
        <f aca="false">IF($K237=FALSE(),"",COUNTIF($K$6:$K237,TRUE()))</f>
        <v/>
      </c>
      <c r="M237" s="5" t="str">
        <f aca="false">IF($L237="","","R"&amp;$L237)</f>
        <v/>
      </c>
    </row>
    <row r="238" customFormat="false" ht="15" hidden="false" customHeight="true" outlineLevel="0" collapsed="false">
      <c r="K238" s="21" t="b">
        <f aca="false">IF(정기주문설정!$B235="",FALSE(),IF(정기주문설정!$M235="중지",FALSE(),IF(정기주문설정!$L235&lt;&gt;"",IF($B$3&lt;정기주문설정!$L235,FALSE(),IF(정기주문설정!$I235="매일",TRUE(),IF(정기주문설정!$I235="매주",(WEEKDAY($B$3)=IFERROR(MATCH(정기주문설정!$J235,정기주문설정!$O$3:$O$9,0),0)),IF(정기주문설정!$I235="격주",AND((WEEKDAY($B$3)=IFERROR(MATCH(정기주문설정!$J235,정기주문설정!$O$3:$O$9,0),0)),MOD(INT(($B$3-정기주문설정!$L235)/7),2)=0),IF(정기주문설정!$I235="매월",DAY($B$3)=정기주문설정!$K235,FALSE()))))),IF(정기주문설정!$I235="매일",TRUE(),IF(정기주문설정!$I235="매주",(WEEKDAY($B$3)=IFERROR(MATCH(정기주문설정!$J235,정기주문설정!$O$3:$O$9,0),0)),IF(정기주문설정!$I235="매월",DAY($B$3)=정기주문설정!$K235,FALSE()))))))</f>
        <v>0</v>
      </c>
      <c r="L238" s="5" t="str">
        <f aca="false">IF($K238=FALSE(),"",COUNTIF($K$6:$K238,TRUE()))</f>
        <v/>
      </c>
      <c r="M238" s="5" t="str">
        <f aca="false">IF($L238="","","R"&amp;$L238)</f>
        <v/>
      </c>
    </row>
    <row r="239" customFormat="false" ht="15" hidden="false" customHeight="true" outlineLevel="0" collapsed="false">
      <c r="K239" s="21" t="b">
        <f aca="false">IF(정기주문설정!$B236="",FALSE(),IF(정기주문설정!$M236="중지",FALSE(),IF(정기주문설정!$L236&lt;&gt;"",IF($B$3&lt;정기주문설정!$L236,FALSE(),IF(정기주문설정!$I236="매일",TRUE(),IF(정기주문설정!$I236="매주",(WEEKDAY($B$3)=IFERROR(MATCH(정기주문설정!$J236,정기주문설정!$O$3:$O$9,0),0)),IF(정기주문설정!$I236="격주",AND((WEEKDAY($B$3)=IFERROR(MATCH(정기주문설정!$J236,정기주문설정!$O$3:$O$9,0),0)),MOD(INT(($B$3-정기주문설정!$L236)/7),2)=0),IF(정기주문설정!$I236="매월",DAY($B$3)=정기주문설정!$K236,FALSE()))))),IF(정기주문설정!$I236="매일",TRUE(),IF(정기주문설정!$I236="매주",(WEEKDAY($B$3)=IFERROR(MATCH(정기주문설정!$J236,정기주문설정!$O$3:$O$9,0),0)),IF(정기주문설정!$I236="매월",DAY($B$3)=정기주문설정!$K236,FALSE()))))))</f>
        <v>0</v>
      </c>
      <c r="L239" s="5" t="str">
        <f aca="false">IF($K239=FALSE(),"",COUNTIF($K$6:$K239,TRUE()))</f>
        <v/>
      </c>
      <c r="M239" s="5" t="str">
        <f aca="false">IF($L239="","","R"&amp;$L239)</f>
        <v/>
      </c>
    </row>
    <row r="240" customFormat="false" ht="15" hidden="false" customHeight="true" outlineLevel="0" collapsed="false">
      <c r="K240" s="21" t="b">
        <f aca="false">IF(정기주문설정!$B237="",FALSE(),IF(정기주문설정!$M237="중지",FALSE(),IF(정기주문설정!$L237&lt;&gt;"",IF($B$3&lt;정기주문설정!$L237,FALSE(),IF(정기주문설정!$I237="매일",TRUE(),IF(정기주문설정!$I237="매주",(WEEKDAY($B$3)=IFERROR(MATCH(정기주문설정!$J237,정기주문설정!$O$3:$O$9,0),0)),IF(정기주문설정!$I237="격주",AND((WEEKDAY($B$3)=IFERROR(MATCH(정기주문설정!$J237,정기주문설정!$O$3:$O$9,0),0)),MOD(INT(($B$3-정기주문설정!$L237)/7),2)=0),IF(정기주문설정!$I237="매월",DAY($B$3)=정기주문설정!$K237,FALSE()))))),IF(정기주문설정!$I237="매일",TRUE(),IF(정기주문설정!$I237="매주",(WEEKDAY($B$3)=IFERROR(MATCH(정기주문설정!$J237,정기주문설정!$O$3:$O$9,0),0)),IF(정기주문설정!$I237="매월",DAY($B$3)=정기주문설정!$K237,FALSE()))))))</f>
        <v>0</v>
      </c>
      <c r="L240" s="5" t="str">
        <f aca="false">IF($K240=FALSE(),"",COUNTIF($K$6:$K240,TRUE()))</f>
        <v/>
      </c>
      <c r="M240" s="5" t="str">
        <f aca="false">IF($L240="","","R"&amp;$L240)</f>
        <v/>
      </c>
    </row>
    <row r="241" customFormat="false" ht="15" hidden="false" customHeight="true" outlineLevel="0" collapsed="false">
      <c r="K241" s="21" t="b">
        <f aca="false">IF(정기주문설정!$B238="",FALSE(),IF(정기주문설정!$M238="중지",FALSE(),IF(정기주문설정!$L238&lt;&gt;"",IF($B$3&lt;정기주문설정!$L238,FALSE(),IF(정기주문설정!$I238="매일",TRUE(),IF(정기주문설정!$I238="매주",(WEEKDAY($B$3)=IFERROR(MATCH(정기주문설정!$J238,정기주문설정!$O$3:$O$9,0),0)),IF(정기주문설정!$I238="격주",AND((WEEKDAY($B$3)=IFERROR(MATCH(정기주문설정!$J238,정기주문설정!$O$3:$O$9,0),0)),MOD(INT(($B$3-정기주문설정!$L238)/7),2)=0),IF(정기주문설정!$I238="매월",DAY($B$3)=정기주문설정!$K238,FALSE()))))),IF(정기주문설정!$I238="매일",TRUE(),IF(정기주문설정!$I238="매주",(WEEKDAY($B$3)=IFERROR(MATCH(정기주문설정!$J238,정기주문설정!$O$3:$O$9,0),0)),IF(정기주문설정!$I238="매월",DAY($B$3)=정기주문설정!$K238,FALSE()))))))</f>
        <v>0</v>
      </c>
      <c r="L241" s="5" t="str">
        <f aca="false">IF($K241=FALSE(),"",COUNTIF($K$6:$K241,TRUE()))</f>
        <v/>
      </c>
      <c r="M241" s="5" t="str">
        <f aca="false">IF($L241="","","R"&amp;$L241)</f>
        <v/>
      </c>
    </row>
    <row r="242" customFormat="false" ht="15" hidden="false" customHeight="true" outlineLevel="0" collapsed="false">
      <c r="K242" s="21" t="b">
        <f aca="false">IF(정기주문설정!$B239="",FALSE(),IF(정기주문설정!$M239="중지",FALSE(),IF(정기주문설정!$L239&lt;&gt;"",IF($B$3&lt;정기주문설정!$L239,FALSE(),IF(정기주문설정!$I239="매일",TRUE(),IF(정기주문설정!$I239="매주",(WEEKDAY($B$3)=IFERROR(MATCH(정기주문설정!$J239,정기주문설정!$O$3:$O$9,0),0)),IF(정기주문설정!$I239="격주",AND((WEEKDAY($B$3)=IFERROR(MATCH(정기주문설정!$J239,정기주문설정!$O$3:$O$9,0),0)),MOD(INT(($B$3-정기주문설정!$L239)/7),2)=0),IF(정기주문설정!$I239="매월",DAY($B$3)=정기주문설정!$K239,FALSE()))))),IF(정기주문설정!$I239="매일",TRUE(),IF(정기주문설정!$I239="매주",(WEEKDAY($B$3)=IFERROR(MATCH(정기주문설정!$J239,정기주문설정!$O$3:$O$9,0),0)),IF(정기주문설정!$I239="매월",DAY($B$3)=정기주문설정!$K239,FALSE()))))))</f>
        <v>0</v>
      </c>
      <c r="L242" s="5" t="str">
        <f aca="false">IF($K242=FALSE(),"",COUNTIF($K$6:$K242,TRUE()))</f>
        <v/>
      </c>
      <c r="M242" s="5" t="str">
        <f aca="false">IF($L242="","","R"&amp;$L242)</f>
        <v/>
      </c>
    </row>
    <row r="243" customFormat="false" ht="15" hidden="false" customHeight="true" outlineLevel="0" collapsed="false">
      <c r="K243" s="21" t="b">
        <f aca="false">IF(정기주문설정!$B240="",FALSE(),IF(정기주문설정!$M240="중지",FALSE(),IF(정기주문설정!$L240&lt;&gt;"",IF($B$3&lt;정기주문설정!$L240,FALSE(),IF(정기주문설정!$I240="매일",TRUE(),IF(정기주문설정!$I240="매주",(WEEKDAY($B$3)=IFERROR(MATCH(정기주문설정!$J240,정기주문설정!$O$3:$O$9,0),0)),IF(정기주문설정!$I240="격주",AND((WEEKDAY($B$3)=IFERROR(MATCH(정기주문설정!$J240,정기주문설정!$O$3:$O$9,0),0)),MOD(INT(($B$3-정기주문설정!$L240)/7),2)=0),IF(정기주문설정!$I240="매월",DAY($B$3)=정기주문설정!$K240,FALSE()))))),IF(정기주문설정!$I240="매일",TRUE(),IF(정기주문설정!$I240="매주",(WEEKDAY($B$3)=IFERROR(MATCH(정기주문설정!$J240,정기주문설정!$O$3:$O$9,0),0)),IF(정기주문설정!$I240="매월",DAY($B$3)=정기주문설정!$K240,FALSE()))))))</f>
        <v>0</v>
      </c>
      <c r="L243" s="5" t="str">
        <f aca="false">IF($K243=FALSE(),"",COUNTIF($K$6:$K243,TRUE()))</f>
        <v/>
      </c>
      <c r="M243" s="5" t="str">
        <f aca="false">IF($L243="","","R"&amp;$L243)</f>
        <v/>
      </c>
    </row>
    <row r="244" customFormat="false" ht="15" hidden="false" customHeight="true" outlineLevel="0" collapsed="false">
      <c r="K244" s="21" t="b">
        <f aca="false">IF(정기주문설정!$B241="",FALSE(),IF(정기주문설정!$M241="중지",FALSE(),IF(정기주문설정!$L241&lt;&gt;"",IF($B$3&lt;정기주문설정!$L241,FALSE(),IF(정기주문설정!$I241="매일",TRUE(),IF(정기주문설정!$I241="매주",(WEEKDAY($B$3)=IFERROR(MATCH(정기주문설정!$J241,정기주문설정!$O$3:$O$9,0),0)),IF(정기주문설정!$I241="격주",AND((WEEKDAY($B$3)=IFERROR(MATCH(정기주문설정!$J241,정기주문설정!$O$3:$O$9,0),0)),MOD(INT(($B$3-정기주문설정!$L241)/7),2)=0),IF(정기주문설정!$I241="매월",DAY($B$3)=정기주문설정!$K241,FALSE()))))),IF(정기주문설정!$I241="매일",TRUE(),IF(정기주문설정!$I241="매주",(WEEKDAY($B$3)=IFERROR(MATCH(정기주문설정!$J241,정기주문설정!$O$3:$O$9,0),0)),IF(정기주문설정!$I241="매월",DAY($B$3)=정기주문설정!$K241,FALSE()))))))</f>
        <v>0</v>
      </c>
      <c r="L244" s="5" t="str">
        <f aca="false">IF($K244=FALSE(),"",COUNTIF($K$6:$K244,TRUE()))</f>
        <v/>
      </c>
      <c r="M244" s="5" t="str">
        <f aca="false">IF($L244="","","R"&amp;$L244)</f>
        <v/>
      </c>
    </row>
    <row r="245" customFormat="false" ht="15" hidden="false" customHeight="true" outlineLevel="0" collapsed="false">
      <c r="K245" s="21" t="b">
        <f aca="false">IF(정기주문설정!$B242="",FALSE(),IF(정기주문설정!$M242="중지",FALSE(),IF(정기주문설정!$L242&lt;&gt;"",IF($B$3&lt;정기주문설정!$L242,FALSE(),IF(정기주문설정!$I242="매일",TRUE(),IF(정기주문설정!$I242="매주",(WEEKDAY($B$3)=IFERROR(MATCH(정기주문설정!$J242,정기주문설정!$O$3:$O$9,0),0)),IF(정기주문설정!$I242="격주",AND((WEEKDAY($B$3)=IFERROR(MATCH(정기주문설정!$J242,정기주문설정!$O$3:$O$9,0),0)),MOD(INT(($B$3-정기주문설정!$L242)/7),2)=0),IF(정기주문설정!$I242="매월",DAY($B$3)=정기주문설정!$K242,FALSE()))))),IF(정기주문설정!$I242="매일",TRUE(),IF(정기주문설정!$I242="매주",(WEEKDAY($B$3)=IFERROR(MATCH(정기주문설정!$J242,정기주문설정!$O$3:$O$9,0),0)),IF(정기주문설정!$I242="매월",DAY($B$3)=정기주문설정!$K242,FALSE()))))))</f>
        <v>0</v>
      </c>
      <c r="L245" s="5" t="str">
        <f aca="false">IF($K245=FALSE(),"",COUNTIF($K$6:$K245,TRUE()))</f>
        <v/>
      </c>
      <c r="M245" s="5" t="str">
        <f aca="false">IF($L245="","","R"&amp;$L245)</f>
        <v/>
      </c>
    </row>
    <row r="246" customFormat="false" ht="15" hidden="false" customHeight="true" outlineLevel="0" collapsed="false">
      <c r="K246" s="21" t="b">
        <f aca="false">IF(정기주문설정!$B243="",FALSE(),IF(정기주문설정!$M243="중지",FALSE(),IF(정기주문설정!$L243&lt;&gt;"",IF($B$3&lt;정기주문설정!$L243,FALSE(),IF(정기주문설정!$I243="매일",TRUE(),IF(정기주문설정!$I243="매주",(WEEKDAY($B$3)=IFERROR(MATCH(정기주문설정!$J243,정기주문설정!$O$3:$O$9,0),0)),IF(정기주문설정!$I243="격주",AND((WEEKDAY($B$3)=IFERROR(MATCH(정기주문설정!$J243,정기주문설정!$O$3:$O$9,0),0)),MOD(INT(($B$3-정기주문설정!$L243)/7),2)=0),IF(정기주문설정!$I243="매월",DAY($B$3)=정기주문설정!$K243,FALSE()))))),IF(정기주문설정!$I243="매일",TRUE(),IF(정기주문설정!$I243="매주",(WEEKDAY($B$3)=IFERROR(MATCH(정기주문설정!$J243,정기주문설정!$O$3:$O$9,0),0)),IF(정기주문설정!$I243="매월",DAY($B$3)=정기주문설정!$K243,FALSE()))))))</f>
        <v>0</v>
      </c>
      <c r="L246" s="5" t="str">
        <f aca="false">IF($K246=FALSE(),"",COUNTIF($K$6:$K246,TRUE()))</f>
        <v/>
      </c>
      <c r="M246" s="5" t="str">
        <f aca="false">IF($L246="","","R"&amp;$L246)</f>
        <v/>
      </c>
    </row>
    <row r="247" customFormat="false" ht="15" hidden="false" customHeight="true" outlineLevel="0" collapsed="false">
      <c r="K247" s="21" t="b">
        <f aca="false">IF(정기주문설정!$B244="",FALSE(),IF(정기주문설정!$M244="중지",FALSE(),IF(정기주문설정!$L244&lt;&gt;"",IF($B$3&lt;정기주문설정!$L244,FALSE(),IF(정기주문설정!$I244="매일",TRUE(),IF(정기주문설정!$I244="매주",(WEEKDAY($B$3)=IFERROR(MATCH(정기주문설정!$J244,정기주문설정!$O$3:$O$9,0),0)),IF(정기주문설정!$I244="격주",AND((WEEKDAY($B$3)=IFERROR(MATCH(정기주문설정!$J244,정기주문설정!$O$3:$O$9,0),0)),MOD(INT(($B$3-정기주문설정!$L244)/7),2)=0),IF(정기주문설정!$I244="매월",DAY($B$3)=정기주문설정!$K244,FALSE()))))),IF(정기주문설정!$I244="매일",TRUE(),IF(정기주문설정!$I244="매주",(WEEKDAY($B$3)=IFERROR(MATCH(정기주문설정!$J244,정기주문설정!$O$3:$O$9,0),0)),IF(정기주문설정!$I244="매월",DAY($B$3)=정기주문설정!$K244,FALSE()))))))</f>
        <v>0</v>
      </c>
      <c r="L247" s="5" t="str">
        <f aca="false">IF($K247=FALSE(),"",COUNTIF($K$6:$K247,TRUE()))</f>
        <v/>
      </c>
      <c r="M247" s="5" t="str">
        <f aca="false">IF($L247="","","R"&amp;$L247)</f>
        <v/>
      </c>
    </row>
    <row r="248" customFormat="false" ht="15" hidden="false" customHeight="true" outlineLevel="0" collapsed="false">
      <c r="K248" s="21" t="b">
        <f aca="false">IF(정기주문설정!$B245="",FALSE(),IF(정기주문설정!$M245="중지",FALSE(),IF(정기주문설정!$L245&lt;&gt;"",IF($B$3&lt;정기주문설정!$L245,FALSE(),IF(정기주문설정!$I245="매일",TRUE(),IF(정기주문설정!$I245="매주",(WEEKDAY($B$3)=IFERROR(MATCH(정기주문설정!$J245,정기주문설정!$O$3:$O$9,0),0)),IF(정기주문설정!$I245="격주",AND((WEEKDAY($B$3)=IFERROR(MATCH(정기주문설정!$J245,정기주문설정!$O$3:$O$9,0),0)),MOD(INT(($B$3-정기주문설정!$L245)/7),2)=0),IF(정기주문설정!$I245="매월",DAY($B$3)=정기주문설정!$K245,FALSE()))))),IF(정기주문설정!$I245="매일",TRUE(),IF(정기주문설정!$I245="매주",(WEEKDAY($B$3)=IFERROR(MATCH(정기주문설정!$J245,정기주문설정!$O$3:$O$9,0),0)),IF(정기주문설정!$I245="매월",DAY($B$3)=정기주문설정!$K245,FALSE()))))))</f>
        <v>0</v>
      </c>
      <c r="L248" s="5" t="str">
        <f aca="false">IF($K248=FALSE(),"",COUNTIF($K$6:$K248,TRUE()))</f>
        <v/>
      </c>
      <c r="M248" s="5" t="str">
        <f aca="false">IF($L248="","","R"&amp;$L248)</f>
        <v/>
      </c>
    </row>
    <row r="249" customFormat="false" ht="15" hidden="false" customHeight="true" outlineLevel="0" collapsed="false">
      <c r="K249" s="21" t="b">
        <f aca="false">IF(정기주문설정!$B246="",FALSE(),IF(정기주문설정!$M246="중지",FALSE(),IF(정기주문설정!$L246&lt;&gt;"",IF($B$3&lt;정기주문설정!$L246,FALSE(),IF(정기주문설정!$I246="매일",TRUE(),IF(정기주문설정!$I246="매주",(WEEKDAY($B$3)=IFERROR(MATCH(정기주문설정!$J246,정기주문설정!$O$3:$O$9,0),0)),IF(정기주문설정!$I246="격주",AND((WEEKDAY($B$3)=IFERROR(MATCH(정기주문설정!$J246,정기주문설정!$O$3:$O$9,0),0)),MOD(INT(($B$3-정기주문설정!$L246)/7),2)=0),IF(정기주문설정!$I246="매월",DAY($B$3)=정기주문설정!$K246,FALSE()))))),IF(정기주문설정!$I246="매일",TRUE(),IF(정기주문설정!$I246="매주",(WEEKDAY($B$3)=IFERROR(MATCH(정기주문설정!$J246,정기주문설정!$O$3:$O$9,0),0)),IF(정기주문설정!$I246="매월",DAY($B$3)=정기주문설정!$K246,FALSE()))))))</f>
        <v>0</v>
      </c>
      <c r="L249" s="5" t="str">
        <f aca="false">IF($K249=FALSE(),"",COUNTIF($K$6:$K249,TRUE()))</f>
        <v/>
      </c>
      <c r="M249" s="5" t="str">
        <f aca="false">IF($L249="","","R"&amp;$L249)</f>
        <v/>
      </c>
    </row>
    <row r="250" customFormat="false" ht="15" hidden="false" customHeight="true" outlineLevel="0" collapsed="false">
      <c r="K250" s="21" t="b">
        <f aca="false">IF(정기주문설정!$B247="",FALSE(),IF(정기주문설정!$M247="중지",FALSE(),IF(정기주문설정!$L247&lt;&gt;"",IF($B$3&lt;정기주문설정!$L247,FALSE(),IF(정기주문설정!$I247="매일",TRUE(),IF(정기주문설정!$I247="매주",(WEEKDAY($B$3)=IFERROR(MATCH(정기주문설정!$J247,정기주문설정!$O$3:$O$9,0),0)),IF(정기주문설정!$I247="격주",AND((WEEKDAY($B$3)=IFERROR(MATCH(정기주문설정!$J247,정기주문설정!$O$3:$O$9,0),0)),MOD(INT(($B$3-정기주문설정!$L247)/7),2)=0),IF(정기주문설정!$I247="매월",DAY($B$3)=정기주문설정!$K247,FALSE()))))),IF(정기주문설정!$I247="매일",TRUE(),IF(정기주문설정!$I247="매주",(WEEKDAY($B$3)=IFERROR(MATCH(정기주문설정!$J247,정기주문설정!$O$3:$O$9,0),0)),IF(정기주문설정!$I247="매월",DAY($B$3)=정기주문설정!$K247,FALSE()))))))</f>
        <v>0</v>
      </c>
      <c r="L250" s="5" t="str">
        <f aca="false">IF($K250=FALSE(),"",COUNTIF($K$6:$K250,TRUE()))</f>
        <v/>
      </c>
      <c r="M250" s="5" t="str">
        <f aca="false">IF($L250="","","R"&amp;$L250)</f>
        <v/>
      </c>
    </row>
    <row r="251" customFormat="false" ht="15" hidden="false" customHeight="true" outlineLevel="0" collapsed="false">
      <c r="K251" s="21" t="b">
        <f aca="false">IF(정기주문설정!$B248="",FALSE(),IF(정기주문설정!$M248="중지",FALSE(),IF(정기주문설정!$L248&lt;&gt;"",IF($B$3&lt;정기주문설정!$L248,FALSE(),IF(정기주문설정!$I248="매일",TRUE(),IF(정기주문설정!$I248="매주",(WEEKDAY($B$3)=IFERROR(MATCH(정기주문설정!$J248,정기주문설정!$O$3:$O$9,0),0)),IF(정기주문설정!$I248="격주",AND((WEEKDAY($B$3)=IFERROR(MATCH(정기주문설정!$J248,정기주문설정!$O$3:$O$9,0),0)),MOD(INT(($B$3-정기주문설정!$L248)/7),2)=0),IF(정기주문설정!$I248="매월",DAY($B$3)=정기주문설정!$K248,FALSE()))))),IF(정기주문설정!$I248="매일",TRUE(),IF(정기주문설정!$I248="매주",(WEEKDAY($B$3)=IFERROR(MATCH(정기주문설정!$J248,정기주문설정!$O$3:$O$9,0),0)),IF(정기주문설정!$I248="매월",DAY($B$3)=정기주문설정!$K248,FALSE()))))))</f>
        <v>0</v>
      </c>
      <c r="L251" s="5" t="str">
        <f aca="false">IF($K251=FALSE(),"",COUNTIF($K$6:$K251,TRUE()))</f>
        <v/>
      </c>
      <c r="M251" s="5" t="str">
        <f aca="false">IF($L251="","","R"&amp;$L251)</f>
        <v/>
      </c>
    </row>
    <row r="252" customFormat="false" ht="15" hidden="false" customHeight="true" outlineLevel="0" collapsed="false">
      <c r="K252" s="21" t="b">
        <f aca="false">IF(정기주문설정!$B249="",FALSE(),IF(정기주문설정!$M249="중지",FALSE(),IF(정기주문설정!$L249&lt;&gt;"",IF($B$3&lt;정기주문설정!$L249,FALSE(),IF(정기주문설정!$I249="매일",TRUE(),IF(정기주문설정!$I249="매주",(WEEKDAY($B$3)=IFERROR(MATCH(정기주문설정!$J249,정기주문설정!$O$3:$O$9,0),0)),IF(정기주문설정!$I249="격주",AND((WEEKDAY($B$3)=IFERROR(MATCH(정기주문설정!$J249,정기주문설정!$O$3:$O$9,0),0)),MOD(INT(($B$3-정기주문설정!$L249)/7),2)=0),IF(정기주문설정!$I249="매월",DAY($B$3)=정기주문설정!$K249,FALSE()))))),IF(정기주문설정!$I249="매일",TRUE(),IF(정기주문설정!$I249="매주",(WEEKDAY($B$3)=IFERROR(MATCH(정기주문설정!$J249,정기주문설정!$O$3:$O$9,0),0)),IF(정기주문설정!$I249="매월",DAY($B$3)=정기주문설정!$K249,FALSE()))))))</f>
        <v>0</v>
      </c>
      <c r="L252" s="5" t="str">
        <f aca="false">IF($K252=FALSE(),"",COUNTIF($K$6:$K252,TRUE()))</f>
        <v/>
      </c>
      <c r="M252" s="5" t="str">
        <f aca="false">IF($L252="","","R"&amp;$L252)</f>
        <v/>
      </c>
    </row>
    <row r="253" customFormat="false" ht="15" hidden="false" customHeight="true" outlineLevel="0" collapsed="false">
      <c r="K253" s="21" t="b">
        <f aca="false">IF(정기주문설정!$B250="",FALSE(),IF(정기주문설정!$M250="중지",FALSE(),IF(정기주문설정!$L250&lt;&gt;"",IF($B$3&lt;정기주문설정!$L250,FALSE(),IF(정기주문설정!$I250="매일",TRUE(),IF(정기주문설정!$I250="매주",(WEEKDAY($B$3)=IFERROR(MATCH(정기주문설정!$J250,정기주문설정!$O$3:$O$9,0),0)),IF(정기주문설정!$I250="격주",AND((WEEKDAY($B$3)=IFERROR(MATCH(정기주문설정!$J250,정기주문설정!$O$3:$O$9,0),0)),MOD(INT(($B$3-정기주문설정!$L250)/7),2)=0),IF(정기주문설정!$I250="매월",DAY($B$3)=정기주문설정!$K250,FALSE()))))),IF(정기주문설정!$I250="매일",TRUE(),IF(정기주문설정!$I250="매주",(WEEKDAY($B$3)=IFERROR(MATCH(정기주문설정!$J250,정기주문설정!$O$3:$O$9,0),0)),IF(정기주문설정!$I250="매월",DAY($B$3)=정기주문설정!$K250,FALSE()))))))</f>
        <v>0</v>
      </c>
      <c r="L253" s="5" t="str">
        <f aca="false">IF($K253=FALSE(),"",COUNTIF($K$6:$K253,TRUE()))</f>
        <v/>
      </c>
      <c r="M253" s="5" t="str">
        <f aca="false">IF($L253="","","R"&amp;$L253)</f>
        <v/>
      </c>
    </row>
    <row r="254" customFormat="false" ht="15" hidden="false" customHeight="true" outlineLevel="0" collapsed="false">
      <c r="K254" s="21" t="b">
        <f aca="false">IF(정기주문설정!$B251="",FALSE(),IF(정기주문설정!$M251="중지",FALSE(),IF(정기주문설정!$L251&lt;&gt;"",IF($B$3&lt;정기주문설정!$L251,FALSE(),IF(정기주문설정!$I251="매일",TRUE(),IF(정기주문설정!$I251="매주",(WEEKDAY($B$3)=IFERROR(MATCH(정기주문설정!$J251,정기주문설정!$O$3:$O$9,0),0)),IF(정기주문설정!$I251="격주",AND((WEEKDAY($B$3)=IFERROR(MATCH(정기주문설정!$J251,정기주문설정!$O$3:$O$9,0),0)),MOD(INT(($B$3-정기주문설정!$L251)/7),2)=0),IF(정기주문설정!$I251="매월",DAY($B$3)=정기주문설정!$K251,FALSE()))))),IF(정기주문설정!$I251="매일",TRUE(),IF(정기주문설정!$I251="매주",(WEEKDAY($B$3)=IFERROR(MATCH(정기주문설정!$J251,정기주문설정!$O$3:$O$9,0),0)),IF(정기주문설정!$I251="매월",DAY($B$3)=정기주문설정!$K251,FALSE()))))))</f>
        <v>0</v>
      </c>
      <c r="L254" s="5" t="str">
        <f aca="false">IF($K254=FALSE(),"",COUNTIF($K$6:$K254,TRUE()))</f>
        <v/>
      </c>
      <c r="M254" s="5" t="str">
        <f aca="false">IF($L254="","","R"&amp;$L254)</f>
        <v/>
      </c>
    </row>
    <row r="255" customFormat="false" ht="15" hidden="false" customHeight="true" outlineLevel="0" collapsed="false">
      <c r="K255" s="21" t="b">
        <f aca="false">IF(정기주문설정!$B252="",FALSE(),IF(정기주문설정!$M252="중지",FALSE(),IF(정기주문설정!$L252&lt;&gt;"",IF($B$3&lt;정기주문설정!$L252,FALSE(),IF(정기주문설정!$I252="매일",TRUE(),IF(정기주문설정!$I252="매주",(WEEKDAY($B$3)=IFERROR(MATCH(정기주문설정!$J252,정기주문설정!$O$3:$O$9,0),0)),IF(정기주문설정!$I252="격주",AND((WEEKDAY($B$3)=IFERROR(MATCH(정기주문설정!$J252,정기주문설정!$O$3:$O$9,0),0)),MOD(INT(($B$3-정기주문설정!$L252)/7),2)=0),IF(정기주문설정!$I252="매월",DAY($B$3)=정기주문설정!$K252,FALSE()))))),IF(정기주문설정!$I252="매일",TRUE(),IF(정기주문설정!$I252="매주",(WEEKDAY($B$3)=IFERROR(MATCH(정기주문설정!$J252,정기주문설정!$O$3:$O$9,0),0)),IF(정기주문설정!$I252="매월",DAY($B$3)=정기주문설정!$K252,FALSE()))))))</f>
        <v>0</v>
      </c>
      <c r="L255" s="5" t="str">
        <f aca="false">IF($K255=FALSE(),"",COUNTIF($K$6:$K255,TRUE()))</f>
        <v/>
      </c>
      <c r="M255" s="5" t="str">
        <f aca="false">IF($L255="","","R"&amp;$L255)</f>
        <v/>
      </c>
    </row>
    <row r="256" customFormat="false" ht="15" hidden="false" customHeight="true" outlineLevel="0" collapsed="false">
      <c r="K256" s="21" t="b">
        <f aca="false">IF(정기주문설정!$B253="",FALSE(),IF(정기주문설정!$M253="중지",FALSE(),IF(정기주문설정!$L253&lt;&gt;"",IF($B$3&lt;정기주문설정!$L253,FALSE(),IF(정기주문설정!$I253="매일",TRUE(),IF(정기주문설정!$I253="매주",(WEEKDAY($B$3)=IFERROR(MATCH(정기주문설정!$J253,정기주문설정!$O$3:$O$9,0),0)),IF(정기주문설정!$I253="격주",AND((WEEKDAY($B$3)=IFERROR(MATCH(정기주문설정!$J253,정기주문설정!$O$3:$O$9,0),0)),MOD(INT(($B$3-정기주문설정!$L253)/7),2)=0),IF(정기주문설정!$I253="매월",DAY($B$3)=정기주문설정!$K253,FALSE()))))),IF(정기주문설정!$I253="매일",TRUE(),IF(정기주문설정!$I253="매주",(WEEKDAY($B$3)=IFERROR(MATCH(정기주문설정!$J253,정기주문설정!$O$3:$O$9,0),0)),IF(정기주문설정!$I253="매월",DAY($B$3)=정기주문설정!$K253,FALSE()))))))</f>
        <v>0</v>
      </c>
      <c r="L256" s="5" t="str">
        <f aca="false">IF($K256=FALSE(),"",COUNTIF($K$6:$K256,TRUE()))</f>
        <v/>
      </c>
      <c r="M256" s="5" t="str">
        <f aca="false">IF($L256="","","R"&amp;$L256)</f>
        <v/>
      </c>
    </row>
    <row r="257" customFormat="false" ht="15" hidden="false" customHeight="true" outlineLevel="0" collapsed="false">
      <c r="K257" s="21" t="b">
        <f aca="false">IF(정기주문설정!$B254="",FALSE(),IF(정기주문설정!$M254="중지",FALSE(),IF(정기주문설정!$L254&lt;&gt;"",IF($B$3&lt;정기주문설정!$L254,FALSE(),IF(정기주문설정!$I254="매일",TRUE(),IF(정기주문설정!$I254="매주",(WEEKDAY($B$3)=IFERROR(MATCH(정기주문설정!$J254,정기주문설정!$O$3:$O$9,0),0)),IF(정기주문설정!$I254="격주",AND((WEEKDAY($B$3)=IFERROR(MATCH(정기주문설정!$J254,정기주문설정!$O$3:$O$9,0),0)),MOD(INT(($B$3-정기주문설정!$L254)/7),2)=0),IF(정기주문설정!$I254="매월",DAY($B$3)=정기주문설정!$K254,FALSE()))))),IF(정기주문설정!$I254="매일",TRUE(),IF(정기주문설정!$I254="매주",(WEEKDAY($B$3)=IFERROR(MATCH(정기주문설정!$J254,정기주문설정!$O$3:$O$9,0),0)),IF(정기주문설정!$I254="매월",DAY($B$3)=정기주문설정!$K254,FALSE()))))))</f>
        <v>0</v>
      </c>
      <c r="L257" s="5" t="str">
        <f aca="false">IF($K257=FALSE(),"",COUNTIF($K$6:$K257,TRUE()))</f>
        <v/>
      </c>
      <c r="M257" s="5" t="str">
        <f aca="false">IF($L257="","","R"&amp;$L257)</f>
        <v/>
      </c>
    </row>
    <row r="258" customFormat="false" ht="15" hidden="false" customHeight="true" outlineLevel="0" collapsed="false">
      <c r="K258" s="21" t="b">
        <f aca="false">IF(정기주문설정!$B255="",FALSE(),IF(정기주문설정!$M255="중지",FALSE(),IF(정기주문설정!$L255&lt;&gt;"",IF($B$3&lt;정기주문설정!$L255,FALSE(),IF(정기주문설정!$I255="매일",TRUE(),IF(정기주문설정!$I255="매주",(WEEKDAY($B$3)=IFERROR(MATCH(정기주문설정!$J255,정기주문설정!$O$3:$O$9,0),0)),IF(정기주문설정!$I255="격주",AND((WEEKDAY($B$3)=IFERROR(MATCH(정기주문설정!$J255,정기주문설정!$O$3:$O$9,0),0)),MOD(INT(($B$3-정기주문설정!$L255)/7),2)=0),IF(정기주문설정!$I255="매월",DAY($B$3)=정기주문설정!$K255,FALSE()))))),IF(정기주문설정!$I255="매일",TRUE(),IF(정기주문설정!$I255="매주",(WEEKDAY($B$3)=IFERROR(MATCH(정기주문설정!$J255,정기주문설정!$O$3:$O$9,0),0)),IF(정기주문설정!$I255="매월",DAY($B$3)=정기주문설정!$K255,FALSE()))))))</f>
        <v>0</v>
      </c>
      <c r="L258" s="5" t="str">
        <f aca="false">IF($K258=FALSE(),"",COUNTIF($K$6:$K258,TRUE()))</f>
        <v/>
      </c>
      <c r="M258" s="5" t="str">
        <f aca="false">IF($L258="","","R"&amp;$L258)</f>
        <v/>
      </c>
    </row>
    <row r="259" customFormat="false" ht="15" hidden="false" customHeight="true" outlineLevel="0" collapsed="false">
      <c r="K259" s="21" t="b">
        <f aca="false">IF(정기주문설정!$B256="",FALSE(),IF(정기주문설정!$M256="중지",FALSE(),IF(정기주문설정!$L256&lt;&gt;"",IF($B$3&lt;정기주문설정!$L256,FALSE(),IF(정기주문설정!$I256="매일",TRUE(),IF(정기주문설정!$I256="매주",(WEEKDAY($B$3)=IFERROR(MATCH(정기주문설정!$J256,정기주문설정!$O$3:$O$9,0),0)),IF(정기주문설정!$I256="격주",AND((WEEKDAY($B$3)=IFERROR(MATCH(정기주문설정!$J256,정기주문설정!$O$3:$O$9,0),0)),MOD(INT(($B$3-정기주문설정!$L256)/7),2)=0),IF(정기주문설정!$I256="매월",DAY($B$3)=정기주문설정!$K256,FALSE()))))),IF(정기주문설정!$I256="매일",TRUE(),IF(정기주문설정!$I256="매주",(WEEKDAY($B$3)=IFERROR(MATCH(정기주문설정!$J256,정기주문설정!$O$3:$O$9,0),0)),IF(정기주문설정!$I256="매월",DAY($B$3)=정기주문설정!$K256,FALSE()))))))</f>
        <v>0</v>
      </c>
      <c r="L259" s="5" t="str">
        <f aca="false">IF($K259=FALSE(),"",COUNTIF($K$6:$K259,TRUE()))</f>
        <v/>
      </c>
      <c r="M259" s="5" t="str">
        <f aca="false">IF($L259="","","R"&amp;$L259)</f>
        <v/>
      </c>
    </row>
    <row r="260" customFormat="false" ht="15" hidden="false" customHeight="true" outlineLevel="0" collapsed="false">
      <c r="K260" s="21" t="b">
        <f aca="false">IF(정기주문설정!$B257="",FALSE(),IF(정기주문설정!$M257="중지",FALSE(),IF(정기주문설정!$L257&lt;&gt;"",IF($B$3&lt;정기주문설정!$L257,FALSE(),IF(정기주문설정!$I257="매일",TRUE(),IF(정기주문설정!$I257="매주",(WEEKDAY($B$3)=IFERROR(MATCH(정기주문설정!$J257,정기주문설정!$O$3:$O$9,0),0)),IF(정기주문설정!$I257="격주",AND((WEEKDAY($B$3)=IFERROR(MATCH(정기주문설정!$J257,정기주문설정!$O$3:$O$9,0),0)),MOD(INT(($B$3-정기주문설정!$L257)/7),2)=0),IF(정기주문설정!$I257="매월",DAY($B$3)=정기주문설정!$K257,FALSE()))))),IF(정기주문설정!$I257="매일",TRUE(),IF(정기주문설정!$I257="매주",(WEEKDAY($B$3)=IFERROR(MATCH(정기주문설정!$J257,정기주문설정!$O$3:$O$9,0),0)),IF(정기주문설정!$I257="매월",DAY($B$3)=정기주문설정!$K257,FALSE()))))))</f>
        <v>0</v>
      </c>
      <c r="L260" s="5" t="str">
        <f aca="false">IF($K260=FALSE(),"",COUNTIF($K$6:$K260,TRUE()))</f>
        <v/>
      </c>
      <c r="M260" s="5" t="str">
        <f aca="false">IF($L260="","","R"&amp;$L260)</f>
        <v/>
      </c>
    </row>
    <row r="261" customFormat="false" ht="15" hidden="false" customHeight="true" outlineLevel="0" collapsed="false">
      <c r="K261" s="21" t="b">
        <f aca="false">IF(정기주문설정!$B258="",FALSE(),IF(정기주문설정!$M258="중지",FALSE(),IF(정기주문설정!$L258&lt;&gt;"",IF($B$3&lt;정기주문설정!$L258,FALSE(),IF(정기주문설정!$I258="매일",TRUE(),IF(정기주문설정!$I258="매주",(WEEKDAY($B$3)=IFERROR(MATCH(정기주문설정!$J258,정기주문설정!$O$3:$O$9,0),0)),IF(정기주문설정!$I258="격주",AND((WEEKDAY($B$3)=IFERROR(MATCH(정기주문설정!$J258,정기주문설정!$O$3:$O$9,0),0)),MOD(INT(($B$3-정기주문설정!$L258)/7),2)=0),IF(정기주문설정!$I258="매월",DAY($B$3)=정기주문설정!$K258,FALSE()))))),IF(정기주문설정!$I258="매일",TRUE(),IF(정기주문설정!$I258="매주",(WEEKDAY($B$3)=IFERROR(MATCH(정기주문설정!$J258,정기주문설정!$O$3:$O$9,0),0)),IF(정기주문설정!$I258="매월",DAY($B$3)=정기주문설정!$K258,FALSE()))))))</f>
        <v>0</v>
      </c>
      <c r="L261" s="5" t="str">
        <f aca="false">IF($K261=FALSE(),"",COUNTIF($K$6:$K261,TRUE()))</f>
        <v/>
      </c>
      <c r="M261" s="5" t="str">
        <f aca="false">IF($L261="","","R"&amp;$L261)</f>
        <v/>
      </c>
    </row>
    <row r="262" customFormat="false" ht="15" hidden="false" customHeight="true" outlineLevel="0" collapsed="false">
      <c r="K262" s="21" t="b">
        <f aca="false">IF(정기주문설정!$B259="",FALSE(),IF(정기주문설정!$M259="중지",FALSE(),IF(정기주문설정!$L259&lt;&gt;"",IF($B$3&lt;정기주문설정!$L259,FALSE(),IF(정기주문설정!$I259="매일",TRUE(),IF(정기주문설정!$I259="매주",(WEEKDAY($B$3)=IFERROR(MATCH(정기주문설정!$J259,정기주문설정!$O$3:$O$9,0),0)),IF(정기주문설정!$I259="격주",AND((WEEKDAY($B$3)=IFERROR(MATCH(정기주문설정!$J259,정기주문설정!$O$3:$O$9,0),0)),MOD(INT(($B$3-정기주문설정!$L259)/7),2)=0),IF(정기주문설정!$I259="매월",DAY($B$3)=정기주문설정!$K259,FALSE()))))),IF(정기주문설정!$I259="매일",TRUE(),IF(정기주문설정!$I259="매주",(WEEKDAY($B$3)=IFERROR(MATCH(정기주문설정!$J259,정기주문설정!$O$3:$O$9,0),0)),IF(정기주문설정!$I259="매월",DAY($B$3)=정기주문설정!$K259,FALSE()))))))</f>
        <v>0</v>
      </c>
      <c r="L262" s="5" t="str">
        <f aca="false">IF($K262=FALSE(),"",COUNTIF($K$6:$K262,TRUE()))</f>
        <v/>
      </c>
      <c r="M262" s="5" t="str">
        <f aca="false">IF($L262="","","R"&amp;$L262)</f>
        <v/>
      </c>
    </row>
    <row r="263" customFormat="false" ht="15" hidden="false" customHeight="true" outlineLevel="0" collapsed="false">
      <c r="K263" s="21" t="b">
        <f aca="false">IF(정기주문설정!$B260="",FALSE(),IF(정기주문설정!$M260="중지",FALSE(),IF(정기주문설정!$L260&lt;&gt;"",IF($B$3&lt;정기주문설정!$L260,FALSE(),IF(정기주문설정!$I260="매일",TRUE(),IF(정기주문설정!$I260="매주",(WEEKDAY($B$3)=IFERROR(MATCH(정기주문설정!$J260,정기주문설정!$O$3:$O$9,0),0)),IF(정기주문설정!$I260="격주",AND((WEEKDAY($B$3)=IFERROR(MATCH(정기주문설정!$J260,정기주문설정!$O$3:$O$9,0),0)),MOD(INT(($B$3-정기주문설정!$L260)/7),2)=0),IF(정기주문설정!$I260="매월",DAY($B$3)=정기주문설정!$K260,FALSE()))))),IF(정기주문설정!$I260="매일",TRUE(),IF(정기주문설정!$I260="매주",(WEEKDAY($B$3)=IFERROR(MATCH(정기주문설정!$J260,정기주문설정!$O$3:$O$9,0),0)),IF(정기주문설정!$I260="매월",DAY($B$3)=정기주문설정!$K260,FALSE()))))))</f>
        <v>0</v>
      </c>
      <c r="L263" s="5" t="str">
        <f aca="false">IF($K263=FALSE(),"",COUNTIF($K$6:$K263,TRUE()))</f>
        <v/>
      </c>
      <c r="M263" s="5" t="str">
        <f aca="false">IF($L263="","","R"&amp;$L263)</f>
        <v/>
      </c>
    </row>
    <row r="264" customFormat="false" ht="15" hidden="false" customHeight="true" outlineLevel="0" collapsed="false">
      <c r="K264" s="21" t="b">
        <f aca="false">IF(정기주문설정!$B261="",FALSE(),IF(정기주문설정!$M261="중지",FALSE(),IF(정기주문설정!$L261&lt;&gt;"",IF($B$3&lt;정기주문설정!$L261,FALSE(),IF(정기주문설정!$I261="매일",TRUE(),IF(정기주문설정!$I261="매주",(WEEKDAY($B$3)=IFERROR(MATCH(정기주문설정!$J261,정기주문설정!$O$3:$O$9,0),0)),IF(정기주문설정!$I261="격주",AND((WEEKDAY($B$3)=IFERROR(MATCH(정기주문설정!$J261,정기주문설정!$O$3:$O$9,0),0)),MOD(INT(($B$3-정기주문설정!$L261)/7),2)=0),IF(정기주문설정!$I261="매월",DAY($B$3)=정기주문설정!$K261,FALSE()))))),IF(정기주문설정!$I261="매일",TRUE(),IF(정기주문설정!$I261="매주",(WEEKDAY($B$3)=IFERROR(MATCH(정기주문설정!$J261,정기주문설정!$O$3:$O$9,0),0)),IF(정기주문설정!$I261="매월",DAY($B$3)=정기주문설정!$K261,FALSE()))))))</f>
        <v>0</v>
      </c>
      <c r="L264" s="5" t="str">
        <f aca="false">IF($K264=FALSE(),"",COUNTIF($K$6:$K264,TRUE()))</f>
        <v/>
      </c>
      <c r="M264" s="5" t="str">
        <f aca="false">IF($L264="","","R"&amp;$L264)</f>
        <v/>
      </c>
    </row>
    <row r="265" customFormat="false" ht="15" hidden="false" customHeight="true" outlineLevel="0" collapsed="false">
      <c r="K265" s="21" t="b">
        <f aca="false">IF(정기주문설정!$B262="",FALSE(),IF(정기주문설정!$M262="중지",FALSE(),IF(정기주문설정!$L262&lt;&gt;"",IF($B$3&lt;정기주문설정!$L262,FALSE(),IF(정기주문설정!$I262="매일",TRUE(),IF(정기주문설정!$I262="매주",(WEEKDAY($B$3)=IFERROR(MATCH(정기주문설정!$J262,정기주문설정!$O$3:$O$9,0),0)),IF(정기주문설정!$I262="격주",AND((WEEKDAY($B$3)=IFERROR(MATCH(정기주문설정!$J262,정기주문설정!$O$3:$O$9,0),0)),MOD(INT(($B$3-정기주문설정!$L262)/7),2)=0),IF(정기주문설정!$I262="매월",DAY($B$3)=정기주문설정!$K262,FALSE()))))),IF(정기주문설정!$I262="매일",TRUE(),IF(정기주문설정!$I262="매주",(WEEKDAY($B$3)=IFERROR(MATCH(정기주문설정!$J262,정기주문설정!$O$3:$O$9,0),0)),IF(정기주문설정!$I262="매월",DAY($B$3)=정기주문설정!$K262,FALSE()))))))</f>
        <v>0</v>
      </c>
      <c r="L265" s="5" t="str">
        <f aca="false">IF($K265=FALSE(),"",COUNTIF($K$6:$K265,TRUE()))</f>
        <v/>
      </c>
      <c r="M265" s="5" t="str">
        <f aca="false">IF($L265="","","R"&amp;$L265)</f>
        <v/>
      </c>
    </row>
    <row r="266" customFormat="false" ht="15" hidden="false" customHeight="true" outlineLevel="0" collapsed="false">
      <c r="K266" s="21" t="b">
        <f aca="false">IF(정기주문설정!$B263="",FALSE(),IF(정기주문설정!$M263="중지",FALSE(),IF(정기주문설정!$L263&lt;&gt;"",IF($B$3&lt;정기주문설정!$L263,FALSE(),IF(정기주문설정!$I263="매일",TRUE(),IF(정기주문설정!$I263="매주",(WEEKDAY($B$3)=IFERROR(MATCH(정기주문설정!$J263,정기주문설정!$O$3:$O$9,0),0)),IF(정기주문설정!$I263="격주",AND((WEEKDAY($B$3)=IFERROR(MATCH(정기주문설정!$J263,정기주문설정!$O$3:$O$9,0),0)),MOD(INT(($B$3-정기주문설정!$L263)/7),2)=0),IF(정기주문설정!$I263="매월",DAY($B$3)=정기주문설정!$K263,FALSE()))))),IF(정기주문설정!$I263="매일",TRUE(),IF(정기주문설정!$I263="매주",(WEEKDAY($B$3)=IFERROR(MATCH(정기주문설정!$J263,정기주문설정!$O$3:$O$9,0),0)),IF(정기주문설정!$I263="매월",DAY($B$3)=정기주문설정!$K263,FALSE()))))))</f>
        <v>0</v>
      </c>
      <c r="L266" s="5" t="str">
        <f aca="false">IF($K266=FALSE(),"",COUNTIF($K$6:$K266,TRUE()))</f>
        <v/>
      </c>
      <c r="M266" s="5" t="str">
        <f aca="false">IF($L266="","","R"&amp;$L266)</f>
        <v/>
      </c>
    </row>
    <row r="267" customFormat="false" ht="15" hidden="false" customHeight="true" outlineLevel="0" collapsed="false">
      <c r="K267" s="21" t="b">
        <f aca="false">IF(정기주문설정!$B264="",FALSE(),IF(정기주문설정!$M264="중지",FALSE(),IF(정기주문설정!$L264&lt;&gt;"",IF($B$3&lt;정기주문설정!$L264,FALSE(),IF(정기주문설정!$I264="매일",TRUE(),IF(정기주문설정!$I264="매주",(WEEKDAY($B$3)=IFERROR(MATCH(정기주문설정!$J264,정기주문설정!$O$3:$O$9,0),0)),IF(정기주문설정!$I264="격주",AND((WEEKDAY($B$3)=IFERROR(MATCH(정기주문설정!$J264,정기주문설정!$O$3:$O$9,0),0)),MOD(INT(($B$3-정기주문설정!$L264)/7),2)=0),IF(정기주문설정!$I264="매월",DAY($B$3)=정기주문설정!$K264,FALSE()))))),IF(정기주문설정!$I264="매일",TRUE(),IF(정기주문설정!$I264="매주",(WEEKDAY($B$3)=IFERROR(MATCH(정기주문설정!$J264,정기주문설정!$O$3:$O$9,0),0)),IF(정기주문설정!$I264="매월",DAY($B$3)=정기주문설정!$K264,FALSE()))))))</f>
        <v>0</v>
      </c>
      <c r="L267" s="5" t="str">
        <f aca="false">IF($K267=FALSE(),"",COUNTIF($K$6:$K267,TRUE()))</f>
        <v/>
      </c>
      <c r="M267" s="5" t="str">
        <f aca="false">IF($L267="","","R"&amp;$L267)</f>
        <v/>
      </c>
    </row>
    <row r="268" customFormat="false" ht="15" hidden="false" customHeight="true" outlineLevel="0" collapsed="false">
      <c r="K268" s="21" t="b">
        <f aca="false">IF(정기주문설정!$B265="",FALSE(),IF(정기주문설정!$M265="중지",FALSE(),IF(정기주문설정!$L265&lt;&gt;"",IF($B$3&lt;정기주문설정!$L265,FALSE(),IF(정기주문설정!$I265="매일",TRUE(),IF(정기주문설정!$I265="매주",(WEEKDAY($B$3)=IFERROR(MATCH(정기주문설정!$J265,정기주문설정!$O$3:$O$9,0),0)),IF(정기주문설정!$I265="격주",AND((WEEKDAY($B$3)=IFERROR(MATCH(정기주문설정!$J265,정기주문설정!$O$3:$O$9,0),0)),MOD(INT(($B$3-정기주문설정!$L265)/7),2)=0),IF(정기주문설정!$I265="매월",DAY($B$3)=정기주문설정!$K265,FALSE()))))),IF(정기주문설정!$I265="매일",TRUE(),IF(정기주문설정!$I265="매주",(WEEKDAY($B$3)=IFERROR(MATCH(정기주문설정!$J265,정기주문설정!$O$3:$O$9,0),0)),IF(정기주문설정!$I265="매월",DAY($B$3)=정기주문설정!$K265,FALSE()))))))</f>
        <v>0</v>
      </c>
      <c r="L268" s="5" t="str">
        <f aca="false">IF($K268=FALSE(),"",COUNTIF($K$6:$K268,TRUE()))</f>
        <v/>
      </c>
      <c r="M268" s="5" t="str">
        <f aca="false">IF($L268="","","R"&amp;$L268)</f>
        <v/>
      </c>
    </row>
    <row r="269" customFormat="false" ht="15" hidden="false" customHeight="true" outlineLevel="0" collapsed="false">
      <c r="K269" s="21" t="b">
        <f aca="false">IF(정기주문설정!$B266="",FALSE(),IF(정기주문설정!$M266="중지",FALSE(),IF(정기주문설정!$L266&lt;&gt;"",IF($B$3&lt;정기주문설정!$L266,FALSE(),IF(정기주문설정!$I266="매일",TRUE(),IF(정기주문설정!$I266="매주",(WEEKDAY($B$3)=IFERROR(MATCH(정기주문설정!$J266,정기주문설정!$O$3:$O$9,0),0)),IF(정기주문설정!$I266="격주",AND((WEEKDAY($B$3)=IFERROR(MATCH(정기주문설정!$J266,정기주문설정!$O$3:$O$9,0),0)),MOD(INT(($B$3-정기주문설정!$L266)/7),2)=0),IF(정기주문설정!$I266="매월",DAY($B$3)=정기주문설정!$K266,FALSE()))))),IF(정기주문설정!$I266="매일",TRUE(),IF(정기주문설정!$I266="매주",(WEEKDAY($B$3)=IFERROR(MATCH(정기주문설정!$J266,정기주문설정!$O$3:$O$9,0),0)),IF(정기주문설정!$I266="매월",DAY($B$3)=정기주문설정!$K266,FALSE()))))))</f>
        <v>0</v>
      </c>
      <c r="L269" s="5" t="str">
        <f aca="false">IF($K269=FALSE(),"",COUNTIF($K$6:$K269,TRUE()))</f>
        <v/>
      </c>
      <c r="M269" s="5" t="str">
        <f aca="false">IF($L269="","","R"&amp;$L269)</f>
        <v/>
      </c>
    </row>
    <row r="270" customFormat="false" ht="15" hidden="false" customHeight="true" outlineLevel="0" collapsed="false">
      <c r="K270" s="21" t="b">
        <f aca="false">IF(정기주문설정!$B267="",FALSE(),IF(정기주문설정!$M267="중지",FALSE(),IF(정기주문설정!$L267&lt;&gt;"",IF($B$3&lt;정기주문설정!$L267,FALSE(),IF(정기주문설정!$I267="매일",TRUE(),IF(정기주문설정!$I267="매주",(WEEKDAY($B$3)=IFERROR(MATCH(정기주문설정!$J267,정기주문설정!$O$3:$O$9,0),0)),IF(정기주문설정!$I267="격주",AND((WEEKDAY($B$3)=IFERROR(MATCH(정기주문설정!$J267,정기주문설정!$O$3:$O$9,0),0)),MOD(INT(($B$3-정기주문설정!$L267)/7),2)=0),IF(정기주문설정!$I267="매월",DAY($B$3)=정기주문설정!$K267,FALSE()))))),IF(정기주문설정!$I267="매일",TRUE(),IF(정기주문설정!$I267="매주",(WEEKDAY($B$3)=IFERROR(MATCH(정기주문설정!$J267,정기주문설정!$O$3:$O$9,0),0)),IF(정기주문설정!$I267="매월",DAY($B$3)=정기주문설정!$K267,FALSE()))))))</f>
        <v>0</v>
      </c>
      <c r="L270" s="5" t="str">
        <f aca="false">IF($K270=FALSE(),"",COUNTIF($K$6:$K270,TRUE()))</f>
        <v/>
      </c>
      <c r="M270" s="5" t="str">
        <f aca="false">IF($L270="","","R"&amp;$L270)</f>
        <v/>
      </c>
    </row>
    <row r="271" customFormat="false" ht="15" hidden="false" customHeight="true" outlineLevel="0" collapsed="false">
      <c r="K271" s="21" t="b">
        <f aca="false">IF(정기주문설정!$B268="",FALSE(),IF(정기주문설정!$M268="중지",FALSE(),IF(정기주문설정!$L268&lt;&gt;"",IF($B$3&lt;정기주문설정!$L268,FALSE(),IF(정기주문설정!$I268="매일",TRUE(),IF(정기주문설정!$I268="매주",(WEEKDAY($B$3)=IFERROR(MATCH(정기주문설정!$J268,정기주문설정!$O$3:$O$9,0),0)),IF(정기주문설정!$I268="격주",AND((WEEKDAY($B$3)=IFERROR(MATCH(정기주문설정!$J268,정기주문설정!$O$3:$O$9,0),0)),MOD(INT(($B$3-정기주문설정!$L268)/7),2)=0),IF(정기주문설정!$I268="매월",DAY($B$3)=정기주문설정!$K268,FALSE()))))),IF(정기주문설정!$I268="매일",TRUE(),IF(정기주문설정!$I268="매주",(WEEKDAY($B$3)=IFERROR(MATCH(정기주문설정!$J268,정기주문설정!$O$3:$O$9,0),0)),IF(정기주문설정!$I268="매월",DAY($B$3)=정기주문설정!$K268,FALSE()))))))</f>
        <v>0</v>
      </c>
      <c r="L271" s="5" t="str">
        <f aca="false">IF($K271=FALSE(),"",COUNTIF($K$6:$K271,TRUE()))</f>
        <v/>
      </c>
      <c r="M271" s="5" t="str">
        <f aca="false">IF($L271="","","R"&amp;$L271)</f>
        <v/>
      </c>
    </row>
    <row r="272" customFormat="false" ht="15" hidden="false" customHeight="true" outlineLevel="0" collapsed="false">
      <c r="K272" s="21" t="b">
        <f aca="false">IF(정기주문설정!$B269="",FALSE(),IF(정기주문설정!$M269="중지",FALSE(),IF(정기주문설정!$L269&lt;&gt;"",IF($B$3&lt;정기주문설정!$L269,FALSE(),IF(정기주문설정!$I269="매일",TRUE(),IF(정기주문설정!$I269="매주",(WEEKDAY($B$3)=IFERROR(MATCH(정기주문설정!$J269,정기주문설정!$O$3:$O$9,0),0)),IF(정기주문설정!$I269="격주",AND((WEEKDAY($B$3)=IFERROR(MATCH(정기주문설정!$J269,정기주문설정!$O$3:$O$9,0),0)),MOD(INT(($B$3-정기주문설정!$L269)/7),2)=0),IF(정기주문설정!$I269="매월",DAY($B$3)=정기주문설정!$K269,FALSE()))))),IF(정기주문설정!$I269="매일",TRUE(),IF(정기주문설정!$I269="매주",(WEEKDAY($B$3)=IFERROR(MATCH(정기주문설정!$J269,정기주문설정!$O$3:$O$9,0),0)),IF(정기주문설정!$I269="매월",DAY($B$3)=정기주문설정!$K269,FALSE()))))))</f>
        <v>0</v>
      </c>
      <c r="L272" s="5" t="str">
        <f aca="false">IF($K272=FALSE(),"",COUNTIF($K$6:$K272,TRUE()))</f>
        <v/>
      </c>
      <c r="M272" s="5" t="str">
        <f aca="false">IF($L272="","","R"&amp;$L272)</f>
        <v/>
      </c>
    </row>
    <row r="273" customFormat="false" ht="15" hidden="false" customHeight="true" outlineLevel="0" collapsed="false">
      <c r="K273" s="21" t="b">
        <f aca="false">IF(정기주문설정!$B270="",FALSE(),IF(정기주문설정!$M270="중지",FALSE(),IF(정기주문설정!$L270&lt;&gt;"",IF($B$3&lt;정기주문설정!$L270,FALSE(),IF(정기주문설정!$I270="매일",TRUE(),IF(정기주문설정!$I270="매주",(WEEKDAY($B$3)=IFERROR(MATCH(정기주문설정!$J270,정기주문설정!$O$3:$O$9,0),0)),IF(정기주문설정!$I270="격주",AND((WEEKDAY($B$3)=IFERROR(MATCH(정기주문설정!$J270,정기주문설정!$O$3:$O$9,0),0)),MOD(INT(($B$3-정기주문설정!$L270)/7),2)=0),IF(정기주문설정!$I270="매월",DAY($B$3)=정기주문설정!$K270,FALSE()))))),IF(정기주문설정!$I270="매일",TRUE(),IF(정기주문설정!$I270="매주",(WEEKDAY($B$3)=IFERROR(MATCH(정기주문설정!$J270,정기주문설정!$O$3:$O$9,0),0)),IF(정기주문설정!$I270="매월",DAY($B$3)=정기주문설정!$K270,FALSE()))))))</f>
        <v>0</v>
      </c>
      <c r="L273" s="5" t="str">
        <f aca="false">IF($K273=FALSE(),"",COUNTIF($K$6:$K273,TRUE()))</f>
        <v/>
      </c>
      <c r="M273" s="5" t="str">
        <f aca="false">IF($L273="","","R"&amp;$L273)</f>
        <v/>
      </c>
    </row>
    <row r="274" customFormat="false" ht="15" hidden="false" customHeight="true" outlineLevel="0" collapsed="false">
      <c r="K274" s="21" t="b">
        <f aca="false">IF(정기주문설정!$B271="",FALSE(),IF(정기주문설정!$M271="중지",FALSE(),IF(정기주문설정!$L271&lt;&gt;"",IF($B$3&lt;정기주문설정!$L271,FALSE(),IF(정기주문설정!$I271="매일",TRUE(),IF(정기주문설정!$I271="매주",(WEEKDAY($B$3)=IFERROR(MATCH(정기주문설정!$J271,정기주문설정!$O$3:$O$9,0),0)),IF(정기주문설정!$I271="격주",AND((WEEKDAY($B$3)=IFERROR(MATCH(정기주문설정!$J271,정기주문설정!$O$3:$O$9,0),0)),MOD(INT(($B$3-정기주문설정!$L271)/7),2)=0),IF(정기주문설정!$I271="매월",DAY($B$3)=정기주문설정!$K271,FALSE()))))),IF(정기주문설정!$I271="매일",TRUE(),IF(정기주문설정!$I271="매주",(WEEKDAY($B$3)=IFERROR(MATCH(정기주문설정!$J271,정기주문설정!$O$3:$O$9,0),0)),IF(정기주문설정!$I271="매월",DAY($B$3)=정기주문설정!$K271,FALSE()))))))</f>
        <v>0</v>
      </c>
      <c r="L274" s="5" t="str">
        <f aca="false">IF($K274=FALSE(),"",COUNTIF($K$6:$K274,TRUE()))</f>
        <v/>
      </c>
      <c r="M274" s="5" t="str">
        <f aca="false">IF($L274="","","R"&amp;$L274)</f>
        <v/>
      </c>
    </row>
    <row r="275" customFormat="false" ht="15" hidden="false" customHeight="true" outlineLevel="0" collapsed="false">
      <c r="K275" s="21" t="b">
        <f aca="false">IF(정기주문설정!$B272="",FALSE(),IF(정기주문설정!$M272="중지",FALSE(),IF(정기주문설정!$L272&lt;&gt;"",IF($B$3&lt;정기주문설정!$L272,FALSE(),IF(정기주문설정!$I272="매일",TRUE(),IF(정기주문설정!$I272="매주",(WEEKDAY($B$3)=IFERROR(MATCH(정기주문설정!$J272,정기주문설정!$O$3:$O$9,0),0)),IF(정기주문설정!$I272="격주",AND((WEEKDAY($B$3)=IFERROR(MATCH(정기주문설정!$J272,정기주문설정!$O$3:$O$9,0),0)),MOD(INT(($B$3-정기주문설정!$L272)/7),2)=0),IF(정기주문설정!$I272="매월",DAY($B$3)=정기주문설정!$K272,FALSE()))))),IF(정기주문설정!$I272="매일",TRUE(),IF(정기주문설정!$I272="매주",(WEEKDAY($B$3)=IFERROR(MATCH(정기주문설정!$J272,정기주문설정!$O$3:$O$9,0),0)),IF(정기주문설정!$I272="매월",DAY($B$3)=정기주문설정!$K272,FALSE()))))))</f>
        <v>0</v>
      </c>
      <c r="L275" s="5" t="str">
        <f aca="false">IF($K275=FALSE(),"",COUNTIF($K$6:$K275,TRUE()))</f>
        <v/>
      </c>
      <c r="M275" s="5" t="str">
        <f aca="false">IF($L275="","","R"&amp;$L275)</f>
        <v/>
      </c>
    </row>
    <row r="276" customFormat="false" ht="15" hidden="false" customHeight="true" outlineLevel="0" collapsed="false">
      <c r="K276" s="21" t="b">
        <f aca="false">IF(정기주문설정!$B273="",FALSE(),IF(정기주문설정!$M273="중지",FALSE(),IF(정기주문설정!$L273&lt;&gt;"",IF($B$3&lt;정기주문설정!$L273,FALSE(),IF(정기주문설정!$I273="매일",TRUE(),IF(정기주문설정!$I273="매주",(WEEKDAY($B$3)=IFERROR(MATCH(정기주문설정!$J273,정기주문설정!$O$3:$O$9,0),0)),IF(정기주문설정!$I273="격주",AND((WEEKDAY($B$3)=IFERROR(MATCH(정기주문설정!$J273,정기주문설정!$O$3:$O$9,0),0)),MOD(INT(($B$3-정기주문설정!$L273)/7),2)=0),IF(정기주문설정!$I273="매월",DAY($B$3)=정기주문설정!$K273,FALSE()))))),IF(정기주문설정!$I273="매일",TRUE(),IF(정기주문설정!$I273="매주",(WEEKDAY($B$3)=IFERROR(MATCH(정기주문설정!$J273,정기주문설정!$O$3:$O$9,0),0)),IF(정기주문설정!$I273="매월",DAY($B$3)=정기주문설정!$K273,FALSE()))))))</f>
        <v>0</v>
      </c>
      <c r="L276" s="5" t="str">
        <f aca="false">IF($K276=FALSE(),"",COUNTIF($K$6:$K276,TRUE()))</f>
        <v/>
      </c>
      <c r="M276" s="5" t="str">
        <f aca="false">IF($L276="","","R"&amp;$L276)</f>
        <v/>
      </c>
    </row>
    <row r="277" customFormat="false" ht="15" hidden="false" customHeight="true" outlineLevel="0" collapsed="false">
      <c r="K277" s="21" t="b">
        <f aca="false">IF(정기주문설정!$B274="",FALSE(),IF(정기주문설정!$M274="중지",FALSE(),IF(정기주문설정!$L274&lt;&gt;"",IF($B$3&lt;정기주문설정!$L274,FALSE(),IF(정기주문설정!$I274="매일",TRUE(),IF(정기주문설정!$I274="매주",(WEEKDAY($B$3)=IFERROR(MATCH(정기주문설정!$J274,정기주문설정!$O$3:$O$9,0),0)),IF(정기주문설정!$I274="격주",AND((WEEKDAY($B$3)=IFERROR(MATCH(정기주문설정!$J274,정기주문설정!$O$3:$O$9,0),0)),MOD(INT(($B$3-정기주문설정!$L274)/7),2)=0),IF(정기주문설정!$I274="매월",DAY($B$3)=정기주문설정!$K274,FALSE()))))),IF(정기주문설정!$I274="매일",TRUE(),IF(정기주문설정!$I274="매주",(WEEKDAY($B$3)=IFERROR(MATCH(정기주문설정!$J274,정기주문설정!$O$3:$O$9,0),0)),IF(정기주문설정!$I274="매월",DAY($B$3)=정기주문설정!$K274,FALSE()))))))</f>
        <v>0</v>
      </c>
      <c r="L277" s="5" t="str">
        <f aca="false">IF($K277=FALSE(),"",COUNTIF($K$6:$K277,TRUE()))</f>
        <v/>
      </c>
      <c r="M277" s="5" t="str">
        <f aca="false">IF($L277="","","R"&amp;$L277)</f>
        <v/>
      </c>
    </row>
    <row r="278" customFormat="false" ht="15" hidden="false" customHeight="true" outlineLevel="0" collapsed="false">
      <c r="K278" s="21" t="b">
        <f aca="false">IF(정기주문설정!$B275="",FALSE(),IF(정기주문설정!$M275="중지",FALSE(),IF(정기주문설정!$L275&lt;&gt;"",IF($B$3&lt;정기주문설정!$L275,FALSE(),IF(정기주문설정!$I275="매일",TRUE(),IF(정기주문설정!$I275="매주",(WEEKDAY($B$3)=IFERROR(MATCH(정기주문설정!$J275,정기주문설정!$O$3:$O$9,0),0)),IF(정기주문설정!$I275="격주",AND((WEEKDAY($B$3)=IFERROR(MATCH(정기주문설정!$J275,정기주문설정!$O$3:$O$9,0),0)),MOD(INT(($B$3-정기주문설정!$L275)/7),2)=0),IF(정기주문설정!$I275="매월",DAY($B$3)=정기주문설정!$K275,FALSE()))))),IF(정기주문설정!$I275="매일",TRUE(),IF(정기주문설정!$I275="매주",(WEEKDAY($B$3)=IFERROR(MATCH(정기주문설정!$J275,정기주문설정!$O$3:$O$9,0),0)),IF(정기주문설정!$I275="매월",DAY($B$3)=정기주문설정!$K275,FALSE()))))))</f>
        <v>0</v>
      </c>
      <c r="L278" s="5" t="str">
        <f aca="false">IF($K278=FALSE(),"",COUNTIF($K$6:$K278,TRUE()))</f>
        <v/>
      </c>
      <c r="M278" s="5" t="str">
        <f aca="false">IF($L278="","","R"&amp;$L278)</f>
        <v/>
      </c>
    </row>
    <row r="279" customFormat="false" ht="15" hidden="false" customHeight="true" outlineLevel="0" collapsed="false">
      <c r="K279" s="21" t="b">
        <f aca="false">IF(정기주문설정!$B276="",FALSE(),IF(정기주문설정!$M276="중지",FALSE(),IF(정기주문설정!$L276&lt;&gt;"",IF($B$3&lt;정기주문설정!$L276,FALSE(),IF(정기주문설정!$I276="매일",TRUE(),IF(정기주문설정!$I276="매주",(WEEKDAY($B$3)=IFERROR(MATCH(정기주문설정!$J276,정기주문설정!$O$3:$O$9,0),0)),IF(정기주문설정!$I276="격주",AND((WEEKDAY($B$3)=IFERROR(MATCH(정기주문설정!$J276,정기주문설정!$O$3:$O$9,0),0)),MOD(INT(($B$3-정기주문설정!$L276)/7),2)=0),IF(정기주문설정!$I276="매월",DAY($B$3)=정기주문설정!$K276,FALSE()))))),IF(정기주문설정!$I276="매일",TRUE(),IF(정기주문설정!$I276="매주",(WEEKDAY($B$3)=IFERROR(MATCH(정기주문설정!$J276,정기주문설정!$O$3:$O$9,0),0)),IF(정기주문설정!$I276="매월",DAY($B$3)=정기주문설정!$K276,FALSE()))))))</f>
        <v>0</v>
      </c>
      <c r="L279" s="5" t="str">
        <f aca="false">IF($K279=FALSE(),"",COUNTIF($K$6:$K279,TRUE()))</f>
        <v/>
      </c>
      <c r="M279" s="5" t="str">
        <f aca="false">IF($L279="","","R"&amp;$L279)</f>
        <v/>
      </c>
    </row>
    <row r="280" customFormat="false" ht="15" hidden="false" customHeight="true" outlineLevel="0" collapsed="false">
      <c r="K280" s="21" t="b">
        <f aca="false">IF(정기주문설정!$B277="",FALSE(),IF(정기주문설정!$M277="중지",FALSE(),IF(정기주문설정!$L277&lt;&gt;"",IF($B$3&lt;정기주문설정!$L277,FALSE(),IF(정기주문설정!$I277="매일",TRUE(),IF(정기주문설정!$I277="매주",(WEEKDAY($B$3)=IFERROR(MATCH(정기주문설정!$J277,정기주문설정!$O$3:$O$9,0),0)),IF(정기주문설정!$I277="격주",AND((WEEKDAY($B$3)=IFERROR(MATCH(정기주문설정!$J277,정기주문설정!$O$3:$O$9,0),0)),MOD(INT(($B$3-정기주문설정!$L277)/7),2)=0),IF(정기주문설정!$I277="매월",DAY($B$3)=정기주문설정!$K277,FALSE()))))),IF(정기주문설정!$I277="매일",TRUE(),IF(정기주문설정!$I277="매주",(WEEKDAY($B$3)=IFERROR(MATCH(정기주문설정!$J277,정기주문설정!$O$3:$O$9,0),0)),IF(정기주문설정!$I277="매월",DAY($B$3)=정기주문설정!$K277,FALSE()))))))</f>
        <v>0</v>
      </c>
      <c r="L280" s="5" t="str">
        <f aca="false">IF($K280=FALSE(),"",COUNTIF($K$6:$K280,TRUE()))</f>
        <v/>
      </c>
      <c r="M280" s="5" t="str">
        <f aca="false">IF($L280="","","R"&amp;$L280)</f>
        <v/>
      </c>
    </row>
    <row r="281" customFormat="false" ht="15" hidden="false" customHeight="true" outlineLevel="0" collapsed="false">
      <c r="K281" s="21" t="b">
        <f aca="false">IF(정기주문설정!$B278="",FALSE(),IF(정기주문설정!$M278="중지",FALSE(),IF(정기주문설정!$L278&lt;&gt;"",IF($B$3&lt;정기주문설정!$L278,FALSE(),IF(정기주문설정!$I278="매일",TRUE(),IF(정기주문설정!$I278="매주",(WEEKDAY($B$3)=IFERROR(MATCH(정기주문설정!$J278,정기주문설정!$O$3:$O$9,0),0)),IF(정기주문설정!$I278="격주",AND((WEEKDAY($B$3)=IFERROR(MATCH(정기주문설정!$J278,정기주문설정!$O$3:$O$9,0),0)),MOD(INT(($B$3-정기주문설정!$L278)/7),2)=0),IF(정기주문설정!$I278="매월",DAY($B$3)=정기주문설정!$K278,FALSE()))))),IF(정기주문설정!$I278="매일",TRUE(),IF(정기주문설정!$I278="매주",(WEEKDAY($B$3)=IFERROR(MATCH(정기주문설정!$J278,정기주문설정!$O$3:$O$9,0),0)),IF(정기주문설정!$I278="매월",DAY($B$3)=정기주문설정!$K278,FALSE()))))))</f>
        <v>0</v>
      </c>
      <c r="L281" s="5" t="str">
        <f aca="false">IF($K281=FALSE(),"",COUNTIF($K$6:$K281,TRUE()))</f>
        <v/>
      </c>
      <c r="M281" s="5" t="str">
        <f aca="false">IF($L281="","","R"&amp;$L281)</f>
        <v/>
      </c>
    </row>
    <row r="282" customFormat="false" ht="15" hidden="false" customHeight="true" outlineLevel="0" collapsed="false">
      <c r="K282" s="21" t="b">
        <f aca="false">IF(정기주문설정!$B279="",FALSE(),IF(정기주문설정!$M279="중지",FALSE(),IF(정기주문설정!$L279&lt;&gt;"",IF($B$3&lt;정기주문설정!$L279,FALSE(),IF(정기주문설정!$I279="매일",TRUE(),IF(정기주문설정!$I279="매주",(WEEKDAY($B$3)=IFERROR(MATCH(정기주문설정!$J279,정기주문설정!$O$3:$O$9,0),0)),IF(정기주문설정!$I279="격주",AND((WEEKDAY($B$3)=IFERROR(MATCH(정기주문설정!$J279,정기주문설정!$O$3:$O$9,0),0)),MOD(INT(($B$3-정기주문설정!$L279)/7),2)=0),IF(정기주문설정!$I279="매월",DAY($B$3)=정기주문설정!$K279,FALSE()))))),IF(정기주문설정!$I279="매일",TRUE(),IF(정기주문설정!$I279="매주",(WEEKDAY($B$3)=IFERROR(MATCH(정기주문설정!$J279,정기주문설정!$O$3:$O$9,0),0)),IF(정기주문설정!$I279="매월",DAY($B$3)=정기주문설정!$K279,FALSE()))))))</f>
        <v>0</v>
      </c>
      <c r="L282" s="5" t="str">
        <f aca="false">IF($K282=FALSE(),"",COUNTIF($K$6:$K282,TRUE()))</f>
        <v/>
      </c>
      <c r="M282" s="5" t="str">
        <f aca="false">IF($L282="","","R"&amp;$L282)</f>
        <v/>
      </c>
    </row>
    <row r="283" customFormat="false" ht="15" hidden="false" customHeight="true" outlineLevel="0" collapsed="false">
      <c r="K283" s="21" t="b">
        <f aca="false">IF(정기주문설정!$B280="",FALSE(),IF(정기주문설정!$M280="중지",FALSE(),IF(정기주문설정!$L280&lt;&gt;"",IF($B$3&lt;정기주문설정!$L280,FALSE(),IF(정기주문설정!$I280="매일",TRUE(),IF(정기주문설정!$I280="매주",(WEEKDAY($B$3)=IFERROR(MATCH(정기주문설정!$J280,정기주문설정!$O$3:$O$9,0),0)),IF(정기주문설정!$I280="격주",AND((WEEKDAY($B$3)=IFERROR(MATCH(정기주문설정!$J280,정기주문설정!$O$3:$O$9,0),0)),MOD(INT(($B$3-정기주문설정!$L280)/7),2)=0),IF(정기주문설정!$I280="매월",DAY($B$3)=정기주문설정!$K280,FALSE()))))),IF(정기주문설정!$I280="매일",TRUE(),IF(정기주문설정!$I280="매주",(WEEKDAY($B$3)=IFERROR(MATCH(정기주문설정!$J280,정기주문설정!$O$3:$O$9,0),0)),IF(정기주문설정!$I280="매월",DAY($B$3)=정기주문설정!$K280,FALSE()))))))</f>
        <v>0</v>
      </c>
      <c r="L283" s="5" t="str">
        <f aca="false">IF($K283=FALSE(),"",COUNTIF($K$6:$K283,TRUE()))</f>
        <v/>
      </c>
      <c r="M283" s="5" t="str">
        <f aca="false">IF($L283="","","R"&amp;$L283)</f>
        <v/>
      </c>
    </row>
    <row r="284" customFormat="false" ht="15" hidden="false" customHeight="true" outlineLevel="0" collapsed="false">
      <c r="K284" s="21" t="b">
        <f aca="false">IF(정기주문설정!$B281="",FALSE(),IF(정기주문설정!$M281="중지",FALSE(),IF(정기주문설정!$L281&lt;&gt;"",IF($B$3&lt;정기주문설정!$L281,FALSE(),IF(정기주문설정!$I281="매일",TRUE(),IF(정기주문설정!$I281="매주",(WEEKDAY($B$3)=IFERROR(MATCH(정기주문설정!$J281,정기주문설정!$O$3:$O$9,0),0)),IF(정기주문설정!$I281="격주",AND((WEEKDAY($B$3)=IFERROR(MATCH(정기주문설정!$J281,정기주문설정!$O$3:$O$9,0),0)),MOD(INT(($B$3-정기주문설정!$L281)/7),2)=0),IF(정기주문설정!$I281="매월",DAY($B$3)=정기주문설정!$K281,FALSE()))))),IF(정기주문설정!$I281="매일",TRUE(),IF(정기주문설정!$I281="매주",(WEEKDAY($B$3)=IFERROR(MATCH(정기주문설정!$J281,정기주문설정!$O$3:$O$9,0),0)),IF(정기주문설정!$I281="매월",DAY($B$3)=정기주문설정!$K281,FALSE()))))))</f>
        <v>0</v>
      </c>
      <c r="L284" s="5" t="str">
        <f aca="false">IF($K284=FALSE(),"",COUNTIF($K$6:$K284,TRUE()))</f>
        <v/>
      </c>
      <c r="M284" s="5" t="str">
        <f aca="false">IF($L284="","","R"&amp;$L284)</f>
        <v/>
      </c>
    </row>
    <row r="285" customFormat="false" ht="15" hidden="false" customHeight="true" outlineLevel="0" collapsed="false">
      <c r="K285" s="21" t="b">
        <f aca="false">IF(정기주문설정!$B282="",FALSE(),IF(정기주문설정!$M282="중지",FALSE(),IF(정기주문설정!$L282&lt;&gt;"",IF($B$3&lt;정기주문설정!$L282,FALSE(),IF(정기주문설정!$I282="매일",TRUE(),IF(정기주문설정!$I282="매주",(WEEKDAY($B$3)=IFERROR(MATCH(정기주문설정!$J282,정기주문설정!$O$3:$O$9,0),0)),IF(정기주문설정!$I282="격주",AND((WEEKDAY($B$3)=IFERROR(MATCH(정기주문설정!$J282,정기주문설정!$O$3:$O$9,0),0)),MOD(INT(($B$3-정기주문설정!$L282)/7),2)=0),IF(정기주문설정!$I282="매월",DAY($B$3)=정기주문설정!$K282,FALSE()))))),IF(정기주문설정!$I282="매일",TRUE(),IF(정기주문설정!$I282="매주",(WEEKDAY($B$3)=IFERROR(MATCH(정기주문설정!$J282,정기주문설정!$O$3:$O$9,0),0)),IF(정기주문설정!$I282="매월",DAY($B$3)=정기주문설정!$K282,FALSE()))))))</f>
        <v>0</v>
      </c>
      <c r="L285" s="5" t="str">
        <f aca="false">IF($K285=FALSE(),"",COUNTIF($K$6:$K285,TRUE()))</f>
        <v/>
      </c>
      <c r="M285" s="5" t="str">
        <f aca="false">IF($L285="","","R"&amp;$L285)</f>
        <v/>
      </c>
    </row>
    <row r="286" customFormat="false" ht="15" hidden="false" customHeight="true" outlineLevel="0" collapsed="false">
      <c r="K286" s="21" t="b">
        <f aca="false">IF(정기주문설정!$B283="",FALSE(),IF(정기주문설정!$M283="중지",FALSE(),IF(정기주문설정!$L283&lt;&gt;"",IF($B$3&lt;정기주문설정!$L283,FALSE(),IF(정기주문설정!$I283="매일",TRUE(),IF(정기주문설정!$I283="매주",(WEEKDAY($B$3)=IFERROR(MATCH(정기주문설정!$J283,정기주문설정!$O$3:$O$9,0),0)),IF(정기주문설정!$I283="격주",AND((WEEKDAY($B$3)=IFERROR(MATCH(정기주문설정!$J283,정기주문설정!$O$3:$O$9,0),0)),MOD(INT(($B$3-정기주문설정!$L283)/7),2)=0),IF(정기주문설정!$I283="매월",DAY($B$3)=정기주문설정!$K283,FALSE()))))),IF(정기주문설정!$I283="매일",TRUE(),IF(정기주문설정!$I283="매주",(WEEKDAY($B$3)=IFERROR(MATCH(정기주문설정!$J283,정기주문설정!$O$3:$O$9,0),0)),IF(정기주문설정!$I283="매월",DAY($B$3)=정기주문설정!$K283,FALSE()))))))</f>
        <v>0</v>
      </c>
      <c r="L286" s="5" t="str">
        <f aca="false">IF($K286=FALSE(),"",COUNTIF($K$6:$K286,TRUE()))</f>
        <v/>
      </c>
      <c r="M286" s="5" t="str">
        <f aca="false">IF($L286="","","R"&amp;$L286)</f>
        <v/>
      </c>
    </row>
    <row r="287" customFormat="false" ht="15" hidden="false" customHeight="true" outlineLevel="0" collapsed="false">
      <c r="K287" s="21" t="b">
        <f aca="false">IF(정기주문설정!$B284="",FALSE(),IF(정기주문설정!$M284="중지",FALSE(),IF(정기주문설정!$L284&lt;&gt;"",IF($B$3&lt;정기주문설정!$L284,FALSE(),IF(정기주문설정!$I284="매일",TRUE(),IF(정기주문설정!$I284="매주",(WEEKDAY($B$3)=IFERROR(MATCH(정기주문설정!$J284,정기주문설정!$O$3:$O$9,0),0)),IF(정기주문설정!$I284="격주",AND((WEEKDAY($B$3)=IFERROR(MATCH(정기주문설정!$J284,정기주문설정!$O$3:$O$9,0),0)),MOD(INT(($B$3-정기주문설정!$L284)/7),2)=0),IF(정기주문설정!$I284="매월",DAY($B$3)=정기주문설정!$K284,FALSE()))))),IF(정기주문설정!$I284="매일",TRUE(),IF(정기주문설정!$I284="매주",(WEEKDAY($B$3)=IFERROR(MATCH(정기주문설정!$J284,정기주문설정!$O$3:$O$9,0),0)),IF(정기주문설정!$I284="매월",DAY($B$3)=정기주문설정!$K284,FALSE()))))))</f>
        <v>0</v>
      </c>
      <c r="L287" s="5" t="str">
        <f aca="false">IF($K287=FALSE(),"",COUNTIF($K$6:$K287,TRUE()))</f>
        <v/>
      </c>
      <c r="M287" s="5" t="str">
        <f aca="false">IF($L287="","","R"&amp;$L287)</f>
        <v/>
      </c>
    </row>
    <row r="288" customFormat="false" ht="15" hidden="false" customHeight="true" outlineLevel="0" collapsed="false">
      <c r="K288" s="21" t="b">
        <f aca="false">IF(정기주문설정!$B285="",FALSE(),IF(정기주문설정!$M285="중지",FALSE(),IF(정기주문설정!$L285&lt;&gt;"",IF($B$3&lt;정기주문설정!$L285,FALSE(),IF(정기주문설정!$I285="매일",TRUE(),IF(정기주문설정!$I285="매주",(WEEKDAY($B$3)=IFERROR(MATCH(정기주문설정!$J285,정기주문설정!$O$3:$O$9,0),0)),IF(정기주문설정!$I285="격주",AND((WEEKDAY($B$3)=IFERROR(MATCH(정기주문설정!$J285,정기주문설정!$O$3:$O$9,0),0)),MOD(INT(($B$3-정기주문설정!$L285)/7),2)=0),IF(정기주문설정!$I285="매월",DAY($B$3)=정기주문설정!$K285,FALSE()))))),IF(정기주문설정!$I285="매일",TRUE(),IF(정기주문설정!$I285="매주",(WEEKDAY($B$3)=IFERROR(MATCH(정기주문설정!$J285,정기주문설정!$O$3:$O$9,0),0)),IF(정기주문설정!$I285="매월",DAY($B$3)=정기주문설정!$K285,FALSE()))))))</f>
        <v>0</v>
      </c>
      <c r="L288" s="5" t="str">
        <f aca="false">IF($K288=FALSE(),"",COUNTIF($K$6:$K288,TRUE()))</f>
        <v/>
      </c>
      <c r="M288" s="5" t="str">
        <f aca="false">IF($L288="","","R"&amp;$L288)</f>
        <v/>
      </c>
    </row>
    <row r="289" customFormat="false" ht="15" hidden="false" customHeight="true" outlineLevel="0" collapsed="false">
      <c r="K289" s="21" t="b">
        <f aca="false">IF(정기주문설정!$B286="",FALSE(),IF(정기주문설정!$M286="중지",FALSE(),IF(정기주문설정!$L286&lt;&gt;"",IF($B$3&lt;정기주문설정!$L286,FALSE(),IF(정기주문설정!$I286="매일",TRUE(),IF(정기주문설정!$I286="매주",(WEEKDAY($B$3)=IFERROR(MATCH(정기주문설정!$J286,정기주문설정!$O$3:$O$9,0),0)),IF(정기주문설정!$I286="격주",AND((WEEKDAY($B$3)=IFERROR(MATCH(정기주문설정!$J286,정기주문설정!$O$3:$O$9,0),0)),MOD(INT(($B$3-정기주문설정!$L286)/7),2)=0),IF(정기주문설정!$I286="매월",DAY($B$3)=정기주문설정!$K286,FALSE()))))),IF(정기주문설정!$I286="매일",TRUE(),IF(정기주문설정!$I286="매주",(WEEKDAY($B$3)=IFERROR(MATCH(정기주문설정!$J286,정기주문설정!$O$3:$O$9,0),0)),IF(정기주문설정!$I286="매월",DAY($B$3)=정기주문설정!$K286,FALSE()))))))</f>
        <v>0</v>
      </c>
      <c r="L289" s="5" t="str">
        <f aca="false">IF($K289=FALSE(),"",COUNTIF($K$6:$K289,TRUE()))</f>
        <v/>
      </c>
      <c r="M289" s="5" t="str">
        <f aca="false">IF($L289="","","R"&amp;$L289)</f>
        <v/>
      </c>
    </row>
    <row r="290" customFormat="false" ht="15" hidden="false" customHeight="true" outlineLevel="0" collapsed="false">
      <c r="K290" s="21" t="b">
        <f aca="false">IF(정기주문설정!$B287="",FALSE(),IF(정기주문설정!$M287="중지",FALSE(),IF(정기주문설정!$L287&lt;&gt;"",IF($B$3&lt;정기주문설정!$L287,FALSE(),IF(정기주문설정!$I287="매일",TRUE(),IF(정기주문설정!$I287="매주",(WEEKDAY($B$3)=IFERROR(MATCH(정기주문설정!$J287,정기주문설정!$O$3:$O$9,0),0)),IF(정기주문설정!$I287="격주",AND((WEEKDAY($B$3)=IFERROR(MATCH(정기주문설정!$J287,정기주문설정!$O$3:$O$9,0),0)),MOD(INT(($B$3-정기주문설정!$L287)/7),2)=0),IF(정기주문설정!$I287="매월",DAY($B$3)=정기주문설정!$K287,FALSE()))))),IF(정기주문설정!$I287="매일",TRUE(),IF(정기주문설정!$I287="매주",(WEEKDAY($B$3)=IFERROR(MATCH(정기주문설정!$J287,정기주문설정!$O$3:$O$9,0),0)),IF(정기주문설정!$I287="매월",DAY($B$3)=정기주문설정!$K287,FALSE()))))))</f>
        <v>0</v>
      </c>
      <c r="L290" s="5" t="str">
        <f aca="false">IF($K290=FALSE(),"",COUNTIF($K$6:$K290,TRUE()))</f>
        <v/>
      </c>
      <c r="M290" s="5" t="str">
        <f aca="false">IF($L290="","","R"&amp;$L290)</f>
        <v/>
      </c>
    </row>
    <row r="291" customFormat="false" ht="15" hidden="false" customHeight="true" outlineLevel="0" collapsed="false">
      <c r="K291" s="21" t="b">
        <f aca="false">IF(정기주문설정!$B288="",FALSE(),IF(정기주문설정!$M288="중지",FALSE(),IF(정기주문설정!$L288&lt;&gt;"",IF($B$3&lt;정기주문설정!$L288,FALSE(),IF(정기주문설정!$I288="매일",TRUE(),IF(정기주문설정!$I288="매주",(WEEKDAY($B$3)=IFERROR(MATCH(정기주문설정!$J288,정기주문설정!$O$3:$O$9,0),0)),IF(정기주문설정!$I288="격주",AND((WEEKDAY($B$3)=IFERROR(MATCH(정기주문설정!$J288,정기주문설정!$O$3:$O$9,0),0)),MOD(INT(($B$3-정기주문설정!$L288)/7),2)=0),IF(정기주문설정!$I288="매월",DAY($B$3)=정기주문설정!$K288,FALSE()))))),IF(정기주문설정!$I288="매일",TRUE(),IF(정기주문설정!$I288="매주",(WEEKDAY($B$3)=IFERROR(MATCH(정기주문설정!$J288,정기주문설정!$O$3:$O$9,0),0)),IF(정기주문설정!$I288="매월",DAY($B$3)=정기주문설정!$K288,FALSE()))))))</f>
        <v>0</v>
      </c>
      <c r="L291" s="5" t="str">
        <f aca="false">IF($K291=FALSE(),"",COUNTIF($K$6:$K291,TRUE()))</f>
        <v/>
      </c>
      <c r="M291" s="5" t="str">
        <f aca="false">IF($L291="","","R"&amp;$L291)</f>
        <v/>
      </c>
    </row>
    <row r="292" customFormat="false" ht="15" hidden="false" customHeight="true" outlineLevel="0" collapsed="false">
      <c r="K292" s="21" t="b">
        <f aca="false">IF(정기주문설정!$B289="",FALSE(),IF(정기주문설정!$M289="중지",FALSE(),IF(정기주문설정!$L289&lt;&gt;"",IF($B$3&lt;정기주문설정!$L289,FALSE(),IF(정기주문설정!$I289="매일",TRUE(),IF(정기주문설정!$I289="매주",(WEEKDAY($B$3)=IFERROR(MATCH(정기주문설정!$J289,정기주문설정!$O$3:$O$9,0),0)),IF(정기주문설정!$I289="격주",AND((WEEKDAY($B$3)=IFERROR(MATCH(정기주문설정!$J289,정기주문설정!$O$3:$O$9,0),0)),MOD(INT(($B$3-정기주문설정!$L289)/7),2)=0),IF(정기주문설정!$I289="매월",DAY($B$3)=정기주문설정!$K289,FALSE()))))),IF(정기주문설정!$I289="매일",TRUE(),IF(정기주문설정!$I289="매주",(WEEKDAY($B$3)=IFERROR(MATCH(정기주문설정!$J289,정기주문설정!$O$3:$O$9,0),0)),IF(정기주문설정!$I289="매월",DAY($B$3)=정기주문설정!$K289,FALSE()))))))</f>
        <v>0</v>
      </c>
      <c r="L292" s="5" t="str">
        <f aca="false">IF($K292=FALSE(),"",COUNTIF($K$6:$K292,TRUE()))</f>
        <v/>
      </c>
      <c r="M292" s="5" t="str">
        <f aca="false">IF($L292="","","R"&amp;$L292)</f>
        <v/>
      </c>
    </row>
    <row r="293" customFormat="false" ht="15" hidden="false" customHeight="true" outlineLevel="0" collapsed="false">
      <c r="K293" s="21" t="b">
        <f aca="false">IF(정기주문설정!$B290="",FALSE(),IF(정기주문설정!$M290="중지",FALSE(),IF(정기주문설정!$L290&lt;&gt;"",IF($B$3&lt;정기주문설정!$L290,FALSE(),IF(정기주문설정!$I290="매일",TRUE(),IF(정기주문설정!$I290="매주",(WEEKDAY($B$3)=IFERROR(MATCH(정기주문설정!$J290,정기주문설정!$O$3:$O$9,0),0)),IF(정기주문설정!$I290="격주",AND((WEEKDAY($B$3)=IFERROR(MATCH(정기주문설정!$J290,정기주문설정!$O$3:$O$9,0),0)),MOD(INT(($B$3-정기주문설정!$L290)/7),2)=0),IF(정기주문설정!$I290="매월",DAY($B$3)=정기주문설정!$K290,FALSE()))))),IF(정기주문설정!$I290="매일",TRUE(),IF(정기주문설정!$I290="매주",(WEEKDAY($B$3)=IFERROR(MATCH(정기주문설정!$J290,정기주문설정!$O$3:$O$9,0),0)),IF(정기주문설정!$I290="매월",DAY($B$3)=정기주문설정!$K290,FALSE()))))))</f>
        <v>0</v>
      </c>
      <c r="L293" s="5" t="str">
        <f aca="false">IF($K293=FALSE(),"",COUNTIF($K$6:$K293,TRUE()))</f>
        <v/>
      </c>
      <c r="M293" s="5" t="str">
        <f aca="false">IF($L293="","","R"&amp;$L293)</f>
        <v/>
      </c>
    </row>
    <row r="294" customFormat="false" ht="15" hidden="false" customHeight="true" outlineLevel="0" collapsed="false">
      <c r="K294" s="21" t="b">
        <f aca="false">IF(정기주문설정!$B291="",FALSE(),IF(정기주문설정!$M291="중지",FALSE(),IF(정기주문설정!$L291&lt;&gt;"",IF($B$3&lt;정기주문설정!$L291,FALSE(),IF(정기주문설정!$I291="매일",TRUE(),IF(정기주문설정!$I291="매주",(WEEKDAY($B$3)=IFERROR(MATCH(정기주문설정!$J291,정기주문설정!$O$3:$O$9,0),0)),IF(정기주문설정!$I291="격주",AND((WEEKDAY($B$3)=IFERROR(MATCH(정기주문설정!$J291,정기주문설정!$O$3:$O$9,0),0)),MOD(INT(($B$3-정기주문설정!$L291)/7),2)=0),IF(정기주문설정!$I291="매월",DAY($B$3)=정기주문설정!$K291,FALSE()))))),IF(정기주문설정!$I291="매일",TRUE(),IF(정기주문설정!$I291="매주",(WEEKDAY($B$3)=IFERROR(MATCH(정기주문설정!$J291,정기주문설정!$O$3:$O$9,0),0)),IF(정기주문설정!$I291="매월",DAY($B$3)=정기주문설정!$K291,FALSE()))))))</f>
        <v>0</v>
      </c>
      <c r="L294" s="5" t="str">
        <f aca="false">IF($K294=FALSE(),"",COUNTIF($K$6:$K294,TRUE()))</f>
        <v/>
      </c>
      <c r="M294" s="5" t="str">
        <f aca="false">IF($L294="","","R"&amp;$L294)</f>
        <v/>
      </c>
    </row>
    <row r="295" customFormat="false" ht="15" hidden="false" customHeight="true" outlineLevel="0" collapsed="false">
      <c r="K295" s="21" t="b">
        <f aca="false">IF(정기주문설정!$B292="",FALSE(),IF(정기주문설정!$M292="중지",FALSE(),IF(정기주문설정!$L292&lt;&gt;"",IF($B$3&lt;정기주문설정!$L292,FALSE(),IF(정기주문설정!$I292="매일",TRUE(),IF(정기주문설정!$I292="매주",(WEEKDAY($B$3)=IFERROR(MATCH(정기주문설정!$J292,정기주문설정!$O$3:$O$9,0),0)),IF(정기주문설정!$I292="격주",AND((WEEKDAY($B$3)=IFERROR(MATCH(정기주문설정!$J292,정기주문설정!$O$3:$O$9,0),0)),MOD(INT(($B$3-정기주문설정!$L292)/7),2)=0),IF(정기주문설정!$I292="매월",DAY($B$3)=정기주문설정!$K292,FALSE()))))),IF(정기주문설정!$I292="매일",TRUE(),IF(정기주문설정!$I292="매주",(WEEKDAY($B$3)=IFERROR(MATCH(정기주문설정!$J292,정기주문설정!$O$3:$O$9,0),0)),IF(정기주문설정!$I292="매월",DAY($B$3)=정기주문설정!$K292,FALSE()))))))</f>
        <v>0</v>
      </c>
      <c r="L295" s="5" t="str">
        <f aca="false">IF($K295=FALSE(),"",COUNTIF($K$6:$K295,TRUE()))</f>
        <v/>
      </c>
      <c r="M295" s="5" t="str">
        <f aca="false">IF($L295="","","R"&amp;$L295)</f>
        <v/>
      </c>
    </row>
    <row r="296" customFormat="false" ht="15" hidden="false" customHeight="true" outlineLevel="0" collapsed="false">
      <c r="K296" s="21" t="b">
        <f aca="false">IF(정기주문설정!$B293="",FALSE(),IF(정기주문설정!$M293="중지",FALSE(),IF(정기주문설정!$L293&lt;&gt;"",IF($B$3&lt;정기주문설정!$L293,FALSE(),IF(정기주문설정!$I293="매일",TRUE(),IF(정기주문설정!$I293="매주",(WEEKDAY($B$3)=IFERROR(MATCH(정기주문설정!$J293,정기주문설정!$O$3:$O$9,0),0)),IF(정기주문설정!$I293="격주",AND((WEEKDAY($B$3)=IFERROR(MATCH(정기주문설정!$J293,정기주문설정!$O$3:$O$9,0),0)),MOD(INT(($B$3-정기주문설정!$L293)/7),2)=0),IF(정기주문설정!$I293="매월",DAY($B$3)=정기주문설정!$K293,FALSE()))))),IF(정기주문설정!$I293="매일",TRUE(),IF(정기주문설정!$I293="매주",(WEEKDAY($B$3)=IFERROR(MATCH(정기주문설정!$J293,정기주문설정!$O$3:$O$9,0),0)),IF(정기주문설정!$I293="매월",DAY($B$3)=정기주문설정!$K293,FALSE()))))))</f>
        <v>0</v>
      </c>
      <c r="L296" s="5" t="str">
        <f aca="false">IF($K296=FALSE(),"",COUNTIF($K$6:$K296,TRUE()))</f>
        <v/>
      </c>
      <c r="M296" s="5" t="str">
        <f aca="false">IF($L296="","","R"&amp;$L296)</f>
        <v/>
      </c>
    </row>
    <row r="297" customFormat="false" ht="15" hidden="false" customHeight="true" outlineLevel="0" collapsed="false">
      <c r="K297" s="21" t="b">
        <f aca="false">IF(정기주문설정!$B294="",FALSE(),IF(정기주문설정!$M294="중지",FALSE(),IF(정기주문설정!$L294&lt;&gt;"",IF($B$3&lt;정기주문설정!$L294,FALSE(),IF(정기주문설정!$I294="매일",TRUE(),IF(정기주문설정!$I294="매주",(WEEKDAY($B$3)=IFERROR(MATCH(정기주문설정!$J294,정기주문설정!$O$3:$O$9,0),0)),IF(정기주문설정!$I294="격주",AND((WEEKDAY($B$3)=IFERROR(MATCH(정기주문설정!$J294,정기주문설정!$O$3:$O$9,0),0)),MOD(INT(($B$3-정기주문설정!$L294)/7),2)=0),IF(정기주문설정!$I294="매월",DAY($B$3)=정기주문설정!$K294,FALSE()))))),IF(정기주문설정!$I294="매일",TRUE(),IF(정기주문설정!$I294="매주",(WEEKDAY($B$3)=IFERROR(MATCH(정기주문설정!$J294,정기주문설정!$O$3:$O$9,0),0)),IF(정기주문설정!$I294="매월",DAY($B$3)=정기주문설정!$K294,FALSE()))))))</f>
        <v>0</v>
      </c>
      <c r="L297" s="5" t="str">
        <f aca="false">IF($K297=FALSE(),"",COUNTIF($K$6:$K297,TRUE()))</f>
        <v/>
      </c>
      <c r="M297" s="5" t="str">
        <f aca="false">IF($L297="","","R"&amp;$L297)</f>
        <v/>
      </c>
    </row>
    <row r="298" customFormat="false" ht="15" hidden="false" customHeight="true" outlineLevel="0" collapsed="false">
      <c r="K298" s="21" t="b">
        <f aca="false">IF(정기주문설정!$B295="",FALSE(),IF(정기주문설정!$M295="중지",FALSE(),IF(정기주문설정!$L295&lt;&gt;"",IF($B$3&lt;정기주문설정!$L295,FALSE(),IF(정기주문설정!$I295="매일",TRUE(),IF(정기주문설정!$I295="매주",(WEEKDAY($B$3)=IFERROR(MATCH(정기주문설정!$J295,정기주문설정!$O$3:$O$9,0),0)),IF(정기주문설정!$I295="격주",AND((WEEKDAY($B$3)=IFERROR(MATCH(정기주문설정!$J295,정기주문설정!$O$3:$O$9,0),0)),MOD(INT(($B$3-정기주문설정!$L295)/7),2)=0),IF(정기주문설정!$I295="매월",DAY($B$3)=정기주문설정!$K295,FALSE()))))),IF(정기주문설정!$I295="매일",TRUE(),IF(정기주문설정!$I295="매주",(WEEKDAY($B$3)=IFERROR(MATCH(정기주문설정!$J295,정기주문설정!$O$3:$O$9,0),0)),IF(정기주문설정!$I295="매월",DAY($B$3)=정기주문설정!$K295,FALSE()))))))</f>
        <v>0</v>
      </c>
      <c r="L298" s="5" t="str">
        <f aca="false">IF($K298=FALSE(),"",COUNTIF($K$6:$K298,TRUE()))</f>
        <v/>
      </c>
      <c r="M298" s="5" t="str">
        <f aca="false">IF($L298="","","R"&amp;$L298)</f>
        <v/>
      </c>
    </row>
    <row r="299" customFormat="false" ht="15" hidden="false" customHeight="true" outlineLevel="0" collapsed="false">
      <c r="K299" s="21" t="b">
        <f aca="false">IF(정기주문설정!$B296="",FALSE(),IF(정기주문설정!$M296="중지",FALSE(),IF(정기주문설정!$L296&lt;&gt;"",IF($B$3&lt;정기주문설정!$L296,FALSE(),IF(정기주문설정!$I296="매일",TRUE(),IF(정기주문설정!$I296="매주",(WEEKDAY($B$3)=IFERROR(MATCH(정기주문설정!$J296,정기주문설정!$O$3:$O$9,0),0)),IF(정기주문설정!$I296="격주",AND((WEEKDAY($B$3)=IFERROR(MATCH(정기주문설정!$J296,정기주문설정!$O$3:$O$9,0),0)),MOD(INT(($B$3-정기주문설정!$L296)/7),2)=0),IF(정기주문설정!$I296="매월",DAY($B$3)=정기주문설정!$K296,FALSE()))))),IF(정기주문설정!$I296="매일",TRUE(),IF(정기주문설정!$I296="매주",(WEEKDAY($B$3)=IFERROR(MATCH(정기주문설정!$J296,정기주문설정!$O$3:$O$9,0),0)),IF(정기주문설정!$I296="매월",DAY($B$3)=정기주문설정!$K296,FALSE()))))))</f>
        <v>0</v>
      </c>
      <c r="L299" s="5" t="str">
        <f aca="false">IF($K299=FALSE(),"",COUNTIF($K$6:$K299,TRUE()))</f>
        <v/>
      </c>
      <c r="M299" s="5" t="str">
        <f aca="false">IF($L299="","","R"&amp;$L299)</f>
        <v/>
      </c>
    </row>
    <row r="300" customFormat="false" ht="15" hidden="false" customHeight="true" outlineLevel="0" collapsed="false">
      <c r="K300" s="21" t="b">
        <f aca="false">IF(정기주문설정!$B297="",FALSE(),IF(정기주문설정!$M297="중지",FALSE(),IF(정기주문설정!$L297&lt;&gt;"",IF($B$3&lt;정기주문설정!$L297,FALSE(),IF(정기주문설정!$I297="매일",TRUE(),IF(정기주문설정!$I297="매주",(WEEKDAY($B$3)=IFERROR(MATCH(정기주문설정!$J297,정기주문설정!$O$3:$O$9,0),0)),IF(정기주문설정!$I297="격주",AND((WEEKDAY($B$3)=IFERROR(MATCH(정기주문설정!$J297,정기주문설정!$O$3:$O$9,0),0)),MOD(INT(($B$3-정기주문설정!$L297)/7),2)=0),IF(정기주문설정!$I297="매월",DAY($B$3)=정기주문설정!$K297,FALSE()))))),IF(정기주문설정!$I297="매일",TRUE(),IF(정기주문설정!$I297="매주",(WEEKDAY($B$3)=IFERROR(MATCH(정기주문설정!$J297,정기주문설정!$O$3:$O$9,0),0)),IF(정기주문설정!$I297="매월",DAY($B$3)=정기주문설정!$K297,FALSE()))))))</f>
        <v>0</v>
      </c>
      <c r="L300" s="5" t="str">
        <f aca="false">IF($K300=FALSE(),"",COUNTIF($K$6:$K300,TRUE()))</f>
        <v/>
      </c>
      <c r="M300" s="5" t="str">
        <f aca="false">IF($L300="","","R"&amp;$L300)</f>
        <v/>
      </c>
    </row>
    <row r="301" customFormat="false" ht="15" hidden="false" customHeight="true" outlineLevel="0" collapsed="false">
      <c r="K301" s="21" t="b">
        <f aca="false">IF(정기주문설정!$B298="",FALSE(),IF(정기주문설정!$M298="중지",FALSE(),IF(정기주문설정!$L298&lt;&gt;"",IF($B$3&lt;정기주문설정!$L298,FALSE(),IF(정기주문설정!$I298="매일",TRUE(),IF(정기주문설정!$I298="매주",(WEEKDAY($B$3)=IFERROR(MATCH(정기주문설정!$J298,정기주문설정!$O$3:$O$9,0),0)),IF(정기주문설정!$I298="격주",AND((WEEKDAY($B$3)=IFERROR(MATCH(정기주문설정!$J298,정기주문설정!$O$3:$O$9,0),0)),MOD(INT(($B$3-정기주문설정!$L298)/7),2)=0),IF(정기주문설정!$I298="매월",DAY($B$3)=정기주문설정!$K298,FALSE()))))),IF(정기주문설정!$I298="매일",TRUE(),IF(정기주문설정!$I298="매주",(WEEKDAY($B$3)=IFERROR(MATCH(정기주문설정!$J298,정기주문설정!$O$3:$O$9,0),0)),IF(정기주문설정!$I298="매월",DAY($B$3)=정기주문설정!$K298,FALSE()))))))</f>
        <v>0</v>
      </c>
      <c r="L301" s="5" t="str">
        <f aca="false">IF($K301=FALSE(),"",COUNTIF($K$6:$K301,TRUE()))</f>
        <v/>
      </c>
      <c r="M301" s="5" t="str">
        <f aca="false">IF($L301="","","R"&amp;$L301)</f>
        <v/>
      </c>
    </row>
    <row r="302" customFormat="false" ht="15" hidden="false" customHeight="true" outlineLevel="0" collapsed="false">
      <c r="K302" s="21" t="b">
        <f aca="false">IF(정기주문설정!$B299="",FALSE(),IF(정기주문설정!$M299="중지",FALSE(),IF(정기주문설정!$L299&lt;&gt;"",IF($B$3&lt;정기주문설정!$L299,FALSE(),IF(정기주문설정!$I299="매일",TRUE(),IF(정기주문설정!$I299="매주",(WEEKDAY($B$3)=IFERROR(MATCH(정기주문설정!$J299,정기주문설정!$O$3:$O$9,0),0)),IF(정기주문설정!$I299="격주",AND((WEEKDAY($B$3)=IFERROR(MATCH(정기주문설정!$J299,정기주문설정!$O$3:$O$9,0),0)),MOD(INT(($B$3-정기주문설정!$L299)/7),2)=0),IF(정기주문설정!$I299="매월",DAY($B$3)=정기주문설정!$K299,FALSE()))))),IF(정기주문설정!$I299="매일",TRUE(),IF(정기주문설정!$I299="매주",(WEEKDAY($B$3)=IFERROR(MATCH(정기주문설정!$J299,정기주문설정!$O$3:$O$9,0),0)),IF(정기주문설정!$I299="매월",DAY($B$3)=정기주문설정!$K299,FALSE()))))))</f>
        <v>0</v>
      </c>
      <c r="L302" s="5" t="str">
        <f aca="false">IF($K302=FALSE(),"",COUNTIF($K$6:$K302,TRUE()))</f>
        <v/>
      </c>
      <c r="M302" s="5" t="str">
        <f aca="false">IF($L302="","","R"&amp;$L302)</f>
        <v/>
      </c>
    </row>
    <row r="303" customFormat="false" ht="15" hidden="false" customHeight="true" outlineLevel="0" collapsed="false">
      <c r="K303" s="21" t="b">
        <f aca="false">IF(정기주문설정!$B300="",FALSE(),IF(정기주문설정!$M300="중지",FALSE(),IF(정기주문설정!$L300&lt;&gt;"",IF($B$3&lt;정기주문설정!$L300,FALSE(),IF(정기주문설정!$I300="매일",TRUE(),IF(정기주문설정!$I300="매주",(WEEKDAY($B$3)=IFERROR(MATCH(정기주문설정!$J300,정기주문설정!$O$3:$O$9,0),0)),IF(정기주문설정!$I300="격주",AND((WEEKDAY($B$3)=IFERROR(MATCH(정기주문설정!$J300,정기주문설정!$O$3:$O$9,0),0)),MOD(INT(($B$3-정기주문설정!$L300)/7),2)=0),IF(정기주문설정!$I300="매월",DAY($B$3)=정기주문설정!$K300,FALSE()))))),IF(정기주문설정!$I300="매일",TRUE(),IF(정기주문설정!$I300="매주",(WEEKDAY($B$3)=IFERROR(MATCH(정기주문설정!$J300,정기주문설정!$O$3:$O$9,0),0)),IF(정기주문설정!$I300="매월",DAY($B$3)=정기주문설정!$K300,FALSE()))))))</f>
        <v>0</v>
      </c>
      <c r="L303" s="5" t="str">
        <f aca="false">IF($K303=FALSE(),"",COUNTIF($K$6:$K303,TRUE()))</f>
        <v/>
      </c>
      <c r="M303" s="5" t="str">
        <f aca="false">IF($L303="","","R"&amp;$L303)</f>
        <v/>
      </c>
    </row>
    <row r="304" customFormat="false" ht="15" hidden="false" customHeight="true" outlineLevel="0" collapsed="false">
      <c r="K304" s="21" t="b">
        <f aca="false">IF(정기주문설정!$B301="",FALSE(),IF(정기주문설정!$M301="중지",FALSE(),IF(정기주문설정!$L301&lt;&gt;"",IF($B$3&lt;정기주문설정!$L301,FALSE(),IF(정기주문설정!$I301="매일",TRUE(),IF(정기주문설정!$I301="매주",(WEEKDAY($B$3)=IFERROR(MATCH(정기주문설정!$J301,정기주문설정!$O$3:$O$9,0),0)),IF(정기주문설정!$I301="격주",AND((WEEKDAY($B$3)=IFERROR(MATCH(정기주문설정!$J301,정기주문설정!$O$3:$O$9,0),0)),MOD(INT(($B$3-정기주문설정!$L301)/7),2)=0),IF(정기주문설정!$I301="매월",DAY($B$3)=정기주문설정!$K301,FALSE()))))),IF(정기주문설정!$I301="매일",TRUE(),IF(정기주문설정!$I301="매주",(WEEKDAY($B$3)=IFERROR(MATCH(정기주문설정!$J301,정기주문설정!$O$3:$O$9,0),0)),IF(정기주문설정!$I301="매월",DAY($B$3)=정기주문설정!$K301,FALSE()))))))</f>
        <v>0</v>
      </c>
      <c r="L304" s="5" t="str">
        <f aca="false">IF($K304=FALSE(),"",COUNTIF($K$6:$K304,TRUE()))</f>
        <v/>
      </c>
      <c r="M304" s="5" t="str">
        <f aca="false">IF($L304="","","R"&amp;$L304)</f>
        <v/>
      </c>
    </row>
    <row r="305" customFormat="false" ht="15" hidden="false" customHeight="true" outlineLevel="0" collapsed="false">
      <c r="K305" s="21" t="b">
        <f aca="false">IF(정기주문설정!$B302="",FALSE(),IF(정기주문설정!$M302="중지",FALSE(),IF(정기주문설정!$L302&lt;&gt;"",IF($B$3&lt;정기주문설정!$L302,FALSE(),IF(정기주문설정!$I302="매일",TRUE(),IF(정기주문설정!$I302="매주",(WEEKDAY($B$3)=IFERROR(MATCH(정기주문설정!$J302,정기주문설정!$O$3:$O$9,0),0)),IF(정기주문설정!$I302="격주",AND((WEEKDAY($B$3)=IFERROR(MATCH(정기주문설정!$J302,정기주문설정!$O$3:$O$9,0),0)),MOD(INT(($B$3-정기주문설정!$L302)/7),2)=0),IF(정기주문설정!$I302="매월",DAY($B$3)=정기주문설정!$K302,FALSE()))))),IF(정기주문설정!$I302="매일",TRUE(),IF(정기주문설정!$I302="매주",(WEEKDAY($B$3)=IFERROR(MATCH(정기주문설정!$J302,정기주문설정!$O$3:$O$9,0),0)),IF(정기주문설정!$I302="매월",DAY($B$3)=정기주문설정!$K302,FALSE()))))))</f>
        <v>0</v>
      </c>
      <c r="L305" s="5" t="str">
        <f aca="false">IF($K305=FALSE(),"",COUNTIF($K$6:$K305,TRUE()))</f>
        <v/>
      </c>
      <c r="M305" s="5" t="str">
        <f aca="false">IF($L305="","","R"&amp;$L305)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4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22"/>
  </cols>
  <sheetData>
    <row r="1" customFormat="false" ht="25.5" hidden="false" customHeight="true" outlineLevel="0" collapsed="false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6" t="s">
        <v>88</v>
      </c>
      <c r="B2" s="6" t="s">
        <v>24</v>
      </c>
      <c r="C2" s="6" t="s">
        <v>25</v>
      </c>
      <c r="D2" s="6" t="s">
        <v>42</v>
      </c>
      <c r="E2" s="6" t="s">
        <v>43</v>
      </c>
      <c r="F2" s="6" t="s">
        <v>45</v>
      </c>
      <c r="G2" s="6" t="s">
        <v>89</v>
      </c>
      <c r="H2" s="6" t="s">
        <v>63</v>
      </c>
      <c r="I2" s="6" t="s">
        <v>90</v>
      </c>
      <c r="J2" s="6" t="s">
        <v>98</v>
      </c>
      <c r="K2" s="6" t="s">
        <v>28</v>
      </c>
    </row>
    <row r="3" customFormat="false" ht="15" hidden="false" customHeight="true" outlineLevel="0" collapsed="false">
      <c r="A3" s="14" t="n">
        <v>46266</v>
      </c>
      <c r="B3" s="7" t="inlineStr">
        <is>
          <t>C001</t>
        </is>
      </c>
      <c r="C3" s="7" t="inlineStr">
        <is>
          <t>○○식당</t>
        </is>
      </c>
      <c r="D3" s="7" t="inlineStr">
        <is>
          <t>P001</t>
        </is>
      </c>
      <c r="E3" s="7" t="inlineStr">
        <is>
          <t>폐식용유 수거</t>
        </is>
      </c>
      <c r="F3" s="7" t="inlineStr">
        <is>
          <t>통</t>
        </is>
      </c>
      <c r="G3" s="9" t="n">
        <v>2</v>
      </c>
      <c r="H3" s="9" t="n">
        <v>12000</v>
      </c>
      <c r="I3" s="9" t="n">
        <v>24000</v>
      </c>
      <c r="J3" s="7" t="inlineStr">
        <is>
          <t>정기</t>
        </is>
      </c>
      <c r="K3" s="7" t="inlineStr">
        <is>
          <t>← 예시 행입니다. 지우고 쓰세요.</t>
        </is>
      </c>
    </row>
    <row r="4" customFormat="false" ht="15" hidden="false" customHeight="true" outlineLevel="0" collapsed="false">
      <c r="A4" s="14" t="n">
        <v>46266</v>
      </c>
      <c r="B4" s="7" t="inlineStr">
        <is>
          <t>C002</t>
        </is>
      </c>
      <c r="C4" s="7" t="inlineStr">
        <is>
          <t>△△치킨</t>
        </is>
      </c>
      <c r="D4" s="7" t="inlineStr">
        <is>
          <t>P001</t>
        </is>
      </c>
      <c r="E4" s="7" t="inlineStr">
        <is>
          <t>폐식용유 수거</t>
        </is>
      </c>
      <c r="F4" s="7" t="inlineStr">
        <is>
          <t>통</t>
        </is>
      </c>
      <c r="G4" s="9" t="n">
        <v>3</v>
      </c>
      <c r="H4" s="9" t="n">
        <v>12000</v>
      </c>
      <c r="I4" s="9" t="n">
        <v>36000</v>
      </c>
      <c r="J4" s="7" t="inlineStr">
        <is>
          <t>정기</t>
        </is>
      </c>
      <c r="K4" s="7"/>
    </row>
    <row r="5" customFormat="false" ht="15" hidden="false" customHeight="true" outlineLevel="0" collapsed="false">
      <c r="A5" s="14" t="n">
        <v>46269</v>
      </c>
      <c r="B5" s="7" t="inlineStr">
        <is>
          <t>C001</t>
        </is>
      </c>
      <c r="C5" s="7" t="inlineStr">
        <is>
          <t>○○식당</t>
        </is>
      </c>
      <c r="D5" s="7" t="inlineStr">
        <is>
          <t>P003</t>
        </is>
      </c>
      <c r="E5" s="7" t="inlineStr">
        <is>
          <t>위생용품 세트</t>
        </is>
      </c>
      <c r="F5" s="7" t="inlineStr">
        <is>
          <t>SET</t>
        </is>
      </c>
      <c r="G5" s="9" t="n">
        <v>1</v>
      </c>
      <c r="H5" s="9" t="n">
        <v>18000</v>
      </c>
      <c r="I5" s="9" t="n">
        <v>18000</v>
      </c>
      <c r="J5" s="7" t="inlineStr">
        <is>
          <t>정기</t>
        </is>
      </c>
      <c r="K5" s="7"/>
    </row>
    <row r="6" customFormat="false" ht="15" hidden="false" customHeight="true" outlineLevel="0" collapsed="false">
      <c r="A6" s="14" t="n">
        <v>46273</v>
      </c>
      <c r="B6" s="7" t="inlineStr">
        <is>
          <t>C001</t>
        </is>
      </c>
      <c r="C6" s="7" t="inlineStr">
        <is>
          <t>○○식당</t>
        </is>
      </c>
      <c r="D6" s="7" t="inlineStr">
        <is>
          <t>P001</t>
        </is>
      </c>
      <c r="E6" s="7" t="inlineStr">
        <is>
          <t>폐식용유 수거</t>
        </is>
      </c>
      <c r="F6" s="7" t="inlineStr">
        <is>
          <t>통</t>
        </is>
      </c>
      <c r="G6" s="9" t="n">
        <v>2</v>
      </c>
      <c r="H6" s="9" t="n">
        <v>12000</v>
      </c>
      <c r="I6" s="9" t="n">
        <v>24000</v>
      </c>
      <c r="J6" s="7" t="inlineStr">
        <is>
          <t>정기</t>
        </is>
      </c>
      <c r="K6" s="7"/>
    </row>
    <row r="7" customFormat="false" ht="15" hidden="false" customHeight="true" outlineLevel="0" collapsed="false">
      <c r="A7" s="14" t="n">
        <v>46273</v>
      </c>
      <c r="B7" s="7" t="inlineStr">
        <is>
          <t>C002</t>
        </is>
      </c>
      <c r="C7" s="7" t="inlineStr">
        <is>
          <t>△△치킨</t>
        </is>
      </c>
      <c r="D7" s="7" t="inlineStr">
        <is>
          <t>P001</t>
        </is>
      </c>
      <c r="E7" s="7" t="inlineStr">
        <is>
          <t>폐식용유 수거</t>
        </is>
      </c>
      <c r="F7" s="7" t="inlineStr">
        <is>
          <t>통</t>
        </is>
      </c>
      <c r="G7" s="9" t="n">
        <v>3</v>
      </c>
      <c r="H7" s="9" t="n">
        <v>12000</v>
      </c>
      <c r="I7" s="9" t="n">
        <v>36000</v>
      </c>
      <c r="J7" s="7" t="inlineStr">
        <is>
          <t>정기</t>
        </is>
      </c>
      <c r="K7" s="7"/>
    </row>
    <row r="8" customFormat="false" ht="15" hidden="false" customHeight="true" outlineLevel="0" collapsed="false">
      <c r="A8" s="14" t="n">
        <v>46275</v>
      </c>
      <c r="B8" s="7" t="inlineStr">
        <is>
          <t>C003</t>
        </is>
      </c>
      <c r="C8" s="7" t="inlineStr">
        <is>
          <t>□□분식</t>
        </is>
      </c>
      <c r="D8" s="7" t="inlineStr">
        <is>
          <t>P002</t>
        </is>
      </c>
      <c r="E8" s="7" t="inlineStr">
        <is>
          <t>식용유 납품</t>
        </is>
      </c>
      <c r="F8" s="7" t="inlineStr">
        <is>
          <t>통</t>
        </is>
      </c>
      <c r="G8" s="9" t="n">
        <v>2</v>
      </c>
      <c r="H8" s="9" t="n">
        <v>42000</v>
      </c>
      <c r="I8" s="9" t="n">
        <v>84000</v>
      </c>
      <c r="J8" s="7" t="inlineStr">
        <is>
          <t>추가</t>
        </is>
      </c>
      <c r="K8" s="7"/>
    </row>
    <row r="9" customFormat="false" ht="15" hidden="false" customHeight="true" outlineLevel="0" collapsed="false">
      <c r="A9" s="14"/>
      <c r="B9" s="7"/>
      <c r="C9" s="7"/>
      <c r="D9" s="7"/>
      <c r="E9" s="7"/>
      <c r="F9" s="7"/>
      <c r="G9" s="9"/>
      <c r="H9" s="9"/>
      <c r="I9" s="9"/>
      <c r="J9" s="7"/>
      <c r="K9" s="7"/>
    </row>
    <row r="10" customFormat="false" ht="15" hidden="false" customHeight="true" outlineLevel="0" collapsed="false">
      <c r="A10" s="14"/>
      <c r="B10" s="7"/>
      <c r="C10" s="7"/>
      <c r="D10" s="7"/>
      <c r="E10" s="7"/>
      <c r="F10" s="7"/>
      <c r="G10" s="9"/>
      <c r="H10" s="9"/>
      <c r="I10" s="9"/>
      <c r="J10" s="7"/>
      <c r="K10" s="7"/>
    </row>
    <row r="11" customFormat="false" ht="15" hidden="false" customHeight="true" outlineLevel="0" collapsed="false">
      <c r="A11" s="14"/>
      <c r="B11" s="7"/>
      <c r="C11" s="7"/>
      <c r="D11" s="7"/>
      <c r="E11" s="7"/>
      <c r="F11" s="7"/>
      <c r="G11" s="9"/>
      <c r="H11" s="9"/>
      <c r="I11" s="9"/>
      <c r="J11" s="7"/>
      <c r="K11" s="7"/>
    </row>
    <row r="12" customFormat="false" ht="15" hidden="false" customHeight="true" outlineLevel="0" collapsed="false">
      <c r="A12" s="14"/>
      <c r="B12" s="7"/>
      <c r="C12" s="7"/>
      <c r="D12" s="7"/>
      <c r="E12" s="7"/>
      <c r="F12" s="7"/>
      <c r="G12" s="9"/>
      <c r="H12" s="9"/>
      <c r="I12" s="9"/>
      <c r="J12" s="7"/>
      <c r="K12" s="7"/>
    </row>
    <row r="13" customFormat="false" ht="15" hidden="false" customHeight="true" outlineLevel="0" collapsed="false">
      <c r="A13" s="14"/>
      <c r="B13" s="7"/>
      <c r="C13" s="7"/>
      <c r="D13" s="7"/>
      <c r="E13" s="7"/>
      <c r="F13" s="7"/>
      <c r="G13" s="9"/>
      <c r="H13" s="9"/>
      <c r="I13" s="9"/>
      <c r="J13" s="7"/>
      <c r="K13" s="7"/>
    </row>
    <row r="14" customFormat="false" ht="15" hidden="false" customHeight="true" outlineLevel="0" collapsed="false">
      <c r="A14" s="14"/>
      <c r="B14" s="7"/>
      <c r="C14" s="7"/>
      <c r="D14" s="7"/>
      <c r="E14" s="7"/>
      <c r="F14" s="7"/>
      <c r="G14" s="9"/>
      <c r="H14" s="9"/>
      <c r="I14" s="9"/>
      <c r="J14" s="7"/>
      <c r="K14" s="7"/>
    </row>
    <row r="15" customFormat="false" ht="15" hidden="false" customHeight="true" outlineLevel="0" collapsed="false">
      <c r="A15" s="14"/>
      <c r="B15" s="7"/>
      <c r="C15" s="7"/>
      <c r="D15" s="7"/>
      <c r="E15" s="7"/>
      <c r="F15" s="7"/>
      <c r="G15" s="9"/>
      <c r="H15" s="9"/>
      <c r="I15" s="9"/>
      <c r="J15" s="7"/>
      <c r="K15" s="7"/>
    </row>
    <row r="16" customFormat="false" ht="15" hidden="false" customHeight="true" outlineLevel="0" collapsed="false">
      <c r="A16" s="14"/>
      <c r="B16" s="7"/>
      <c r="C16" s="7"/>
      <c r="D16" s="7"/>
      <c r="E16" s="7"/>
      <c r="F16" s="7"/>
      <c r="G16" s="9"/>
      <c r="H16" s="9"/>
      <c r="I16" s="9"/>
      <c r="J16" s="7"/>
      <c r="K16" s="7"/>
    </row>
    <row r="17" customFormat="false" ht="15" hidden="false" customHeight="true" outlineLevel="0" collapsed="false">
      <c r="A17" s="14"/>
      <c r="B17" s="7"/>
      <c r="C17" s="7"/>
      <c r="D17" s="7"/>
      <c r="E17" s="7"/>
      <c r="F17" s="7"/>
      <c r="G17" s="9"/>
      <c r="H17" s="9"/>
      <c r="I17" s="9"/>
      <c r="J17" s="7"/>
      <c r="K17" s="7"/>
    </row>
    <row r="18" customFormat="false" ht="15" hidden="false" customHeight="true" outlineLevel="0" collapsed="false">
      <c r="A18" s="14"/>
      <c r="B18" s="7"/>
      <c r="C18" s="7"/>
      <c r="D18" s="7"/>
      <c r="E18" s="7"/>
      <c r="F18" s="7"/>
      <c r="G18" s="9"/>
      <c r="H18" s="9"/>
      <c r="I18" s="9"/>
      <c r="J18" s="7"/>
      <c r="K18" s="7"/>
    </row>
    <row r="19" customFormat="false" ht="15" hidden="false" customHeight="true" outlineLevel="0" collapsed="false">
      <c r="A19" s="14"/>
      <c r="B19" s="7"/>
      <c r="C19" s="7"/>
      <c r="D19" s="7"/>
      <c r="E19" s="7"/>
      <c r="F19" s="7"/>
      <c r="G19" s="9"/>
      <c r="H19" s="9"/>
      <c r="I19" s="9"/>
      <c r="J19" s="7"/>
      <c r="K19" s="7"/>
    </row>
    <row r="20" customFormat="false" ht="15" hidden="false" customHeight="true" outlineLevel="0" collapsed="false">
      <c r="A20" s="14"/>
      <c r="B20" s="7"/>
      <c r="C20" s="7"/>
      <c r="D20" s="7"/>
      <c r="E20" s="7"/>
      <c r="F20" s="7"/>
      <c r="G20" s="9"/>
      <c r="H20" s="9"/>
      <c r="I20" s="9"/>
      <c r="J20" s="7"/>
      <c r="K20" s="7"/>
    </row>
    <row r="21" customFormat="false" ht="15" hidden="false" customHeight="true" outlineLevel="0" collapsed="false">
      <c r="A21" s="14"/>
      <c r="B21" s="7"/>
      <c r="C21" s="7"/>
      <c r="D21" s="7"/>
      <c r="E21" s="7"/>
      <c r="F21" s="7"/>
      <c r="G21" s="9"/>
      <c r="H21" s="9"/>
      <c r="I21" s="9"/>
      <c r="J21" s="7"/>
      <c r="K21" s="7"/>
    </row>
    <row r="22" customFormat="false" ht="15" hidden="false" customHeight="true" outlineLevel="0" collapsed="false">
      <c r="A22" s="14"/>
      <c r="B22" s="7"/>
      <c r="C22" s="7"/>
      <c r="D22" s="7"/>
      <c r="E22" s="7"/>
      <c r="F22" s="7"/>
      <c r="G22" s="9"/>
      <c r="H22" s="9"/>
      <c r="I22" s="9"/>
      <c r="J22" s="7"/>
      <c r="K22" s="7"/>
    </row>
    <row r="23" customFormat="false" ht="15" hidden="false" customHeight="true" outlineLevel="0" collapsed="false">
      <c r="A23" s="14"/>
      <c r="B23" s="7"/>
      <c r="C23" s="7"/>
      <c r="D23" s="7"/>
      <c r="E23" s="7"/>
      <c r="F23" s="7"/>
      <c r="G23" s="9"/>
      <c r="H23" s="9"/>
      <c r="I23" s="9"/>
      <c r="J23" s="7"/>
      <c r="K23" s="7"/>
    </row>
    <row r="24" customFormat="false" ht="15" hidden="false" customHeight="true" outlineLevel="0" collapsed="false">
      <c r="A24" s="14"/>
      <c r="B24" s="7"/>
      <c r="C24" s="7"/>
      <c r="D24" s="7"/>
      <c r="E24" s="7"/>
      <c r="F24" s="7"/>
      <c r="G24" s="9"/>
      <c r="H24" s="9"/>
      <c r="I24" s="9"/>
      <c r="J24" s="7"/>
      <c r="K24" s="7"/>
    </row>
    <row r="25" customFormat="false" ht="15" hidden="false" customHeight="true" outlineLevel="0" collapsed="false">
      <c r="A25" s="14"/>
      <c r="B25" s="7"/>
      <c r="C25" s="7"/>
      <c r="D25" s="7"/>
      <c r="E25" s="7"/>
      <c r="F25" s="7"/>
      <c r="G25" s="9"/>
      <c r="H25" s="9"/>
      <c r="I25" s="9"/>
      <c r="J25" s="7"/>
      <c r="K25" s="7"/>
    </row>
    <row r="26" customFormat="false" ht="15" hidden="false" customHeight="true" outlineLevel="0" collapsed="false">
      <c r="A26" s="14"/>
      <c r="B26" s="7"/>
      <c r="C26" s="7"/>
      <c r="D26" s="7"/>
      <c r="E26" s="7"/>
      <c r="F26" s="7"/>
      <c r="G26" s="9"/>
      <c r="H26" s="9"/>
      <c r="I26" s="9"/>
      <c r="J26" s="7"/>
      <c r="K26" s="7"/>
    </row>
    <row r="27" customFormat="false" ht="15" hidden="false" customHeight="true" outlineLevel="0" collapsed="false">
      <c r="A27" s="14"/>
      <c r="B27" s="7"/>
      <c r="C27" s="7"/>
      <c r="D27" s="7"/>
      <c r="E27" s="7"/>
      <c r="F27" s="7"/>
      <c r="G27" s="9"/>
      <c r="H27" s="9"/>
      <c r="I27" s="9"/>
      <c r="J27" s="7"/>
      <c r="K27" s="7"/>
    </row>
    <row r="28" customFormat="false" ht="15" hidden="false" customHeight="true" outlineLevel="0" collapsed="false">
      <c r="A28" s="14"/>
      <c r="B28" s="7"/>
      <c r="C28" s="7"/>
      <c r="D28" s="7"/>
      <c r="E28" s="7"/>
      <c r="F28" s="7"/>
      <c r="G28" s="9"/>
      <c r="H28" s="9"/>
      <c r="I28" s="9"/>
      <c r="J28" s="7"/>
      <c r="K28" s="7"/>
    </row>
    <row r="29" customFormat="false" ht="15" hidden="false" customHeight="true" outlineLevel="0" collapsed="false">
      <c r="A29" s="14"/>
      <c r="B29" s="7"/>
      <c r="C29" s="7"/>
      <c r="D29" s="7"/>
      <c r="E29" s="7"/>
      <c r="F29" s="7"/>
      <c r="G29" s="9"/>
      <c r="H29" s="9"/>
      <c r="I29" s="9"/>
      <c r="J29" s="7"/>
      <c r="K29" s="7"/>
    </row>
    <row r="30" customFormat="false" ht="15" hidden="false" customHeight="true" outlineLevel="0" collapsed="false">
      <c r="A30" s="14"/>
      <c r="B30" s="7"/>
      <c r="C30" s="7"/>
      <c r="D30" s="7"/>
      <c r="E30" s="7"/>
      <c r="F30" s="7"/>
      <c r="G30" s="9"/>
      <c r="H30" s="9"/>
      <c r="I30" s="9"/>
      <c r="J30" s="7"/>
      <c r="K30" s="7"/>
    </row>
    <row r="31" customFormat="false" ht="15" hidden="false" customHeight="true" outlineLevel="0" collapsed="false">
      <c r="A31" s="14"/>
      <c r="B31" s="7"/>
      <c r="C31" s="7"/>
      <c r="D31" s="7"/>
      <c r="E31" s="7"/>
      <c r="F31" s="7"/>
      <c r="G31" s="9"/>
      <c r="H31" s="9"/>
      <c r="I31" s="9"/>
      <c r="J31" s="7"/>
      <c r="K31" s="7"/>
    </row>
    <row r="32" customFormat="false" ht="15" hidden="false" customHeight="true" outlineLevel="0" collapsed="false">
      <c r="A32" s="14"/>
      <c r="B32" s="7"/>
      <c r="C32" s="7"/>
      <c r="D32" s="7"/>
      <c r="E32" s="7"/>
      <c r="F32" s="7"/>
      <c r="G32" s="9"/>
      <c r="H32" s="9"/>
      <c r="I32" s="9"/>
      <c r="J32" s="7"/>
      <c r="K32" s="7"/>
    </row>
    <row r="33" customFormat="false" ht="15" hidden="false" customHeight="true" outlineLevel="0" collapsed="false">
      <c r="A33" s="14"/>
      <c r="B33" s="7"/>
      <c r="C33" s="7"/>
      <c r="D33" s="7"/>
      <c r="E33" s="7"/>
      <c r="F33" s="7"/>
      <c r="G33" s="9"/>
      <c r="H33" s="9"/>
      <c r="I33" s="9"/>
      <c r="J33" s="7"/>
      <c r="K33" s="7"/>
    </row>
    <row r="34" customFormat="false" ht="15" hidden="false" customHeight="true" outlineLevel="0" collapsed="false">
      <c r="A34" s="14"/>
      <c r="B34" s="7"/>
      <c r="C34" s="7"/>
      <c r="D34" s="7"/>
      <c r="E34" s="7"/>
      <c r="F34" s="7"/>
      <c r="G34" s="9"/>
      <c r="H34" s="9"/>
      <c r="I34" s="9"/>
      <c r="J34" s="7"/>
      <c r="K34" s="7"/>
    </row>
    <row r="35" customFormat="false" ht="15" hidden="false" customHeight="true" outlineLevel="0" collapsed="false">
      <c r="A35" s="14"/>
      <c r="B35" s="7"/>
      <c r="C35" s="7"/>
      <c r="D35" s="7"/>
      <c r="E35" s="7"/>
      <c r="F35" s="7"/>
      <c r="G35" s="9"/>
      <c r="H35" s="9"/>
      <c r="I35" s="9"/>
      <c r="J35" s="7"/>
      <c r="K35" s="7"/>
    </row>
    <row r="36" customFormat="false" ht="15" hidden="false" customHeight="true" outlineLevel="0" collapsed="false">
      <c r="A36" s="14"/>
      <c r="B36" s="7"/>
      <c r="C36" s="7"/>
      <c r="D36" s="7"/>
      <c r="E36" s="7"/>
      <c r="F36" s="7"/>
      <c r="G36" s="9"/>
      <c r="H36" s="9"/>
      <c r="I36" s="9"/>
      <c r="J36" s="7"/>
      <c r="K36" s="7"/>
    </row>
    <row r="37" customFormat="false" ht="15" hidden="false" customHeight="true" outlineLevel="0" collapsed="false">
      <c r="A37" s="14"/>
      <c r="B37" s="7"/>
      <c r="C37" s="7"/>
      <c r="D37" s="7"/>
      <c r="E37" s="7"/>
      <c r="F37" s="7"/>
      <c r="G37" s="9"/>
      <c r="H37" s="9"/>
      <c r="I37" s="9"/>
      <c r="J37" s="7"/>
      <c r="K37" s="7"/>
    </row>
    <row r="38" customFormat="false" ht="15" hidden="false" customHeight="true" outlineLevel="0" collapsed="false">
      <c r="A38" s="14"/>
      <c r="B38" s="7"/>
      <c r="C38" s="7"/>
      <c r="D38" s="7"/>
      <c r="E38" s="7"/>
      <c r="F38" s="7"/>
      <c r="G38" s="9"/>
      <c r="H38" s="9"/>
      <c r="I38" s="9"/>
      <c r="J38" s="7"/>
      <c r="K38" s="7"/>
    </row>
    <row r="39" customFormat="false" ht="15" hidden="false" customHeight="true" outlineLevel="0" collapsed="false">
      <c r="A39" s="14"/>
      <c r="B39" s="7"/>
      <c r="C39" s="7"/>
      <c r="D39" s="7"/>
      <c r="E39" s="7"/>
      <c r="F39" s="7"/>
      <c r="G39" s="9"/>
      <c r="H39" s="9"/>
      <c r="I39" s="9"/>
      <c r="J39" s="7"/>
      <c r="K39" s="7"/>
    </row>
    <row r="40" customFormat="false" ht="15" hidden="false" customHeight="true" outlineLevel="0" collapsed="false">
      <c r="A40" s="14"/>
      <c r="B40" s="7"/>
      <c r="C40" s="7"/>
      <c r="D40" s="7"/>
      <c r="E40" s="7"/>
      <c r="F40" s="7"/>
      <c r="G40" s="9"/>
      <c r="H40" s="9"/>
      <c r="I40" s="9"/>
      <c r="J40" s="7"/>
      <c r="K40" s="7"/>
    </row>
    <row r="41" customFormat="false" ht="15" hidden="false" customHeight="true" outlineLevel="0" collapsed="false">
      <c r="A41" s="14"/>
      <c r="B41" s="7"/>
      <c r="C41" s="7"/>
      <c r="D41" s="7"/>
      <c r="E41" s="7"/>
      <c r="F41" s="7"/>
      <c r="G41" s="9"/>
      <c r="H41" s="9"/>
      <c r="I41" s="9"/>
      <c r="J41" s="7"/>
      <c r="K41" s="7"/>
    </row>
    <row r="42" customFormat="false" ht="15" hidden="false" customHeight="true" outlineLevel="0" collapsed="false">
      <c r="A42" s="14"/>
      <c r="B42" s="7"/>
      <c r="C42" s="7"/>
      <c r="D42" s="7"/>
      <c r="E42" s="7"/>
      <c r="F42" s="7"/>
      <c r="G42" s="9"/>
      <c r="H42" s="9"/>
      <c r="I42" s="9"/>
      <c r="J42" s="7"/>
      <c r="K42" s="7"/>
    </row>
    <row r="43" customFormat="false" ht="15" hidden="false" customHeight="true" outlineLevel="0" collapsed="false">
      <c r="A43" s="14"/>
      <c r="B43" s="7"/>
      <c r="C43" s="7"/>
      <c r="D43" s="7"/>
      <c r="E43" s="7"/>
      <c r="F43" s="7"/>
      <c r="G43" s="9"/>
      <c r="H43" s="9"/>
      <c r="I43" s="9"/>
      <c r="J43" s="7"/>
      <c r="K43" s="7"/>
    </row>
    <row r="44" customFormat="false" ht="15" hidden="false" customHeight="true" outlineLevel="0" collapsed="false">
      <c r="A44" s="14"/>
      <c r="B44" s="7"/>
      <c r="C44" s="7"/>
      <c r="D44" s="7"/>
      <c r="E44" s="7"/>
      <c r="F44" s="7"/>
      <c r="G44" s="9"/>
      <c r="H44" s="9"/>
      <c r="I44" s="9"/>
      <c r="J44" s="7"/>
      <c r="K44" s="7"/>
    </row>
    <row r="45" customFormat="false" ht="15" hidden="false" customHeight="true" outlineLevel="0" collapsed="false">
      <c r="A45" s="14"/>
      <c r="B45" s="7"/>
      <c r="C45" s="7"/>
      <c r="D45" s="7"/>
      <c r="E45" s="7"/>
      <c r="F45" s="7"/>
      <c r="G45" s="9"/>
      <c r="H45" s="9"/>
      <c r="I45" s="9"/>
      <c r="J45" s="7"/>
      <c r="K45" s="7"/>
    </row>
    <row r="46" customFormat="false" ht="15" hidden="false" customHeight="true" outlineLevel="0" collapsed="false">
      <c r="A46" s="14"/>
      <c r="B46" s="7"/>
      <c r="C46" s="7"/>
      <c r="D46" s="7"/>
      <c r="E46" s="7"/>
      <c r="F46" s="7"/>
      <c r="G46" s="9"/>
      <c r="H46" s="9"/>
      <c r="I46" s="9"/>
      <c r="J46" s="7"/>
      <c r="K46" s="7"/>
    </row>
    <row r="47" customFormat="false" ht="15" hidden="false" customHeight="true" outlineLevel="0" collapsed="false">
      <c r="A47" s="14"/>
      <c r="B47" s="7"/>
      <c r="C47" s="7"/>
      <c r="D47" s="7"/>
      <c r="E47" s="7"/>
      <c r="F47" s="7"/>
      <c r="G47" s="9"/>
      <c r="H47" s="9"/>
      <c r="I47" s="9"/>
      <c r="J47" s="7"/>
      <c r="K47" s="7"/>
    </row>
    <row r="48" customFormat="false" ht="15" hidden="false" customHeight="true" outlineLevel="0" collapsed="false">
      <c r="A48" s="14"/>
      <c r="B48" s="7"/>
      <c r="C48" s="7"/>
      <c r="D48" s="7"/>
      <c r="E48" s="7"/>
      <c r="F48" s="7"/>
      <c r="G48" s="9"/>
      <c r="H48" s="9"/>
      <c r="I48" s="9"/>
      <c r="J48" s="7"/>
      <c r="K48" s="7"/>
    </row>
    <row r="49" customFormat="false" ht="15" hidden="false" customHeight="true" outlineLevel="0" collapsed="false">
      <c r="A49" s="14"/>
      <c r="B49" s="7"/>
      <c r="C49" s="7"/>
      <c r="D49" s="7"/>
      <c r="E49" s="7"/>
      <c r="F49" s="7"/>
      <c r="G49" s="9"/>
      <c r="H49" s="9"/>
      <c r="I49" s="9"/>
      <c r="J49" s="7"/>
      <c r="K49" s="7"/>
    </row>
    <row r="50" customFormat="false" ht="15" hidden="false" customHeight="true" outlineLevel="0" collapsed="false">
      <c r="A50" s="14"/>
      <c r="B50" s="7"/>
      <c r="C50" s="7"/>
      <c r="D50" s="7"/>
      <c r="E50" s="7"/>
      <c r="F50" s="7"/>
      <c r="G50" s="9"/>
      <c r="H50" s="9"/>
      <c r="I50" s="9"/>
      <c r="J50" s="7"/>
      <c r="K50" s="7"/>
    </row>
    <row r="51" customFormat="false" ht="15" hidden="false" customHeight="true" outlineLevel="0" collapsed="false">
      <c r="A51" s="14"/>
      <c r="B51" s="7"/>
      <c r="C51" s="7"/>
      <c r="D51" s="7"/>
      <c r="E51" s="7"/>
      <c r="F51" s="7"/>
      <c r="G51" s="9"/>
      <c r="H51" s="9"/>
      <c r="I51" s="9"/>
      <c r="J51" s="7"/>
      <c r="K51" s="7"/>
    </row>
    <row r="52" customFormat="false" ht="15" hidden="false" customHeight="true" outlineLevel="0" collapsed="false">
      <c r="A52" s="14"/>
      <c r="B52" s="7"/>
      <c r="C52" s="7"/>
      <c r="D52" s="7"/>
      <c r="E52" s="7"/>
      <c r="F52" s="7"/>
      <c r="G52" s="9"/>
      <c r="H52" s="9"/>
      <c r="I52" s="9"/>
      <c r="J52" s="7"/>
      <c r="K52" s="7"/>
    </row>
    <row r="53" customFormat="false" ht="15" hidden="false" customHeight="true" outlineLevel="0" collapsed="false">
      <c r="A53" s="14"/>
      <c r="B53" s="7"/>
      <c r="C53" s="7"/>
      <c r="D53" s="7"/>
      <c r="E53" s="7"/>
      <c r="F53" s="7"/>
      <c r="G53" s="9"/>
      <c r="H53" s="9"/>
      <c r="I53" s="9"/>
      <c r="J53" s="7"/>
      <c r="K53" s="7"/>
    </row>
    <row r="54" customFormat="false" ht="15" hidden="false" customHeight="true" outlineLevel="0" collapsed="false">
      <c r="A54" s="14"/>
      <c r="B54" s="7"/>
      <c r="C54" s="7"/>
      <c r="D54" s="7"/>
      <c r="E54" s="7"/>
      <c r="F54" s="7"/>
      <c r="G54" s="9"/>
      <c r="H54" s="9"/>
      <c r="I54" s="9"/>
      <c r="J54" s="7"/>
      <c r="K54" s="7"/>
    </row>
    <row r="55" customFormat="false" ht="15" hidden="false" customHeight="true" outlineLevel="0" collapsed="false">
      <c r="A55" s="14"/>
      <c r="B55" s="7"/>
      <c r="C55" s="7"/>
      <c r="D55" s="7"/>
      <c r="E55" s="7"/>
      <c r="F55" s="7"/>
      <c r="G55" s="9"/>
      <c r="H55" s="9"/>
      <c r="I55" s="9"/>
      <c r="J55" s="7"/>
      <c r="K55" s="7"/>
    </row>
    <row r="56" customFormat="false" ht="15" hidden="false" customHeight="true" outlineLevel="0" collapsed="false">
      <c r="A56" s="14"/>
      <c r="B56" s="7"/>
      <c r="C56" s="7"/>
      <c r="D56" s="7"/>
      <c r="E56" s="7"/>
      <c r="F56" s="7"/>
      <c r="G56" s="9"/>
      <c r="H56" s="9"/>
      <c r="I56" s="9"/>
      <c r="J56" s="7"/>
      <c r="K56" s="7"/>
    </row>
    <row r="57" customFormat="false" ht="15" hidden="false" customHeight="true" outlineLevel="0" collapsed="false">
      <c r="A57" s="14"/>
      <c r="B57" s="7"/>
      <c r="C57" s="7"/>
      <c r="D57" s="7"/>
      <c r="E57" s="7"/>
      <c r="F57" s="7"/>
      <c r="G57" s="9"/>
      <c r="H57" s="9"/>
      <c r="I57" s="9"/>
      <c r="J57" s="7"/>
      <c r="K57" s="7"/>
    </row>
    <row r="58" customFormat="false" ht="15" hidden="false" customHeight="true" outlineLevel="0" collapsed="false">
      <c r="A58" s="14"/>
      <c r="B58" s="7"/>
      <c r="C58" s="7"/>
      <c r="D58" s="7"/>
      <c r="E58" s="7"/>
      <c r="F58" s="7"/>
      <c r="G58" s="9"/>
      <c r="H58" s="9"/>
      <c r="I58" s="9"/>
      <c r="J58" s="7"/>
      <c r="K58" s="7"/>
    </row>
    <row r="59" customFormat="false" ht="15" hidden="false" customHeight="true" outlineLevel="0" collapsed="false">
      <c r="A59" s="14"/>
      <c r="B59" s="7"/>
      <c r="C59" s="7"/>
      <c r="D59" s="7"/>
      <c r="E59" s="7"/>
      <c r="F59" s="7"/>
      <c r="G59" s="9"/>
      <c r="H59" s="9"/>
      <c r="I59" s="9"/>
      <c r="J59" s="7"/>
      <c r="K59" s="7"/>
    </row>
    <row r="60" customFormat="false" ht="15" hidden="false" customHeight="true" outlineLevel="0" collapsed="false">
      <c r="A60" s="14"/>
      <c r="B60" s="7"/>
      <c r="C60" s="7"/>
      <c r="D60" s="7"/>
      <c r="E60" s="7"/>
      <c r="F60" s="7"/>
      <c r="G60" s="9"/>
      <c r="H60" s="9"/>
      <c r="I60" s="9"/>
      <c r="J60" s="7"/>
      <c r="K60" s="7"/>
    </row>
    <row r="61" customFormat="false" ht="15" hidden="false" customHeight="true" outlineLevel="0" collapsed="false">
      <c r="A61" s="14"/>
      <c r="B61" s="7"/>
      <c r="C61" s="7"/>
      <c r="D61" s="7"/>
      <c r="E61" s="7"/>
      <c r="F61" s="7"/>
      <c r="G61" s="9"/>
      <c r="H61" s="9"/>
      <c r="I61" s="9"/>
      <c r="J61" s="7"/>
      <c r="K61" s="7"/>
    </row>
    <row r="62" customFormat="false" ht="15" hidden="false" customHeight="true" outlineLevel="0" collapsed="false">
      <c r="A62" s="14"/>
      <c r="B62" s="7"/>
      <c r="C62" s="7"/>
      <c r="D62" s="7"/>
      <c r="E62" s="7"/>
      <c r="F62" s="7"/>
      <c r="G62" s="9"/>
      <c r="H62" s="9"/>
      <c r="I62" s="9"/>
      <c r="J62" s="7"/>
      <c r="K62" s="7"/>
    </row>
    <row r="63" customFormat="false" ht="15" hidden="false" customHeight="true" outlineLevel="0" collapsed="false">
      <c r="A63" s="14"/>
      <c r="B63" s="7"/>
      <c r="C63" s="7"/>
      <c r="D63" s="7"/>
      <c r="E63" s="7"/>
      <c r="F63" s="7"/>
      <c r="G63" s="9"/>
      <c r="H63" s="9"/>
      <c r="I63" s="9"/>
      <c r="J63" s="7"/>
      <c r="K63" s="7"/>
    </row>
    <row r="64" customFormat="false" ht="15" hidden="false" customHeight="true" outlineLevel="0" collapsed="false">
      <c r="A64" s="14"/>
      <c r="B64" s="7"/>
      <c r="C64" s="7"/>
      <c r="D64" s="7"/>
      <c r="E64" s="7"/>
      <c r="F64" s="7"/>
      <c r="G64" s="9"/>
      <c r="H64" s="9"/>
      <c r="I64" s="9"/>
      <c r="J64" s="7"/>
      <c r="K64" s="7"/>
    </row>
    <row r="65" customFormat="false" ht="15" hidden="false" customHeight="true" outlineLevel="0" collapsed="false">
      <c r="A65" s="14"/>
      <c r="B65" s="7"/>
      <c r="C65" s="7"/>
      <c r="D65" s="7"/>
      <c r="E65" s="7"/>
      <c r="F65" s="7"/>
      <c r="G65" s="9"/>
      <c r="H65" s="9"/>
      <c r="I65" s="9"/>
      <c r="J65" s="7"/>
      <c r="K65" s="7"/>
    </row>
    <row r="66" customFormat="false" ht="15" hidden="false" customHeight="true" outlineLevel="0" collapsed="false">
      <c r="A66" s="14"/>
      <c r="B66" s="7"/>
      <c r="C66" s="7"/>
      <c r="D66" s="7"/>
      <c r="E66" s="7"/>
      <c r="F66" s="7"/>
      <c r="G66" s="9"/>
      <c r="H66" s="9"/>
      <c r="I66" s="9"/>
      <c r="J66" s="7"/>
      <c r="K66" s="7"/>
    </row>
    <row r="67" customFormat="false" ht="15" hidden="false" customHeight="true" outlineLevel="0" collapsed="false">
      <c r="A67" s="14"/>
      <c r="B67" s="7"/>
      <c r="C67" s="7"/>
      <c r="D67" s="7"/>
      <c r="E67" s="7"/>
      <c r="F67" s="7"/>
      <c r="G67" s="9"/>
      <c r="H67" s="9"/>
      <c r="I67" s="9"/>
      <c r="J67" s="7"/>
      <c r="K67" s="7"/>
    </row>
    <row r="68" customFormat="false" ht="15" hidden="false" customHeight="true" outlineLevel="0" collapsed="false">
      <c r="A68" s="14"/>
      <c r="B68" s="7"/>
      <c r="C68" s="7"/>
      <c r="D68" s="7"/>
      <c r="E68" s="7"/>
      <c r="F68" s="7"/>
      <c r="G68" s="9"/>
      <c r="H68" s="9"/>
      <c r="I68" s="9"/>
      <c r="J68" s="7"/>
      <c r="K68" s="7"/>
    </row>
    <row r="69" customFormat="false" ht="15" hidden="false" customHeight="true" outlineLevel="0" collapsed="false">
      <c r="A69" s="14"/>
      <c r="B69" s="7"/>
      <c r="C69" s="7"/>
      <c r="D69" s="7"/>
      <c r="E69" s="7"/>
      <c r="F69" s="7"/>
      <c r="G69" s="9"/>
      <c r="H69" s="9"/>
      <c r="I69" s="9"/>
      <c r="J69" s="7"/>
      <c r="K69" s="7"/>
    </row>
    <row r="70" customFormat="false" ht="15" hidden="false" customHeight="true" outlineLevel="0" collapsed="false">
      <c r="A70" s="14"/>
      <c r="B70" s="7"/>
      <c r="C70" s="7"/>
      <c r="D70" s="7"/>
      <c r="E70" s="7"/>
      <c r="F70" s="7"/>
      <c r="G70" s="9"/>
      <c r="H70" s="9"/>
      <c r="I70" s="9"/>
      <c r="J70" s="7"/>
      <c r="K70" s="7"/>
    </row>
    <row r="71" customFormat="false" ht="15" hidden="false" customHeight="true" outlineLevel="0" collapsed="false">
      <c r="A71" s="14"/>
      <c r="B71" s="7"/>
      <c r="C71" s="7"/>
      <c r="D71" s="7"/>
      <c r="E71" s="7"/>
      <c r="F71" s="7"/>
      <c r="G71" s="9"/>
      <c r="H71" s="9"/>
      <c r="I71" s="9"/>
      <c r="J71" s="7"/>
      <c r="K71" s="7"/>
    </row>
    <row r="72" customFormat="false" ht="15" hidden="false" customHeight="true" outlineLevel="0" collapsed="false">
      <c r="A72" s="14"/>
      <c r="B72" s="7"/>
      <c r="C72" s="7"/>
      <c r="D72" s="7"/>
      <c r="E72" s="7"/>
      <c r="F72" s="7"/>
      <c r="G72" s="9"/>
      <c r="H72" s="9"/>
      <c r="I72" s="9"/>
      <c r="J72" s="7"/>
      <c r="K72" s="7"/>
    </row>
    <row r="73" customFormat="false" ht="15" hidden="false" customHeight="true" outlineLevel="0" collapsed="false">
      <c r="A73" s="14"/>
      <c r="B73" s="7"/>
      <c r="C73" s="7"/>
      <c r="D73" s="7"/>
      <c r="E73" s="7"/>
      <c r="F73" s="7"/>
      <c r="G73" s="9"/>
      <c r="H73" s="9"/>
      <c r="I73" s="9"/>
      <c r="J73" s="7"/>
      <c r="K73" s="7"/>
    </row>
    <row r="74" customFormat="false" ht="15" hidden="false" customHeight="true" outlineLevel="0" collapsed="false">
      <c r="A74" s="14"/>
      <c r="B74" s="7"/>
      <c r="C74" s="7"/>
      <c r="D74" s="7"/>
      <c r="E74" s="7"/>
      <c r="F74" s="7"/>
      <c r="G74" s="9"/>
      <c r="H74" s="9"/>
      <c r="I74" s="9"/>
      <c r="J74" s="7"/>
      <c r="K74" s="7"/>
    </row>
    <row r="75" customFormat="false" ht="15" hidden="false" customHeight="true" outlineLevel="0" collapsed="false">
      <c r="A75" s="14"/>
      <c r="B75" s="7"/>
      <c r="C75" s="7"/>
      <c r="D75" s="7"/>
      <c r="E75" s="7"/>
      <c r="F75" s="7"/>
      <c r="G75" s="9"/>
      <c r="H75" s="9"/>
      <c r="I75" s="9"/>
      <c r="J75" s="7"/>
      <c r="K75" s="7"/>
    </row>
    <row r="76" customFormat="false" ht="15" hidden="false" customHeight="true" outlineLevel="0" collapsed="false">
      <c r="A76" s="14"/>
      <c r="B76" s="7"/>
      <c r="C76" s="7"/>
      <c r="D76" s="7"/>
      <c r="E76" s="7"/>
      <c r="F76" s="7"/>
      <c r="G76" s="9"/>
      <c r="H76" s="9"/>
      <c r="I76" s="9"/>
      <c r="J76" s="7"/>
      <c r="K76" s="7"/>
    </row>
    <row r="77" customFormat="false" ht="15" hidden="false" customHeight="true" outlineLevel="0" collapsed="false">
      <c r="A77" s="14"/>
      <c r="B77" s="7"/>
      <c r="C77" s="7"/>
      <c r="D77" s="7"/>
      <c r="E77" s="7"/>
      <c r="F77" s="7"/>
      <c r="G77" s="9"/>
      <c r="H77" s="9"/>
      <c r="I77" s="9"/>
      <c r="J77" s="7"/>
      <c r="K77" s="7"/>
    </row>
    <row r="78" customFormat="false" ht="15" hidden="false" customHeight="true" outlineLevel="0" collapsed="false">
      <c r="A78" s="14"/>
      <c r="B78" s="7"/>
      <c r="C78" s="7"/>
      <c r="D78" s="7"/>
      <c r="E78" s="7"/>
      <c r="F78" s="7"/>
      <c r="G78" s="9"/>
      <c r="H78" s="9"/>
      <c r="I78" s="9"/>
      <c r="J78" s="7"/>
      <c r="K78" s="7"/>
    </row>
    <row r="79" customFormat="false" ht="15" hidden="false" customHeight="true" outlineLevel="0" collapsed="false">
      <c r="A79" s="14"/>
      <c r="B79" s="7"/>
      <c r="C79" s="7"/>
      <c r="D79" s="7"/>
      <c r="E79" s="7"/>
      <c r="F79" s="7"/>
      <c r="G79" s="9"/>
      <c r="H79" s="9"/>
      <c r="I79" s="9"/>
      <c r="J79" s="7"/>
      <c r="K79" s="7"/>
    </row>
    <row r="80" customFormat="false" ht="15" hidden="false" customHeight="true" outlineLevel="0" collapsed="false">
      <c r="A80" s="14"/>
      <c r="B80" s="7"/>
      <c r="C80" s="7"/>
      <c r="D80" s="7"/>
      <c r="E80" s="7"/>
      <c r="F80" s="7"/>
      <c r="G80" s="9"/>
      <c r="H80" s="9"/>
      <c r="I80" s="9"/>
      <c r="J80" s="7"/>
      <c r="K80" s="7"/>
    </row>
    <row r="81" customFormat="false" ht="15" hidden="false" customHeight="true" outlineLevel="0" collapsed="false">
      <c r="A81" s="14"/>
      <c r="B81" s="7"/>
      <c r="C81" s="7"/>
      <c r="D81" s="7"/>
      <c r="E81" s="7"/>
      <c r="F81" s="7"/>
      <c r="G81" s="9"/>
      <c r="H81" s="9"/>
      <c r="I81" s="9"/>
      <c r="J81" s="7"/>
      <c r="K81" s="7"/>
    </row>
    <row r="82" customFormat="false" ht="15" hidden="false" customHeight="true" outlineLevel="0" collapsed="false">
      <c r="A82" s="14"/>
      <c r="B82" s="7"/>
      <c r="C82" s="7"/>
      <c r="D82" s="7"/>
      <c r="E82" s="7"/>
      <c r="F82" s="7"/>
      <c r="G82" s="9"/>
      <c r="H82" s="9"/>
      <c r="I82" s="9"/>
      <c r="J82" s="7"/>
      <c r="K82" s="7"/>
    </row>
    <row r="83" customFormat="false" ht="15" hidden="false" customHeight="true" outlineLevel="0" collapsed="false">
      <c r="A83" s="14"/>
      <c r="B83" s="7"/>
      <c r="C83" s="7"/>
      <c r="D83" s="7"/>
      <c r="E83" s="7"/>
      <c r="F83" s="7"/>
      <c r="G83" s="9"/>
      <c r="H83" s="9"/>
      <c r="I83" s="9"/>
      <c r="J83" s="7"/>
      <c r="K83" s="7"/>
    </row>
    <row r="84" customFormat="false" ht="15" hidden="false" customHeight="true" outlineLevel="0" collapsed="false">
      <c r="A84" s="14"/>
      <c r="B84" s="7"/>
      <c r="C84" s="7"/>
      <c r="D84" s="7"/>
      <c r="E84" s="7"/>
      <c r="F84" s="7"/>
      <c r="G84" s="9"/>
      <c r="H84" s="9"/>
      <c r="I84" s="9"/>
      <c r="J84" s="7"/>
      <c r="K84" s="7"/>
    </row>
    <row r="85" customFormat="false" ht="15" hidden="false" customHeight="true" outlineLevel="0" collapsed="false">
      <c r="A85" s="14"/>
      <c r="B85" s="7"/>
      <c r="C85" s="7"/>
      <c r="D85" s="7"/>
      <c r="E85" s="7"/>
      <c r="F85" s="7"/>
      <c r="G85" s="9"/>
      <c r="H85" s="9"/>
      <c r="I85" s="9"/>
      <c r="J85" s="7"/>
      <c r="K85" s="7"/>
    </row>
    <row r="86" customFormat="false" ht="15" hidden="false" customHeight="true" outlineLevel="0" collapsed="false">
      <c r="A86" s="14"/>
      <c r="B86" s="7"/>
      <c r="C86" s="7"/>
      <c r="D86" s="7"/>
      <c r="E86" s="7"/>
      <c r="F86" s="7"/>
      <c r="G86" s="9"/>
      <c r="H86" s="9"/>
      <c r="I86" s="9"/>
      <c r="J86" s="7"/>
      <c r="K86" s="7"/>
    </row>
    <row r="87" customFormat="false" ht="15" hidden="false" customHeight="true" outlineLevel="0" collapsed="false">
      <c r="A87" s="14"/>
      <c r="B87" s="7"/>
      <c r="C87" s="7"/>
      <c r="D87" s="7"/>
      <c r="E87" s="7"/>
      <c r="F87" s="7"/>
      <c r="G87" s="9"/>
      <c r="H87" s="9"/>
      <c r="I87" s="9"/>
      <c r="J87" s="7"/>
      <c r="K87" s="7"/>
    </row>
    <row r="88" customFormat="false" ht="15" hidden="false" customHeight="true" outlineLevel="0" collapsed="false">
      <c r="A88" s="14"/>
      <c r="B88" s="7"/>
      <c r="C88" s="7"/>
      <c r="D88" s="7"/>
      <c r="E88" s="7"/>
      <c r="F88" s="7"/>
      <c r="G88" s="9"/>
      <c r="H88" s="9"/>
      <c r="I88" s="9"/>
      <c r="J88" s="7"/>
      <c r="K88" s="7"/>
    </row>
    <row r="89" customFormat="false" ht="15" hidden="false" customHeight="true" outlineLevel="0" collapsed="false">
      <c r="A89" s="14"/>
      <c r="B89" s="7"/>
      <c r="C89" s="7"/>
      <c r="D89" s="7"/>
      <c r="E89" s="7"/>
      <c r="F89" s="7"/>
      <c r="G89" s="9"/>
      <c r="H89" s="9"/>
      <c r="I89" s="9"/>
      <c r="J89" s="7"/>
      <c r="K89" s="7"/>
    </row>
    <row r="90" customFormat="false" ht="15" hidden="false" customHeight="true" outlineLevel="0" collapsed="false">
      <c r="A90" s="14"/>
      <c r="B90" s="7"/>
      <c r="C90" s="7"/>
      <c r="D90" s="7"/>
      <c r="E90" s="7"/>
      <c r="F90" s="7"/>
      <c r="G90" s="9"/>
      <c r="H90" s="9"/>
      <c r="I90" s="9"/>
      <c r="J90" s="7"/>
      <c r="K90" s="7"/>
    </row>
    <row r="91" customFormat="false" ht="15" hidden="false" customHeight="true" outlineLevel="0" collapsed="false">
      <c r="A91" s="14"/>
      <c r="B91" s="7"/>
      <c r="C91" s="7"/>
      <c r="D91" s="7"/>
      <c r="E91" s="7"/>
      <c r="F91" s="7"/>
      <c r="G91" s="9"/>
      <c r="H91" s="9"/>
      <c r="I91" s="9"/>
      <c r="J91" s="7"/>
      <c r="K91" s="7"/>
    </row>
    <row r="92" customFormat="false" ht="15" hidden="false" customHeight="true" outlineLevel="0" collapsed="false">
      <c r="A92" s="14"/>
      <c r="B92" s="7"/>
      <c r="C92" s="7"/>
      <c r="D92" s="7"/>
      <c r="E92" s="7"/>
      <c r="F92" s="7"/>
      <c r="G92" s="9"/>
      <c r="H92" s="9"/>
      <c r="I92" s="9"/>
      <c r="J92" s="7"/>
      <c r="K92" s="7"/>
    </row>
    <row r="93" customFormat="false" ht="15" hidden="false" customHeight="true" outlineLevel="0" collapsed="false">
      <c r="A93" s="14"/>
      <c r="B93" s="7"/>
      <c r="C93" s="7"/>
      <c r="D93" s="7"/>
      <c r="E93" s="7"/>
      <c r="F93" s="7"/>
      <c r="G93" s="9"/>
      <c r="H93" s="9"/>
      <c r="I93" s="9"/>
      <c r="J93" s="7"/>
      <c r="K93" s="7"/>
    </row>
    <row r="94" customFormat="false" ht="15" hidden="false" customHeight="true" outlineLevel="0" collapsed="false">
      <c r="A94" s="14"/>
      <c r="B94" s="7"/>
      <c r="C94" s="7"/>
      <c r="D94" s="7"/>
      <c r="E94" s="7"/>
      <c r="F94" s="7"/>
      <c r="G94" s="9"/>
      <c r="H94" s="9"/>
      <c r="I94" s="9"/>
      <c r="J94" s="7"/>
      <c r="K94" s="7"/>
    </row>
    <row r="95" customFormat="false" ht="15" hidden="false" customHeight="true" outlineLevel="0" collapsed="false">
      <c r="A95" s="14"/>
      <c r="B95" s="7"/>
      <c r="C95" s="7"/>
      <c r="D95" s="7"/>
      <c r="E95" s="7"/>
      <c r="F95" s="7"/>
      <c r="G95" s="9"/>
      <c r="H95" s="9"/>
      <c r="I95" s="9"/>
      <c r="J95" s="7"/>
      <c r="K95" s="7"/>
    </row>
    <row r="96" customFormat="false" ht="15" hidden="false" customHeight="true" outlineLevel="0" collapsed="false">
      <c r="A96" s="14"/>
      <c r="B96" s="7"/>
      <c r="C96" s="7"/>
      <c r="D96" s="7"/>
      <c r="E96" s="7"/>
      <c r="F96" s="7"/>
      <c r="G96" s="9"/>
      <c r="H96" s="9"/>
      <c r="I96" s="9"/>
      <c r="J96" s="7"/>
      <c r="K96" s="7"/>
    </row>
    <row r="97" customFormat="false" ht="15" hidden="false" customHeight="true" outlineLevel="0" collapsed="false">
      <c r="A97" s="14"/>
      <c r="B97" s="7"/>
      <c r="C97" s="7"/>
      <c r="D97" s="7"/>
      <c r="E97" s="7"/>
      <c r="F97" s="7"/>
      <c r="G97" s="9"/>
      <c r="H97" s="9"/>
      <c r="I97" s="9"/>
      <c r="J97" s="7"/>
      <c r="K97" s="7"/>
    </row>
    <row r="98" customFormat="false" ht="15" hidden="false" customHeight="true" outlineLevel="0" collapsed="false">
      <c r="A98" s="14"/>
      <c r="B98" s="7"/>
      <c r="C98" s="7"/>
      <c r="D98" s="7"/>
      <c r="E98" s="7"/>
      <c r="F98" s="7"/>
      <c r="G98" s="9"/>
      <c r="H98" s="9"/>
      <c r="I98" s="9"/>
      <c r="J98" s="7"/>
      <c r="K98" s="7"/>
    </row>
    <row r="99" customFormat="false" ht="15" hidden="false" customHeight="true" outlineLevel="0" collapsed="false">
      <c r="A99" s="14"/>
      <c r="B99" s="7"/>
      <c r="C99" s="7"/>
      <c r="D99" s="7"/>
      <c r="E99" s="7"/>
      <c r="F99" s="7"/>
      <c r="G99" s="9"/>
      <c r="H99" s="9"/>
      <c r="I99" s="9"/>
      <c r="J99" s="7"/>
      <c r="K99" s="7"/>
    </row>
    <row r="100" customFormat="false" ht="15" hidden="false" customHeight="true" outlineLevel="0" collapsed="false">
      <c r="A100" s="14"/>
      <c r="B100" s="7"/>
      <c r="C100" s="7"/>
      <c r="D100" s="7"/>
      <c r="E100" s="7"/>
      <c r="F100" s="7"/>
      <c r="G100" s="9"/>
      <c r="H100" s="9"/>
      <c r="I100" s="9"/>
      <c r="J100" s="7"/>
      <c r="K100" s="7"/>
    </row>
    <row r="101" customFormat="false" ht="15" hidden="false" customHeight="true" outlineLevel="0" collapsed="false">
      <c r="A101" s="14"/>
      <c r="B101" s="7"/>
      <c r="C101" s="7"/>
      <c r="D101" s="7"/>
      <c r="E101" s="7"/>
      <c r="F101" s="7"/>
      <c r="G101" s="9"/>
      <c r="H101" s="9"/>
      <c r="I101" s="9"/>
      <c r="J101" s="7"/>
      <c r="K101" s="7"/>
    </row>
    <row r="102" customFormat="false" ht="15" hidden="false" customHeight="true" outlineLevel="0" collapsed="false">
      <c r="A102" s="14"/>
      <c r="B102" s="7"/>
      <c r="C102" s="7"/>
      <c r="D102" s="7"/>
      <c r="E102" s="7"/>
      <c r="F102" s="7"/>
      <c r="G102" s="9"/>
      <c r="H102" s="9"/>
      <c r="I102" s="9"/>
      <c r="J102" s="7"/>
      <c r="K102" s="7"/>
    </row>
    <row r="103" customFormat="false" ht="15" hidden="false" customHeight="true" outlineLevel="0" collapsed="false">
      <c r="A103" s="14"/>
      <c r="B103" s="7"/>
      <c r="C103" s="7"/>
      <c r="D103" s="7"/>
      <c r="E103" s="7"/>
      <c r="F103" s="7"/>
      <c r="G103" s="9"/>
      <c r="H103" s="9"/>
      <c r="I103" s="9"/>
      <c r="J103" s="7"/>
      <c r="K103" s="7"/>
    </row>
    <row r="104" customFormat="false" ht="15" hidden="false" customHeight="true" outlineLevel="0" collapsed="false">
      <c r="A104" s="14"/>
      <c r="B104" s="7"/>
      <c r="C104" s="7"/>
      <c r="D104" s="7"/>
      <c r="E104" s="7"/>
      <c r="F104" s="7"/>
      <c r="G104" s="9"/>
      <c r="H104" s="9"/>
      <c r="I104" s="9"/>
      <c r="J104" s="7"/>
      <c r="K104" s="7"/>
    </row>
    <row r="105" customFormat="false" ht="15" hidden="false" customHeight="true" outlineLevel="0" collapsed="false">
      <c r="A105" s="14"/>
      <c r="B105" s="7"/>
      <c r="C105" s="7"/>
      <c r="D105" s="7"/>
      <c r="E105" s="7"/>
      <c r="F105" s="7"/>
      <c r="G105" s="9"/>
      <c r="H105" s="9"/>
      <c r="I105" s="9"/>
      <c r="J105" s="7"/>
      <c r="K105" s="7"/>
    </row>
    <row r="106" customFormat="false" ht="15" hidden="false" customHeight="true" outlineLevel="0" collapsed="false">
      <c r="A106" s="14"/>
      <c r="B106" s="7"/>
      <c r="C106" s="7"/>
      <c r="D106" s="7"/>
      <c r="E106" s="7"/>
      <c r="F106" s="7"/>
      <c r="G106" s="9"/>
      <c r="H106" s="9"/>
      <c r="I106" s="9"/>
      <c r="J106" s="7"/>
      <c r="K106" s="7"/>
    </row>
    <row r="107" customFormat="false" ht="15" hidden="false" customHeight="true" outlineLevel="0" collapsed="false">
      <c r="A107" s="14"/>
      <c r="B107" s="7"/>
      <c r="C107" s="7"/>
      <c r="D107" s="7"/>
      <c r="E107" s="7"/>
      <c r="F107" s="7"/>
      <c r="G107" s="9"/>
      <c r="H107" s="9"/>
      <c r="I107" s="9"/>
      <c r="J107" s="7"/>
      <c r="K107" s="7"/>
    </row>
    <row r="108" customFormat="false" ht="15" hidden="false" customHeight="true" outlineLevel="0" collapsed="false">
      <c r="A108" s="14"/>
      <c r="B108" s="7"/>
      <c r="C108" s="7"/>
      <c r="D108" s="7"/>
      <c r="E108" s="7"/>
      <c r="F108" s="7"/>
      <c r="G108" s="9"/>
      <c r="H108" s="9"/>
      <c r="I108" s="9"/>
      <c r="J108" s="7"/>
      <c r="K108" s="7"/>
    </row>
    <row r="109" customFormat="false" ht="15" hidden="false" customHeight="true" outlineLevel="0" collapsed="false">
      <c r="A109" s="14"/>
      <c r="B109" s="7"/>
      <c r="C109" s="7"/>
      <c r="D109" s="7"/>
      <c r="E109" s="7"/>
      <c r="F109" s="7"/>
      <c r="G109" s="9"/>
      <c r="H109" s="9"/>
      <c r="I109" s="9"/>
      <c r="J109" s="7"/>
      <c r="K109" s="7"/>
    </row>
    <row r="110" customFormat="false" ht="15" hidden="false" customHeight="true" outlineLevel="0" collapsed="false">
      <c r="A110" s="14"/>
      <c r="B110" s="7"/>
      <c r="C110" s="7"/>
      <c r="D110" s="7"/>
      <c r="E110" s="7"/>
      <c r="F110" s="7"/>
      <c r="G110" s="9"/>
      <c r="H110" s="9"/>
      <c r="I110" s="9"/>
      <c r="J110" s="7"/>
      <c r="K110" s="7"/>
    </row>
    <row r="111" customFormat="false" ht="15" hidden="false" customHeight="true" outlineLevel="0" collapsed="false">
      <c r="A111" s="14"/>
      <c r="B111" s="7"/>
      <c r="C111" s="7"/>
      <c r="D111" s="7"/>
      <c r="E111" s="7"/>
      <c r="F111" s="7"/>
      <c r="G111" s="9"/>
      <c r="H111" s="9"/>
      <c r="I111" s="9"/>
      <c r="J111" s="7"/>
      <c r="K111" s="7"/>
    </row>
    <row r="112" customFormat="false" ht="15" hidden="false" customHeight="true" outlineLevel="0" collapsed="false">
      <c r="A112" s="14"/>
      <c r="B112" s="7"/>
      <c r="C112" s="7"/>
      <c r="D112" s="7"/>
      <c r="E112" s="7"/>
      <c r="F112" s="7"/>
      <c r="G112" s="9"/>
      <c r="H112" s="9"/>
      <c r="I112" s="9"/>
      <c r="J112" s="7"/>
      <c r="K112" s="7"/>
    </row>
    <row r="113" customFormat="false" ht="15" hidden="false" customHeight="true" outlineLevel="0" collapsed="false">
      <c r="A113" s="14"/>
      <c r="B113" s="7"/>
      <c r="C113" s="7"/>
      <c r="D113" s="7"/>
      <c r="E113" s="7"/>
      <c r="F113" s="7"/>
      <c r="G113" s="9"/>
      <c r="H113" s="9"/>
      <c r="I113" s="9"/>
      <c r="J113" s="7"/>
      <c r="K113" s="7"/>
    </row>
    <row r="114" customFormat="false" ht="15" hidden="false" customHeight="true" outlineLevel="0" collapsed="false">
      <c r="A114" s="14"/>
      <c r="B114" s="7"/>
      <c r="C114" s="7"/>
      <c r="D114" s="7"/>
      <c r="E114" s="7"/>
      <c r="F114" s="7"/>
      <c r="G114" s="9"/>
      <c r="H114" s="9"/>
      <c r="I114" s="9"/>
      <c r="J114" s="7"/>
      <c r="K114" s="7"/>
    </row>
    <row r="115" customFormat="false" ht="15" hidden="false" customHeight="true" outlineLevel="0" collapsed="false">
      <c r="A115" s="14"/>
      <c r="B115" s="7"/>
      <c r="C115" s="7"/>
      <c r="D115" s="7"/>
      <c r="E115" s="7"/>
      <c r="F115" s="7"/>
      <c r="G115" s="9"/>
      <c r="H115" s="9"/>
      <c r="I115" s="9"/>
      <c r="J115" s="7"/>
      <c r="K115" s="7"/>
    </row>
    <row r="116" customFormat="false" ht="15" hidden="false" customHeight="true" outlineLevel="0" collapsed="false">
      <c r="A116" s="14"/>
      <c r="B116" s="7"/>
      <c r="C116" s="7"/>
      <c r="D116" s="7"/>
      <c r="E116" s="7"/>
      <c r="F116" s="7"/>
      <c r="G116" s="9"/>
      <c r="H116" s="9"/>
      <c r="I116" s="9"/>
      <c r="J116" s="7"/>
      <c r="K116" s="7"/>
    </row>
    <row r="117" customFormat="false" ht="15" hidden="false" customHeight="true" outlineLevel="0" collapsed="false">
      <c r="A117" s="14"/>
      <c r="B117" s="7"/>
      <c r="C117" s="7"/>
      <c r="D117" s="7"/>
      <c r="E117" s="7"/>
      <c r="F117" s="7"/>
      <c r="G117" s="9"/>
      <c r="H117" s="9"/>
      <c r="I117" s="9"/>
      <c r="J117" s="7"/>
      <c r="K117" s="7"/>
    </row>
    <row r="118" customFormat="false" ht="15" hidden="false" customHeight="true" outlineLevel="0" collapsed="false">
      <c r="A118" s="14"/>
      <c r="B118" s="7"/>
      <c r="C118" s="7"/>
      <c r="D118" s="7"/>
      <c r="E118" s="7"/>
      <c r="F118" s="7"/>
      <c r="G118" s="9"/>
      <c r="H118" s="9"/>
      <c r="I118" s="9"/>
      <c r="J118" s="7"/>
      <c r="K118" s="7"/>
    </row>
    <row r="119" customFormat="false" ht="15" hidden="false" customHeight="true" outlineLevel="0" collapsed="false">
      <c r="A119" s="14"/>
      <c r="B119" s="7"/>
      <c r="C119" s="7"/>
      <c r="D119" s="7"/>
      <c r="E119" s="7"/>
      <c r="F119" s="7"/>
      <c r="G119" s="9"/>
      <c r="H119" s="9"/>
      <c r="I119" s="9"/>
      <c r="J119" s="7"/>
      <c r="K119" s="7"/>
    </row>
    <row r="120" customFormat="false" ht="15" hidden="false" customHeight="true" outlineLevel="0" collapsed="false">
      <c r="A120" s="14"/>
      <c r="B120" s="7"/>
      <c r="C120" s="7"/>
      <c r="D120" s="7"/>
      <c r="E120" s="7"/>
      <c r="F120" s="7"/>
      <c r="G120" s="9"/>
      <c r="H120" s="9"/>
      <c r="I120" s="9"/>
      <c r="J120" s="7"/>
      <c r="K120" s="7"/>
    </row>
    <row r="121" customFormat="false" ht="15" hidden="false" customHeight="true" outlineLevel="0" collapsed="false">
      <c r="A121" s="14"/>
      <c r="B121" s="7"/>
      <c r="C121" s="7"/>
      <c r="D121" s="7"/>
      <c r="E121" s="7"/>
      <c r="F121" s="7"/>
      <c r="G121" s="9"/>
      <c r="H121" s="9"/>
      <c r="I121" s="9"/>
      <c r="J121" s="7"/>
      <c r="K121" s="7"/>
    </row>
    <row r="122" customFormat="false" ht="15" hidden="false" customHeight="true" outlineLevel="0" collapsed="false">
      <c r="A122" s="14"/>
      <c r="B122" s="7"/>
      <c r="C122" s="7"/>
      <c r="D122" s="7"/>
      <c r="E122" s="7"/>
      <c r="F122" s="7"/>
      <c r="G122" s="9"/>
      <c r="H122" s="9"/>
      <c r="I122" s="9"/>
      <c r="J122" s="7"/>
      <c r="K122" s="7"/>
    </row>
    <row r="123" customFormat="false" ht="15" hidden="false" customHeight="true" outlineLevel="0" collapsed="false">
      <c r="A123" s="14"/>
      <c r="B123" s="7"/>
      <c r="C123" s="7"/>
      <c r="D123" s="7"/>
      <c r="E123" s="7"/>
      <c r="F123" s="7"/>
      <c r="G123" s="9"/>
      <c r="H123" s="9"/>
      <c r="I123" s="9"/>
      <c r="J123" s="7"/>
      <c r="K123" s="7"/>
    </row>
    <row r="124" customFormat="false" ht="15" hidden="false" customHeight="true" outlineLevel="0" collapsed="false">
      <c r="A124" s="14"/>
      <c r="B124" s="7"/>
      <c r="C124" s="7"/>
      <c r="D124" s="7"/>
      <c r="E124" s="7"/>
      <c r="F124" s="7"/>
      <c r="G124" s="9"/>
      <c r="H124" s="9"/>
      <c r="I124" s="9"/>
      <c r="J124" s="7"/>
      <c r="K124" s="7"/>
    </row>
    <row r="125" customFormat="false" ht="15" hidden="false" customHeight="true" outlineLevel="0" collapsed="false">
      <c r="A125" s="14"/>
      <c r="B125" s="7"/>
      <c r="C125" s="7"/>
      <c r="D125" s="7"/>
      <c r="E125" s="7"/>
      <c r="F125" s="7"/>
      <c r="G125" s="9"/>
      <c r="H125" s="9"/>
      <c r="I125" s="9"/>
      <c r="J125" s="7"/>
      <c r="K125" s="7"/>
    </row>
    <row r="126" customFormat="false" ht="15" hidden="false" customHeight="true" outlineLevel="0" collapsed="false">
      <c r="A126" s="14"/>
      <c r="B126" s="7"/>
      <c r="C126" s="7"/>
      <c r="D126" s="7"/>
      <c r="E126" s="7"/>
      <c r="F126" s="7"/>
      <c r="G126" s="9"/>
      <c r="H126" s="9"/>
      <c r="I126" s="9"/>
      <c r="J126" s="7"/>
      <c r="K126" s="7"/>
    </row>
    <row r="127" customFormat="false" ht="15" hidden="false" customHeight="true" outlineLevel="0" collapsed="false">
      <c r="A127" s="14"/>
      <c r="B127" s="7"/>
      <c r="C127" s="7"/>
      <c r="D127" s="7"/>
      <c r="E127" s="7"/>
      <c r="F127" s="7"/>
      <c r="G127" s="9"/>
      <c r="H127" s="9"/>
      <c r="I127" s="9"/>
      <c r="J127" s="7"/>
      <c r="K127" s="7"/>
    </row>
    <row r="128" customFormat="false" ht="15" hidden="false" customHeight="true" outlineLevel="0" collapsed="false">
      <c r="A128" s="14"/>
      <c r="B128" s="7"/>
      <c r="C128" s="7"/>
      <c r="D128" s="7"/>
      <c r="E128" s="7"/>
      <c r="F128" s="7"/>
      <c r="G128" s="9"/>
      <c r="H128" s="9"/>
      <c r="I128" s="9"/>
      <c r="J128" s="7"/>
      <c r="K128" s="7"/>
    </row>
    <row r="129" customFormat="false" ht="15" hidden="false" customHeight="true" outlineLevel="0" collapsed="false">
      <c r="A129" s="14"/>
      <c r="B129" s="7"/>
      <c r="C129" s="7"/>
      <c r="D129" s="7"/>
      <c r="E129" s="7"/>
      <c r="F129" s="7"/>
      <c r="G129" s="9"/>
      <c r="H129" s="9"/>
      <c r="I129" s="9"/>
      <c r="J129" s="7"/>
      <c r="K129" s="7"/>
    </row>
    <row r="130" customFormat="false" ht="15" hidden="false" customHeight="true" outlineLevel="0" collapsed="false">
      <c r="A130" s="14"/>
      <c r="B130" s="7"/>
      <c r="C130" s="7"/>
      <c r="D130" s="7"/>
      <c r="E130" s="7"/>
      <c r="F130" s="7"/>
      <c r="G130" s="9"/>
      <c r="H130" s="9"/>
      <c r="I130" s="9"/>
      <c r="J130" s="7"/>
      <c r="K130" s="7"/>
    </row>
    <row r="131" customFormat="false" ht="15" hidden="false" customHeight="true" outlineLevel="0" collapsed="false">
      <c r="A131" s="14"/>
      <c r="B131" s="7"/>
      <c r="C131" s="7"/>
      <c r="D131" s="7"/>
      <c r="E131" s="7"/>
      <c r="F131" s="7"/>
      <c r="G131" s="9"/>
      <c r="H131" s="9"/>
      <c r="I131" s="9"/>
      <c r="J131" s="7"/>
      <c r="K131" s="7"/>
    </row>
    <row r="132" customFormat="false" ht="15" hidden="false" customHeight="true" outlineLevel="0" collapsed="false">
      <c r="A132" s="14"/>
      <c r="B132" s="7"/>
      <c r="C132" s="7"/>
      <c r="D132" s="7"/>
      <c r="E132" s="7"/>
      <c r="F132" s="7"/>
      <c r="G132" s="9"/>
      <c r="H132" s="9"/>
      <c r="I132" s="9"/>
      <c r="J132" s="7"/>
      <c r="K132" s="7"/>
    </row>
    <row r="133" customFormat="false" ht="15" hidden="false" customHeight="true" outlineLevel="0" collapsed="false">
      <c r="A133" s="14"/>
      <c r="B133" s="7"/>
      <c r="C133" s="7"/>
      <c r="D133" s="7"/>
      <c r="E133" s="7"/>
      <c r="F133" s="7"/>
      <c r="G133" s="9"/>
      <c r="H133" s="9"/>
      <c r="I133" s="9"/>
      <c r="J133" s="7"/>
      <c r="K133" s="7"/>
    </row>
    <row r="134" customFormat="false" ht="15" hidden="false" customHeight="true" outlineLevel="0" collapsed="false">
      <c r="A134" s="14"/>
      <c r="B134" s="7"/>
      <c r="C134" s="7"/>
      <c r="D134" s="7"/>
      <c r="E134" s="7"/>
      <c r="F134" s="7"/>
      <c r="G134" s="9"/>
      <c r="H134" s="9"/>
      <c r="I134" s="9"/>
      <c r="J134" s="7"/>
      <c r="K134" s="7"/>
    </row>
    <row r="135" customFormat="false" ht="15" hidden="false" customHeight="true" outlineLevel="0" collapsed="false">
      <c r="A135" s="14"/>
      <c r="B135" s="7"/>
      <c r="C135" s="7"/>
      <c r="D135" s="7"/>
      <c r="E135" s="7"/>
      <c r="F135" s="7"/>
      <c r="G135" s="9"/>
      <c r="H135" s="9"/>
      <c r="I135" s="9"/>
      <c r="J135" s="7"/>
      <c r="K135" s="7"/>
    </row>
    <row r="136" customFormat="false" ht="15" hidden="false" customHeight="true" outlineLevel="0" collapsed="false">
      <c r="A136" s="14"/>
      <c r="B136" s="7"/>
      <c r="C136" s="7"/>
      <c r="D136" s="7"/>
      <c r="E136" s="7"/>
      <c r="F136" s="7"/>
      <c r="G136" s="9"/>
      <c r="H136" s="9"/>
      <c r="I136" s="9"/>
      <c r="J136" s="7"/>
      <c r="K136" s="7"/>
    </row>
    <row r="137" customFormat="false" ht="15" hidden="false" customHeight="true" outlineLevel="0" collapsed="false">
      <c r="A137" s="14"/>
      <c r="B137" s="7"/>
      <c r="C137" s="7"/>
      <c r="D137" s="7"/>
      <c r="E137" s="7"/>
      <c r="F137" s="7"/>
      <c r="G137" s="9"/>
      <c r="H137" s="9"/>
      <c r="I137" s="9"/>
      <c r="J137" s="7"/>
      <c r="K137" s="7"/>
    </row>
    <row r="138" customFormat="false" ht="15" hidden="false" customHeight="true" outlineLevel="0" collapsed="false">
      <c r="A138" s="14"/>
      <c r="B138" s="7"/>
      <c r="C138" s="7"/>
      <c r="D138" s="7"/>
      <c r="E138" s="7"/>
      <c r="F138" s="7"/>
      <c r="G138" s="9"/>
      <c r="H138" s="9"/>
      <c r="I138" s="9"/>
      <c r="J138" s="7"/>
      <c r="K138" s="7"/>
    </row>
    <row r="139" customFormat="false" ht="15" hidden="false" customHeight="true" outlineLevel="0" collapsed="false">
      <c r="A139" s="14"/>
      <c r="B139" s="7"/>
      <c r="C139" s="7"/>
      <c r="D139" s="7"/>
      <c r="E139" s="7"/>
      <c r="F139" s="7"/>
      <c r="G139" s="9"/>
      <c r="H139" s="9"/>
      <c r="I139" s="9"/>
      <c r="J139" s="7"/>
      <c r="K139" s="7"/>
    </row>
    <row r="140" customFormat="false" ht="15" hidden="false" customHeight="true" outlineLevel="0" collapsed="false">
      <c r="A140" s="14"/>
      <c r="B140" s="7"/>
      <c r="C140" s="7"/>
      <c r="D140" s="7"/>
      <c r="E140" s="7"/>
      <c r="F140" s="7"/>
      <c r="G140" s="9"/>
      <c r="H140" s="9"/>
      <c r="I140" s="9"/>
      <c r="J140" s="7"/>
      <c r="K140" s="7"/>
    </row>
    <row r="141" customFormat="false" ht="15" hidden="false" customHeight="true" outlineLevel="0" collapsed="false">
      <c r="A141" s="14"/>
      <c r="B141" s="7"/>
      <c r="C141" s="7"/>
      <c r="D141" s="7"/>
      <c r="E141" s="7"/>
      <c r="F141" s="7"/>
      <c r="G141" s="9"/>
      <c r="H141" s="9"/>
      <c r="I141" s="9"/>
      <c r="J141" s="7"/>
      <c r="K141" s="7"/>
    </row>
    <row r="142" customFormat="false" ht="15" hidden="false" customHeight="true" outlineLevel="0" collapsed="false">
      <c r="A142" s="14"/>
      <c r="B142" s="7"/>
      <c r="C142" s="7"/>
      <c r="D142" s="7"/>
      <c r="E142" s="7"/>
      <c r="F142" s="7"/>
      <c r="G142" s="9"/>
      <c r="H142" s="9"/>
      <c r="I142" s="9"/>
      <c r="J142" s="7"/>
      <c r="K142" s="7"/>
    </row>
    <row r="143" customFormat="false" ht="15" hidden="false" customHeight="true" outlineLevel="0" collapsed="false">
      <c r="A143" s="14"/>
      <c r="B143" s="7"/>
      <c r="C143" s="7"/>
      <c r="D143" s="7"/>
      <c r="E143" s="7"/>
      <c r="F143" s="7"/>
      <c r="G143" s="9"/>
      <c r="H143" s="9"/>
      <c r="I143" s="9"/>
      <c r="J143" s="7"/>
      <c r="K143" s="7"/>
    </row>
    <row r="144" customFormat="false" ht="15" hidden="false" customHeight="true" outlineLevel="0" collapsed="false">
      <c r="A144" s="14"/>
      <c r="B144" s="7"/>
      <c r="C144" s="7"/>
      <c r="D144" s="7"/>
      <c r="E144" s="7"/>
      <c r="F144" s="7"/>
      <c r="G144" s="9"/>
      <c r="H144" s="9"/>
      <c r="I144" s="9"/>
      <c r="J144" s="7"/>
      <c r="K144" s="7"/>
    </row>
    <row r="145" customFormat="false" ht="15" hidden="false" customHeight="true" outlineLevel="0" collapsed="false">
      <c r="A145" s="14"/>
      <c r="B145" s="7"/>
      <c r="C145" s="7"/>
      <c r="D145" s="7"/>
      <c r="E145" s="7"/>
      <c r="F145" s="7"/>
      <c r="G145" s="9"/>
      <c r="H145" s="9"/>
      <c r="I145" s="9"/>
      <c r="J145" s="7"/>
      <c r="K145" s="7"/>
    </row>
    <row r="146" customFormat="false" ht="15" hidden="false" customHeight="true" outlineLevel="0" collapsed="false">
      <c r="A146" s="14"/>
      <c r="B146" s="7"/>
      <c r="C146" s="7"/>
      <c r="D146" s="7"/>
      <c r="E146" s="7"/>
      <c r="F146" s="7"/>
      <c r="G146" s="9"/>
      <c r="H146" s="9"/>
      <c r="I146" s="9"/>
      <c r="J146" s="7"/>
      <c r="K146" s="7"/>
    </row>
    <row r="147" customFormat="false" ht="15" hidden="false" customHeight="true" outlineLevel="0" collapsed="false">
      <c r="A147" s="14"/>
      <c r="B147" s="7"/>
      <c r="C147" s="7"/>
      <c r="D147" s="7"/>
      <c r="E147" s="7"/>
      <c r="F147" s="7"/>
      <c r="G147" s="9"/>
      <c r="H147" s="9"/>
      <c r="I147" s="9"/>
      <c r="J147" s="7"/>
      <c r="K147" s="7"/>
    </row>
    <row r="148" customFormat="false" ht="15" hidden="false" customHeight="true" outlineLevel="0" collapsed="false">
      <c r="A148" s="14"/>
      <c r="B148" s="7"/>
      <c r="C148" s="7"/>
      <c r="D148" s="7"/>
      <c r="E148" s="7"/>
      <c r="F148" s="7"/>
      <c r="G148" s="9"/>
      <c r="H148" s="9"/>
      <c r="I148" s="9"/>
      <c r="J148" s="7"/>
      <c r="K148" s="7"/>
    </row>
    <row r="149" customFormat="false" ht="15" hidden="false" customHeight="true" outlineLevel="0" collapsed="false">
      <c r="A149" s="14"/>
      <c r="B149" s="7"/>
      <c r="C149" s="7"/>
      <c r="D149" s="7"/>
      <c r="E149" s="7"/>
      <c r="F149" s="7"/>
      <c r="G149" s="9"/>
      <c r="H149" s="9"/>
      <c r="I149" s="9"/>
      <c r="J149" s="7"/>
      <c r="K149" s="7"/>
    </row>
    <row r="150" customFormat="false" ht="15" hidden="false" customHeight="true" outlineLevel="0" collapsed="false">
      <c r="A150" s="14"/>
      <c r="B150" s="7"/>
      <c r="C150" s="7"/>
      <c r="D150" s="7"/>
      <c r="E150" s="7"/>
      <c r="F150" s="7"/>
      <c r="G150" s="9"/>
      <c r="H150" s="9"/>
      <c r="I150" s="9"/>
      <c r="J150" s="7"/>
      <c r="K150" s="7"/>
    </row>
    <row r="151" customFormat="false" ht="15" hidden="false" customHeight="true" outlineLevel="0" collapsed="false">
      <c r="A151" s="14"/>
      <c r="B151" s="7"/>
      <c r="C151" s="7"/>
      <c r="D151" s="7"/>
      <c r="E151" s="7"/>
      <c r="F151" s="7"/>
      <c r="G151" s="9"/>
      <c r="H151" s="9"/>
      <c r="I151" s="9"/>
      <c r="J151" s="7"/>
      <c r="K151" s="7"/>
    </row>
    <row r="152" customFormat="false" ht="15" hidden="false" customHeight="true" outlineLevel="0" collapsed="false">
      <c r="A152" s="14"/>
      <c r="B152" s="7"/>
      <c r="C152" s="7"/>
      <c r="D152" s="7"/>
      <c r="E152" s="7"/>
      <c r="F152" s="7"/>
      <c r="G152" s="9"/>
      <c r="H152" s="9"/>
      <c r="I152" s="9"/>
      <c r="J152" s="7"/>
      <c r="K152" s="7"/>
    </row>
    <row r="153" customFormat="false" ht="15" hidden="false" customHeight="true" outlineLevel="0" collapsed="false">
      <c r="A153" s="14"/>
      <c r="B153" s="7"/>
      <c r="C153" s="7"/>
      <c r="D153" s="7"/>
      <c r="E153" s="7"/>
      <c r="F153" s="7"/>
      <c r="G153" s="9"/>
      <c r="H153" s="9"/>
      <c r="I153" s="9"/>
      <c r="J153" s="7"/>
      <c r="K153" s="7"/>
    </row>
    <row r="154" customFormat="false" ht="15" hidden="false" customHeight="true" outlineLevel="0" collapsed="false">
      <c r="A154" s="14"/>
      <c r="B154" s="7"/>
      <c r="C154" s="7"/>
      <c r="D154" s="7"/>
      <c r="E154" s="7"/>
      <c r="F154" s="7"/>
      <c r="G154" s="9"/>
      <c r="H154" s="9"/>
      <c r="I154" s="9"/>
      <c r="J154" s="7"/>
      <c r="K154" s="7"/>
    </row>
    <row r="155" customFormat="false" ht="15" hidden="false" customHeight="true" outlineLevel="0" collapsed="false">
      <c r="A155" s="14"/>
      <c r="B155" s="7"/>
      <c r="C155" s="7"/>
      <c r="D155" s="7"/>
      <c r="E155" s="7"/>
      <c r="F155" s="7"/>
      <c r="G155" s="9"/>
      <c r="H155" s="9"/>
      <c r="I155" s="9"/>
      <c r="J155" s="7"/>
      <c r="K155" s="7"/>
    </row>
    <row r="156" customFormat="false" ht="15" hidden="false" customHeight="true" outlineLevel="0" collapsed="false">
      <c r="A156" s="14"/>
      <c r="B156" s="7"/>
      <c r="C156" s="7"/>
      <c r="D156" s="7"/>
      <c r="E156" s="7"/>
      <c r="F156" s="7"/>
      <c r="G156" s="9"/>
      <c r="H156" s="9"/>
      <c r="I156" s="9"/>
      <c r="J156" s="7"/>
      <c r="K156" s="7"/>
    </row>
    <row r="157" customFormat="false" ht="15" hidden="false" customHeight="true" outlineLevel="0" collapsed="false">
      <c r="A157" s="14"/>
      <c r="B157" s="7"/>
      <c r="C157" s="7"/>
      <c r="D157" s="7"/>
      <c r="E157" s="7"/>
      <c r="F157" s="7"/>
      <c r="G157" s="9"/>
      <c r="H157" s="9"/>
      <c r="I157" s="9"/>
      <c r="J157" s="7"/>
      <c r="K157" s="7"/>
    </row>
    <row r="158" customFormat="false" ht="15" hidden="false" customHeight="true" outlineLevel="0" collapsed="false">
      <c r="A158" s="14"/>
      <c r="B158" s="7"/>
      <c r="C158" s="7"/>
      <c r="D158" s="7"/>
      <c r="E158" s="7"/>
      <c r="F158" s="7"/>
      <c r="G158" s="9"/>
      <c r="H158" s="9"/>
      <c r="I158" s="9"/>
      <c r="J158" s="7"/>
      <c r="K158" s="7"/>
    </row>
    <row r="159" customFormat="false" ht="15" hidden="false" customHeight="true" outlineLevel="0" collapsed="false">
      <c r="A159" s="14"/>
      <c r="B159" s="7"/>
      <c r="C159" s="7"/>
      <c r="D159" s="7"/>
      <c r="E159" s="7"/>
      <c r="F159" s="7"/>
      <c r="G159" s="9"/>
      <c r="H159" s="9"/>
      <c r="I159" s="9"/>
      <c r="J159" s="7"/>
      <c r="K159" s="7"/>
    </row>
    <row r="160" customFormat="false" ht="15" hidden="false" customHeight="true" outlineLevel="0" collapsed="false">
      <c r="A160" s="14"/>
      <c r="B160" s="7"/>
      <c r="C160" s="7"/>
      <c r="D160" s="7"/>
      <c r="E160" s="7"/>
      <c r="F160" s="7"/>
      <c r="G160" s="9"/>
      <c r="H160" s="9"/>
      <c r="I160" s="9"/>
      <c r="J160" s="7"/>
      <c r="K160" s="7"/>
    </row>
    <row r="161" customFormat="false" ht="15" hidden="false" customHeight="true" outlineLevel="0" collapsed="false">
      <c r="A161" s="14"/>
      <c r="B161" s="7"/>
      <c r="C161" s="7"/>
      <c r="D161" s="7"/>
      <c r="E161" s="7"/>
      <c r="F161" s="7"/>
      <c r="G161" s="9"/>
      <c r="H161" s="9"/>
      <c r="I161" s="9"/>
      <c r="J161" s="7"/>
      <c r="K161" s="7"/>
    </row>
    <row r="162" customFormat="false" ht="15" hidden="false" customHeight="true" outlineLevel="0" collapsed="false">
      <c r="A162" s="14"/>
      <c r="B162" s="7"/>
      <c r="C162" s="7"/>
      <c r="D162" s="7"/>
      <c r="E162" s="7"/>
      <c r="F162" s="7"/>
      <c r="G162" s="9"/>
      <c r="H162" s="9"/>
      <c r="I162" s="9"/>
      <c r="J162" s="7"/>
      <c r="K162" s="7"/>
    </row>
    <row r="163" customFormat="false" ht="15" hidden="false" customHeight="true" outlineLevel="0" collapsed="false">
      <c r="A163" s="14"/>
      <c r="B163" s="7"/>
      <c r="C163" s="7"/>
      <c r="D163" s="7"/>
      <c r="E163" s="7"/>
      <c r="F163" s="7"/>
      <c r="G163" s="9"/>
      <c r="H163" s="9"/>
      <c r="I163" s="9"/>
      <c r="J163" s="7"/>
      <c r="K163" s="7"/>
    </row>
    <row r="164" customFormat="false" ht="15" hidden="false" customHeight="true" outlineLevel="0" collapsed="false">
      <c r="A164" s="14"/>
      <c r="B164" s="7"/>
      <c r="C164" s="7"/>
      <c r="D164" s="7"/>
      <c r="E164" s="7"/>
      <c r="F164" s="7"/>
      <c r="G164" s="9"/>
      <c r="H164" s="9"/>
      <c r="I164" s="9"/>
      <c r="J164" s="7"/>
      <c r="K164" s="7"/>
    </row>
    <row r="165" customFormat="false" ht="15" hidden="false" customHeight="true" outlineLevel="0" collapsed="false">
      <c r="A165" s="14"/>
      <c r="B165" s="7"/>
      <c r="C165" s="7"/>
      <c r="D165" s="7"/>
      <c r="E165" s="7"/>
      <c r="F165" s="7"/>
      <c r="G165" s="9"/>
      <c r="H165" s="9"/>
      <c r="I165" s="9"/>
      <c r="J165" s="7"/>
      <c r="K165" s="7"/>
    </row>
    <row r="166" customFormat="false" ht="15" hidden="false" customHeight="true" outlineLevel="0" collapsed="false">
      <c r="A166" s="14"/>
      <c r="B166" s="7"/>
      <c r="C166" s="7"/>
      <c r="D166" s="7"/>
      <c r="E166" s="7"/>
      <c r="F166" s="7"/>
      <c r="G166" s="9"/>
      <c r="H166" s="9"/>
      <c r="I166" s="9"/>
      <c r="J166" s="7"/>
      <c r="K166" s="7"/>
    </row>
    <row r="167" customFormat="false" ht="15" hidden="false" customHeight="true" outlineLevel="0" collapsed="false">
      <c r="A167" s="14"/>
      <c r="B167" s="7"/>
      <c r="C167" s="7"/>
      <c r="D167" s="7"/>
      <c r="E167" s="7"/>
      <c r="F167" s="7"/>
      <c r="G167" s="9"/>
      <c r="H167" s="9"/>
      <c r="I167" s="9"/>
      <c r="J167" s="7"/>
      <c r="K167" s="7"/>
    </row>
    <row r="168" customFormat="false" ht="15" hidden="false" customHeight="true" outlineLevel="0" collapsed="false">
      <c r="A168" s="14"/>
      <c r="B168" s="7"/>
      <c r="C168" s="7"/>
      <c r="D168" s="7"/>
      <c r="E168" s="7"/>
      <c r="F168" s="7"/>
      <c r="G168" s="9"/>
      <c r="H168" s="9"/>
      <c r="I168" s="9"/>
      <c r="J168" s="7"/>
      <c r="K168" s="7"/>
    </row>
    <row r="169" customFormat="false" ht="15" hidden="false" customHeight="true" outlineLevel="0" collapsed="false">
      <c r="A169" s="14"/>
      <c r="B169" s="7"/>
      <c r="C169" s="7"/>
      <c r="D169" s="7"/>
      <c r="E169" s="7"/>
      <c r="F169" s="7"/>
      <c r="G169" s="9"/>
      <c r="H169" s="9"/>
      <c r="I169" s="9"/>
      <c r="J169" s="7"/>
      <c r="K169" s="7"/>
    </row>
    <row r="170" customFormat="false" ht="15" hidden="false" customHeight="true" outlineLevel="0" collapsed="false">
      <c r="A170" s="14"/>
      <c r="B170" s="7"/>
      <c r="C170" s="7"/>
      <c r="D170" s="7"/>
      <c r="E170" s="7"/>
      <c r="F170" s="7"/>
      <c r="G170" s="9"/>
      <c r="H170" s="9"/>
      <c r="I170" s="9"/>
      <c r="J170" s="7"/>
      <c r="K170" s="7"/>
    </row>
    <row r="171" customFormat="false" ht="15" hidden="false" customHeight="true" outlineLevel="0" collapsed="false">
      <c r="A171" s="14"/>
      <c r="B171" s="7"/>
      <c r="C171" s="7"/>
      <c r="D171" s="7"/>
      <c r="E171" s="7"/>
      <c r="F171" s="7"/>
      <c r="G171" s="9"/>
      <c r="H171" s="9"/>
      <c r="I171" s="9"/>
      <c r="J171" s="7"/>
      <c r="K171" s="7"/>
    </row>
    <row r="172" customFormat="false" ht="15" hidden="false" customHeight="true" outlineLevel="0" collapsed="false">
      <c r="A172" s="14"/>
      <c r="B172" s="7"/>
      <c r="C172" s="7"/>
      <c r="D172" s="7"/>
      <c r="E172" s="7"/>
      <c r="F172" s="7"/>
      <c r="G172" s="9"/>
      <c r="H172" s="9"/>
      <c r="I172" s="9"/>
      <c r="J172" s="7"/>
      <c r="K172" s="7"/>
    </row>
    <row r="173" customFormat="false" ht="15" hidden="false" customHeight="true" outlineLevel="0" collapsed="false">
      <c r="A173" s="14"/>
      <c r="B173" s="7"/>
      <c r="C173" s="7"/>
      <c r="D173" s="7"/>
      <c r="E173" s="7"/>
      <c r="F173" s="7"/>
      <c r="G173" s="9"/>
      <c r="H173" s="9"/>
      <c r="I173" s="9"/>
      <c r="J173" s="7"/>
      <c r="K173" s="7"/>
    </row>
    <row r="174" customFormat="false" ht="15" hidden="false" customHeight="true" outlineLevel="0" collapsed="false">
      <c r="A174" s="14"/>
      <c r="B174" s="7"/>
      <c r="C174" s="7"/>
      <c r="D174" s="7"/>
      <c r="E174" s="7"/>
      <c r="F174" s="7"/>
      <c r="G174" s="9"/>
      <c r="H174" s="9"/>
      <c r="I174" s="9"/>
      <c r="J174" s="7"/>
      <c r="K174" s="7"/>
    </row>
    <row r="175" customFormat="false" ht="15" hidden="false" customHeight="true" outlineLevel="0" collapsed="false">
      <c r="A175" s="14"/>
      <c r="B175" s="7"/>
      <c r="C175" s="7"/>
      <c r="D175" s="7"/>
      <c r="E175" s="7"/>
      <c r="F175" s="7"/>
      <c r="G175" s="9"/>
      <c r="H175" s="9"/>
      <c r="I175" s="9"/>
      <c r="J175" s="7"/>
      <c r="K175" s="7"/>
    </row>
    <row r="176" customFormat="false" ht="15" hidden="false" customHeight="true" outlineLevel="0" collapsed="false">
      <c r="A176" s="14"/>
      <c r="B176" s="7"/>
      <c r="C176" s="7"/>
      <c r="D176" s="7"/>
      <c r="E176" s="7"/>
      <c r="F176" s="7"/>
      <c r="G176" s="9"/>
      <c r="H176" s="9"/>
      <c r="I176" s="9"/>
      <c r="J176" s="7"/>
      <c r="K176" s="7"/>
    </row>
    <row r="177" customFormat="false" ht="15" hidden="false" customHeight="true" outlineLevel="0" collapsed="false">
      <c r="A177" s="14"/>
      <c r="B177" s="7"/>
      <c r="C177" s="7"/>
      <c r="D177" s="7"/>
      <c r="E177" s="7"/>
      <c r="F177" s="7"/>
      <c r="G177" s="9"/>
      <c r="H177" s="9"/>
      <c r="I177" s="9"/>
      <c r="J177" s="7"/>
      <c r="K177" s="7"/>
    </row>
    <row r="178" customFormat="false" ht="15" hidden="false" customHeight="true" outlineLevel="0" collapsed="false">
      <c r="A178" s="14"/>
      <c r="B178" s="7"/>
      <c r="C178" s="7"/>
      <c r="D178" s="7"/>
      <c r="E178" s="7"/>
      <c r="F178" s="7"/>
      <c r="G178" s="9"/>
      <c r="H178" s="9"/>
      <c r="I178" s="9"/>
      <c r="J178" s="7"/>
      <c r="K178" s="7"/>
    </row>
    <row r="179" customFormat="false" ht="15" hidden="false" customHeight="true" outlineLevel="0" collapsed="false">
      <c r="A179" s="14"/>
      <c r="B179" s="7"/>
      <c r="C179" s="7"/>
      <c r="D179" s="7"/>
      <c r="E179" s="7"/>
      <c r="F179" s="7"/>
      <c r="G179" s="9"/>
      <c r="H179" s="9"/>
      <c r="I179" s="9"/>
      <c r="J179" s="7"/>
      <c r="K179" s="7"/>
    </row>
    <row r="180" customFormat="false" ht="15" hidden="false" customHeight="true" outlineLevel="0" collapsed="false">
      <c r="A180" s="14"/>
      <c r="B180" s="7"/>
      <c r="C180" s="7"/>
      <c r="D180" s="7"/>
      <c r="E180" s="7"/>
      <c r="F180" s="7"/>
      <c r="G180" s="9"/>
      <c r="H180" s="9"/>
      <c r="I180" s="9"/>
      <c r="J180" s="7"/>
      <c r="K180" s="7"/>
    </row>
    <row r="181" customFormat="false" ht="15" hidden="false" customHeight="true" outlineLevel="0" collapsed="false">
      <c r="A181" s="14"/>
      <c r="B181" s="7"/>
      <c r="C181" s="7"/>
      <c r="D181" s="7"/>
      <c r="E181" s="7"/>
      <c r="F181" s="7"/>
      <c r="G181" s="9"/>
      <c r="H181" s="9"/>
      <c r="I181" s="9"/>
      <c r="J181" s="7"/>
      <c r="K181" s="7"/>
    </row>
    <row r="182" customFormat="false" ht="15" hidden="false" customHeight="true" outlineLevel="0" collapsed="false">
      <c r="A182" s="14"/>
      <c r="B182" s="7"/>
      <c r="C182" s="7"/>
      <c r="D182" s="7"/>
      <c r="E182" s="7"/>
      <c r="F182" s="7"/>
      <c r="G182" s="9"/>
      <c r="H182" s="9"/>
      <c r="I182" s="9"/>
      <c r="J182" s="7"/>
      <c r="K182" s="7"/>
    </row>
    <row r="183" customFormat="false" ht="15" hidden="false" customHeight="true" outlineLevel="0" collapsed="false">
      <c r="A183" s="14"/>
      <c r="B183" s="7"/>
      <c r="C183" s="7"/>
      <c r="D183" s="7"/>
      <c r="E183" s="7"/>
      <c r="F183" s="7"/>
      <c r="G183" s="9"/>
      <c r="H183" s="9"/>
      <c r="I183" s="9"/>
      <c r="J183" s="7"/>
      <c r="K183" s="7"/>
    </row>
    <row r="184" customFormat="false" ht="15" hidden="false" customHeight="true" outlineLevel="0" collapsed="false">
      <c r="A184" s="14"/>
      <c r="B184" s="7"/>
      <c r="C184" s="7"/>
      <c r="D184" s="7"/>
      <c r="E184" s="7"/>
      <c r="F184" s="7"/>
      <c r="G184" s="9"/>
      <c r="H184" s="9"/>
      <c r="I184" s="9"/>
      <c r="J184" s="7"/>
      <c r="K184" s="7"/>
    </row>
    <row r="185" customFormat="false" ht="15" hidden="false" customHeight="true" outlineLevel="0" collapsed="false">
      <c r="A185" s="14"/>
      <c r="B185" s="7"/>
      <c r="C185" s="7"/>
      <c r="D185" s="7"/>
      <c r="E185" s="7"/>
      <c r="F185" s="7"/>
      <c r="G185" s="9"/>
      <c r="H185" s="9"/>
      <c r="I185" s="9"/>
      <c r="J185" s="7"/>
      <c r="K185" s="7"/>
    </row>
    <row r="186" customFormat="false" ht="15" hidden="false" customHeight="true" outlineLevel="0" collapsed="false">
      <c r="A186" s="14"/>
      <c r="B186" s="7"/>
      <c r="C186" s="7"/>
      <c r="D186" s="7"/>
      <c r="E186" s="7"/>
      <c r="F186" s="7"/>
      <c r="G186" s="9"/>
      <c r="H186" s="9"/>
      <c r="I186" s="9"/>
      <c r="J186" s="7"/>
      <c r="K186" s="7"/>
    </row>
    <row r="187" customFormat="false" ht="15" hidden="false" customHeight="true" outlineLevel="0" collapsed="false">
      <c r="A187" s="14"/>
      <c r="B187" s="7"/>
      <c r="C187" s="7"/>
      <c r="D187" s="7"/>
      <c r="E187" s="7"/>
      <c r="F187" s="7"/>
      <c r="G187" s="9"/>
      <c r="H187" s="9"/>
      <c r="I187" s="9"/>
      <c r="J187" s="7"/>
      <c r="K187" s="7"/>
    </row>
    <row r="188" customFormat="false" ht="15" hidden="false" customHeight="true" outlineLevel="0" collapsed="false">
      <c r="A188" s="14"/>
      <c r="B188" s="7"/>
      <c r="C188" s="7"/>
      <c r="D188" s="7"/>
      <c r="E188" s="7"/>
      <c r="F188" s="7"/>
      <c r="G188" s="9"/>
      <c r="H188" s="9"/>
      <c r="I188" s="9"/>
      <c r="J188" s="7"/>
      <c r="K188" s="7"/>
    </row>
    <row r="189" customFormat="false" ht="15" hidden="false" customHeight="true" outlineLevel="0" collapsed="false">
      <c r="A189" s="14"/>
      <c r="B189" s="7"/>
      <c r="C189" s="7"/>
      <c r="D189" s="7"/>
      <c r="E189" s="7"/>
      <c r="F189" s="7"/>
      <c r="G189" s="9"/>
      <c r="H189" s="9"/>
      <c r="I189" s="9"/>
      <c r="J189" s="7"/>
      <c r="K189" s="7"/>
    </row>
    <row r="190" customFormat="false" ht="15" hidden="false" customHeight="true" outlineLevel="0" collapsed="false">
      <c r="A190" s="14"/>
      <c r="B190" s="7"/>
      <c r="C190" s="7"/>
      <c r="D190" s="7"/>
      <c r="E190" s="7"/>
      <c r="F190" s="7"/>
      <c r="G190" s="9"/>
      <c r="H190" s="9"/>
      <c r="I190" s="9"/>
      <c r="J190" s="7"/>
      <c r="K190" s="7"/>
    </row>
    <row r="191" customFormat="false" ht="15" hidden="false" customHeight="true" outlineLevel="0" collapsed="false">
      <c r="A191" s="14"/>
      <c r="B191" s="7"/>
      <c r="C191" s="7"/>
      <c r="D191" s="7"/>
      <c r="E191" s="7"/>
      <c r="F191" s="7"/>
      <c r="G191" s="9"/>
      <c r="H191" s="9"/>
      <c r="I191" s="9"/>
      <c r="J191" s="7"/>
      <c r="K191" s="7"/>
    </row>
    <row r="192" customFormat="false" ht="15" hidden="false" customHeight="true" outlineLevel="0" collapsed="false">
      <c r="A192" s="14"/>
      <c r="B192" s="7"/>
      <c r="C192" s="7"/>
      <c r="D192" s="7"/>
      <c r="E192" s="7"/>
      <c r="F192" s="7"/>
      <c r="G192" s="9"/>
      <c r="H192" s="9"/>
      <c r="I192" s="9"/>
      <c r="J192" s="7"/>
      <c r="K192" s="7"/>
    </row>
    <row r="193" customFormat="false" ht="15" hidden="false" customHeight="true" outlineLevel="0" collapsed="false">
      <c r="A193" s="14"/>
      <c r="B193" s="7"/>
      <c r="C193" s="7"/>
      <c r="D193" s="7"/>
      <c r="E193" s="7"/>
      <c r="F193" s="7"/>
      <c r="G193" s="9"/>
      <c r="H193" s="9"/>
      <c r="I193" s="9"/>
      <c r="J193" s="7"/>
      <c r="K193" s="7"/>
    </row>
    <row r="194" customFormat="false" ht="15" hidden="false" customHeight="true" outlineLevel="0" collapsed="false">
      <c r="A194" s="14"/>
      <c r="B194" s="7"/>
      <c r="C194" s="7"/>
      <c r="D194" s="7"/>
      <c r="E194" s="7"/>
      <c r="F194" s="7"/>
      <c r="G194" s="9"/>
      <c r="H194" s="9"/>
      <c r="I194" s="9"/>
      <c r="J194" s="7"/>
      <c r="K194" s="7"/>
    </row>
    <row r="195" customFormat="false" ht="15" hidden="false" customHeight="true" outlineLevel="0" collapsed="false">
      <c r="A195" s="14"/>
      <c r="B195" s="7"/>
      <c r="C195" s="7"/>
      <c r="D195" s="7"/>
      <c r="E195" s="7"/>
      <c r="F195" s="7"/>
      <c r="G195" s="9"/>
      <c r="H195" s="9"/>
      <c r="I195" s="9"/>
      <c r="J195" s="7"/>
      <c r="K195" s="7"/>
    </row>
    <row r="196" customFormat="false" ht="15" hidden="false" customHeight="true" outlineLevel="0" collapsed="false">
      <c r="A196" s="14"/>
      <c r="B196" s="7"/>
      <c r="C196" s="7"/>
      <c r="D196" s="7"/>
      <c r="E196" s="7"/>
      <c r="F196" s="7"/>
      <c r="G196" s="9"/>
      <c r="H196" s="9"/>
      <c r="I196" s="9"/>
      <c r="J196" s="7"/>
      <c r="K196" s="7"/>
    </row>
    <row r="197" customFormat="false" ht="15" hidden="false" customHeight="true" outlineLevel="0" collapsed="false">
      <c r="A197" s="14"/>
      <c r="B197" s="7"/>
      <c r="C197" s="7"/>
      <c r="D197" s="7"/>
      <c r="E197" s="7"/>
      <c r="F197" s="7"/>
      <c r="G197" s="9"/>
      <c r="H197" s="9"/>
      <c r="I197" s="9"/>
      <c r="J197" s="7"/>
      <c r="K197" s="7"/>
    </row>
    <row r="198" customFormat="false" ht="15" hidden="false" customHeight="true" outlineLevel="0" collapsed="false">
      <c r="A198" s="14"/>
      <c r="B198" s="7"/>
      <c r="C198" s="7"/>
      <c r="D198" s="7"/>
      <c r="E198" s="7"/>
      <c r="F198" s="7"/>
      <c r="G198" s="9"/>
      <c r="H198" s="9"/>
      <c r="I198" s="9"/>
      <c r="J198" s="7"/>
      <c r="K198" s="7"/>
    </row>
    <row r="199" customFormat="false" ht="15" hidden="false" customHeight="true" outlineLevel="0" collapsed="false">
      <c r="A199" s="14"/>
      <c r="B199" s="7"/>
      <c r="C199" s="7"/>
      <c r="D199" s="7"/>
      <c r="E199" s="7"/>
      <c r="F199" s="7"/>
      <c r="G199" s="9"/>
      <c r="H199" s="9"/>
      <c r="I199" s="9"/>
      <c r="J199" s="7"/>
      <c r="K199" s="7"/>
    </row>
    <row r="200" customFormat="false" ht="15" hidden="false" customHeight="true" outlineLevel="0" collapsed="false">
      <c r="A200" s="14"/>
      <c r="B200" s="7"/>
      <c r="C200" s="7"/>
      <c r="D200" s="7"/>
      <c r="E200" s="7"/>
      <c r="F200" s="7"/>
      <c r="G200" s="9"/>
      <c r="H200" s="9"/>
      <c r="I200" s="9"/>
      <c r="J200" s="7"/>
      <c r="K200" s="7"/>
    </row>
    <row r="201" customFormat="false" ht="15" hidden="false" customHeight="true" outlineLevel="0" collapsed="false">
      <c r="A201" s="14"/>
      <c r="B201" s="7"/>
      <c r="C201" s="7"/>
      <c r="D201" s="7"/>
      <c r="E201" s="7"/>
      <c r="F201" s="7"/>
      <c r="G201" s="9"/>
      <c r="H201" s="9"/>
      <c r="I201" s="9"/>
      <c r="J201" s="7"/>
      <c r="K201" s="7"/>
    </row>
    <row r="202" customFormat="false" ht="15" hidden="false" customHeight="true" outlineLevel="0" collapsed="false">
      <c r="A202" s="14"/>
      <c r="B202" s="7"/>
      <c r="C202" s="7"/>
      <c r="D202" s="7"/>
      <c r="E202" s="7"/>
      <c r="F202" s="7"/>
      <c r="G202" s="9"/>
      <c r="H202" s="9"/>
      <c r="I202" s="9"/>
      <c r="J202" s="7"/>
      <c r="K202" s="7"/>
    </row>
    <row r="203" customFormat="false" ht="15" hidden="false" customHeight="true" outlineLevel="0" collapsed="false">
      <c r="A203" s="14"/>
      <c r="B203" s="7"/>
      <c r="C203" s="7"/>
      <c r="D203" s="7"/>
      <c r="E203" s="7"/>
      <c r="F203" s="7"/>
      <c r="G203" s="9"/>
      <c r="H203" s="9"/>
      <c r="I203" s="9"/>
      <c r="J203" s="7"/>
      <c r="K203" s="7"/>
    </row>
    <row r="204" customFormat="false" ht="15" hidden="false" customHeight="true" outlineLevel="0" collapsed="false">
      <c r="A204" s="14"/>
      <c r="B204" s="7"/>
      <c r="C204" s="7"/>
      <c r="D204" s="7"/>
      <c r="E204" s="7"/>
      <c r="F204" s="7"/>
      <c r="G204" s="9"/>
      <c r="H204" s="9"/>
      <c r="I204" s="9"/>
      <c r="J204" s="7"/>
      <c r="K204" s="7"/>
    </row>
    <row r="205" customFormat="false" ht="15" hidden="false" customHeight="true" outlineLevel="0" collapsed="false">
      <c r="A205" s="14"/>
      <c r="B205" s="7"/>
      <c r="C205" s="7"/>
      <c r="D205" s="7"/>
      <c r="E205" s="7"/>
      <c r="F205" s="7"/>
      <c r="G205" s="9"/>
      <c r="H205" s="9"/>
      <c r="I205" s="9"/>
      <c r="J205" s="7"/>
      <c r="K205" s="7"/>
    </row>
    <row r="206" customFormat="false" ht="15" hidden="false" customHeight="true" outlineLevel="0" collapsed="false">
      <c r="A206" s="14"/>
      <c r="B206" s="7"/>
      <c r="C206" s="7"/>
      <c r="D206" s="7"/>
      <c r="E206" s="7"/>
      <c r="F206" s="7"/>
      <c r="G206" s="9"/>
      <c r="H206" s="9"/>
      <c r="I206" s="9"/>
      <c r="J206" s="7"/>
      <c r="K206" s="7"/>
    </row>
    <row r="207" customFormat="false" ht="15" hidden="false" customHeight="true" outlineLevel="0" collapsed="false">
      <c r="A207" s="14"/>
      <c r="B207" s="7"/>
      <c r="C207" s="7"/>
      <c r="D207" s="7"/>
      <c r="E207" s="7"/>
      <c r="F207" s="7"/>
      <c r="G207" s="9"/>
      <c r="H207" s="9"/>
      <c r="I207" s="9"/>
      <c r="J207" s="7"/>
      <c r="K207" s="7"/>
    </row>
    <row r="208" customFormat="false" ht="15" hidden="false" customHeight="true" outlineLevel="0" collapsed="false">
      <c r="A208" s="14"/>
      <c r="B208" s="7"/>
      <c r="C208" s="7"/>
      <c r="D208" s="7"/>
      <c r="E208" s="7"/>
      <c r="F208" s="7"/>
      <c r="G208" s="9"/>
      <c r="H208" s="9"/>
      <c r="I208" s="9"/>
      <c r="J208" s="7"/>
      <c r="K208" s="7"/>
    </row>
    <row r="209" customFormat="false" ht="15" hidden="false" customHeight="true" outlineLevel="0" collapsed="false">
      <c r="A209" s="14"/>
      <c r="B209" s="7"/>
      <c r="C209" s="7"/>
      <c r="D209" s="7"/>
      <c r="E209" s="7"/>
      <c r="F209" s="7"/>
      <c r="G209" s="9"/>
      <c r="H209" s="9"/>
      <c r="I209" s="9"/>
      <c r="J209" s="7"/>
      <c r="K209" s="7"/>
    </row>
    <row r="210" customFormat="false" ht="15" hidden="false" customHeight="true" outlineLevel="0" collapsed="false">
      <c r="A210" s="14"/>
      <c r="B210" s="7"/>
      <c r="C210" s="7"/>
      <c r="D210" s="7"/>
      <c r="E210" s="7"/>
      <c r="F210" s="7"/>
      <c r="G210" s="9"/>
      <c r="H210" s="9"/>
      <c r="I210" s="9"/>
      <c r="J210" s="7"/>
      <c r="K210" s="7"/>
    </row>
    <row r="211" customFormat="false" ht="15" hidden="false" customHeight="true" outlineLevel="0" collapsed="false">
      <c r="A211" s="14"/>
      <c r="B211" s="7"/>
      <c r="C211" s="7"/>
      <c r="D211" s="7"/>
      <c r="E211" s="7"/>
      <c r="F211" s="7"/>
      <c r="G211" s="9"/>
      <c r="H211" s="9"/>
      <c r="I211" s="9"/>
      <c r="J211" s="7"/>
      <c r="K211" s="7"/>
    </row>
    <row r="212" customFormat="false" ht="15" hidden="false" customHeight="true" outlineLevel="0" collapsed="false">
      <c r="A212" s="14"/>
      <c r="B212" s="7"/>
      <c r="C212" s="7"/>
      <c r="D212" s="7"/>
      <c r="E212" s="7"/>
      <c r="F212" s="7"/>
      <c r="G212" s="9"/>
      <c r="H212" s="9"/>
      <c r="I212" s="9"/>
      <c r="J212" s="7"/>
      <c r="K212" s="7"/>
    </row>
    <row r="213" customFormat="false" ht="15" hidden="false" customHeight="true" outlineLevel="0" collapsed="false">
      <c r="A213" s="14"/>
      <c r="B213" s="7"/>
      <c r="C213" s="7"/>
      <c r="D213" s="7"/>
      <c r="E213" s="7"/>
      <c r="F213" s="7"/>
      <c r="G213" s="9"/>
      <c r="H213" s="9"/>
      <c r="I213" s="9"/>
      <c r="J213" s="7"/>
      <c r="K213" s="7"/>
    </row>
    <row r="214" customFormat="false" ht="15" hidden="false" customHeight="true" outlineLevel="0" collapsed="false">
      <c r="A214" s="14"/>
      <c r="B214" s="7"/>
      <c r="C214" s="7"/>
      <c r="D214" s="7"/>
      <c r="E214" s="7"/>
      <c r="F214" s="7"/>
      <c r="G214" s="9"/>
      <c r="H214" s="9"/>
      <c r="I214" s="9"/>
      <c r="J214" s="7"/>
      <c r="K214" s="7"/>
    </row>
    <row r="215" customFormat="false" ht="15" hidden="false" customHeight="true" outlineLevel="0" collapsed="false">
      <c r="A215" s="14"/>
      <c r="B215" s="7"/>
      <c r="C215" s="7"/>
      <c r="D215" s="7"/>
      <c r="E215" s="7"/>
      <c r="F215" s="7"/>
      <c r="G215" s="9"/>
      <c r="H215" s="9"/>
      <c r="I215" s="9"/>
      <c r="J215" s="7"/>
      <c r="K215" s="7"/>
    </row>
    <row r="216" customFormat="false" ht="15" hidden="false" customHeight="true" outlineLevel="0" collapsed="false">
      <c r="A216" s="14"/>
      <c r="B216" s="7"/>
      <c r="C216" s="7"/>
      <c r="D216" s="7"/>
      <c r="E216" s="7"/>
      <c r="F216" s="7"/>
      <c r="G216" s="9"/>
      <c r="H216" s="9"/>
      <c r="I216" s="9"/>
      <c r="J216" s="7"/>
      <c r="K216" s="7"/>
    </row>
    <row r="217" customFormat="false" ht="15" hidden="false" customHeight="true" outlineLevel="0" collapsed="false">
      <c r="A217" s="14"/>
      <c r="B217" s="7"/>
      <c r="C217" s="7"/>
      <c r="D217" s="7"/>
      <c r="E217" s="7"/>
      <c r="F217" s="7"/>
      <c r="G217" s="9"/>
      <c r="H217" s="9"/>
      <c r="I217" s="9"/>
      <c r="J217" s="7"/>
      <c r="K217" s="7"/>
    </row>
    <row r="218" customFormat="false" ht="15" hidden="false" customHeight="true" outlineLevel="0" collapsed="false">
      <c r="A218" s="14"/>
      <c r="B218" s="7"/>
      <c r="C218" s="7"/>
      <c r="D218" s="7"/>
      <c r="E218" s="7"/>
      <c r="F218" s="7"/>
      <c r="G218" s="9"/>
      <c r="H218" s="9"/>
      <c r="I218" s="9"/>
      <c r="J218" s="7"/>
      <c r="K218" s="7"/>
    </row>
    <row r="219" customFormat="false" ht="15" hidden="false" customHeight="true" outlineLevel="0" collapsed="false">
      <c r="A219" s="14"/>
      <c r="B219" s="7"/>
      <c r="C219" s="7"/>
      <c r="D219" s="7"/>
      <c r="E219" s="7"/>
      <c r="F219" s="7"/>
      <c r="G219" s="9"/>
      <c r="H219" s="9"/>
      <c r="I219" s="9"/>
      <c r="J219" s="7"/>
      <c r="K219" s="7"/>
    </row>
    <row r="220" customFormat="false" ht="15" hidden="false" customHeight="true" outlineLevel="0" collapsed="false">
      <c r="A220" s="14"/>
      <c r="B220" s="7"/>
      <c r="C220" s="7"/>
      <c r="D220" s="7"/>
      <c r="E220" s="7"/>
      <c r="F220" s="7"/>
      <c r="G220" s="9"/>
      <c r="H220" s="9"/>
      <c r="I220" s="9"/>
      <c r="J220" s="7"/>
      <c r="K220" s="7"/>
    </row>
    <row r="221" customFormat="false" ht="15" hidden="false" customHeight="true" outlineLevel="0" collapsed="false">
      <c r="A221" s="14"/>
      <c r="B221" s="7"/>
      <c r="C221" s="7"/>
      <c r="D221" s="7"/>
      <c r="E221" s="7"/>
      <c r="F221" s="7"/>
      <c r="G221" s="9"/>
      <c r="H221" s="9"/>
      <c r="I221" s="9"/>
      <c r="J221" s="7"/>
      <c r="K221" s="7"/>
    </row>
    <row r="222" customFormat="false" ht="15" hidden="false" customHeight="true" outlineLevel="0" collapsed="false">
      <c r="A222" s="14"/>
      <c r="B222" s="7"/>
      <c r="C222" s="7"/>
      <c r="D222" s="7"/>
      <c r="E222" s="7"/>
      <c r="F222" s="7"/>
      <c r="G222" s="9"/>
      <c r="H222" s="9"/>
      <c r="I222" s="9"/>
      <c r="J222" s="7"/>
      <c r="K222" s="7"/>
    </row>
    <row r="223" customFormat="false" ht="15" hidden="false" customHeight="true" outlineLevel="0" collapsed="false">
      <c r="A223" s="14"/>
      <c r="B223" s="7"/>
      <c r="C223" s="7"/>
      <c r="D223" s="7"/>
      <c r="E223" s="7"/>
      <c r="F223" s="7"/>
      <c r="G223" s="9"/>
      <c r="H223" s="9"/>
      <c r="I223" s="9"/>
      <c r="J223" s="7"/>
      <c r="K223" s="7"/>
    </row>
    <row r="224" customFormat="false" ht="15" hidden="false" customHeight="true" outlineLevel="0" collapsed="false">
      <c r="A224" s="14"/>
      <c r="B224" s="7"/>
      <c r="C224" s="7"/>
      <c r="D224" s="7"/>
      <c r="E224" s="7"/>
      <c r="F224" s="7"/>
      <c r="G224" s="9"/>
      <c r="H224" s="9"/>
      <c r="I224" s="9"/>
      <c r="J224" s="7"/>
      <c r="K224" s="7"/>
    </row>
    <row r="225" customFormat="false" ht="15" hidden="false" customHeight="true" outlineLevel="0" collapsed="false">
      <c r="A225" s="14"/>
      <c r="B225" s="7"/>
      <c r="C225" s="7"/>
      <c r="D225" s="7"/>
      <c r="E225" s="7"/>
      <c r="F225" s="7"/>
      <c r="G225" s="9"/>
      <c r="H225" s="9"/>
      <c r="I225" s="9"/>
      <c r="J225" s="7"/>
      <c r="K225" s="7"/>
    </row>
    <row r="226" customFormat="false" ht="15" hidden="false" customHeight="true" outlineLevel="0" collapsed="false">
      <c r="A226" s="14"/>
      <c r="B226" s="7"/>
      <c r="C226" s="7"/>
      <c r="D226" s="7"/>
      <c r="E226" s="7"/>
      <c r="F226" s="7"/>
      <c r="G226" s="9"/>
      <c r="H226" s="9"/>
      <c r="I226" s="9"/>
      <c r="J226" s="7"/>
      <c r="K226" s="7"/>
    </row>
    <row r="227" customFormat="false" ht="15" hidden="false" customHeight="true" outlineLevel="0" collapsed="false">
      <c r="A227" s="14"/>
      <c r="B227" s="7"/>
      <c r="C227" s="7"/>
      <c r="D227" s="7"/>
      <c r="E227" s="7"/>
      <c r="F227" s="7"/>
      <c r="G227" s="9"/>
      <c r="H227" s="9"/>
      <c r="I227" s="9"/>
      <c r="J227" s="7"/>
      <c r="K227" s="7"/>
    </row>
    <row r="228" customFormat="false" ht="15" hidden="false" customHeight="true" outlineLevel="0" collapsed="false">
      <c r="A228" s="14"/>
      <c r="B228" s="7"/>
      <c r="C228" s="7"/>
      <c r="D228" s="7"/>
      <c r="E228" s="7"/>
      <c r="F228" s="7"/>
      <c r="G228" s="9"/>
      <c r="H228" s="9"/>
      <c r="I228" s="9"/>
      <c r="J228" s="7"/>
      <c r="K228" s="7"/>
    </row>
    <row r="229" customFormat="false" ht="15" hidden="false" customHeight="true" outlineLevel="0" collapsed="false">
      <c r="A229" s="14"/>
      <c r="B229" s="7"/>
      <c r="C229" s="7"/>
      <c r="D229" s="7"/>
      <c r="E229" s="7"/>
      <c r="F229" s="7"/>
      <c r="G229" s="9"/>
      <c r="H229" s="9"/>
      <c r="I229" s="9"/>
      <c r="J229" s="7"/>
      <c r="K229" s="7"/>
    </row>
    <row r="230" customFormat="false" ht="15" hidden="false" customHeight="true" outlineLevel="0" collapsed="false">
      <c r="A230" s="14"/>
      <c r="B230" s="7"/>
      <c r="C230" s="7"/>
      <c r="D230" s="7"/>
      <c r="E230" s="7"/>
      <c r="F230" s="7"/>
      <c r="G230" s="9"/>
      <c r="H230" s="9"/>
      <c r="I230" s="9"/>
      <c r="J230" s="7"/>
      <c r="K230" s="7"/>
    </row>
    <row r="231" customFormat="false" ht="15" hidden="false" customHeight="true" outlineLevel="0" collapsed="false">
      <c r="A231" s="14"/>
      <c r="B231" s="7"/>
      <c r="C231" s="7"/>
      <c r="D231" s="7"/>
      <c r="E231" s="7"/>
      <c r="F231" s="7"/>
      <c r="G231" s="9"/>
      <c r="H231" s="9"/>
      <c r="I231" s="9"/>
      <c r="J231" s="7"/>
      <c r="K231" s="7"/>
    </row>
    <row r="232" customFormat="false" ht="15" hidden="false" customHeight="true" outlineLevel="0" collapsed="false">
      <c r="A232" s="14"/>
      <c r="B232" s="7"/>
      <c r="C232" s="7"/>
      <c r="D232" s="7"/>
      <c r="E232" s="7"/>
      <c r="F232" s="7"/>
      <c r="G232" s="9"/>
      <c r="H232" s="9"/>
      <c r="I232" s="9"/>
      <c r="J232" s="7"/>
      <c r="K232" s="7"/>
    </row>
    <row r="233" customFormat="false" ht="15" hidden="false" customHeight="true" outlineLevel="0" collapsed="false">
      <c r="A233" s="14"/>
      <c r="B233" s="7"/>
      <c r="C233" s="7"/>
      <c r="D233" s="7"/>
      <c r="E233" s="7"/>
      <c r="F233" s="7"/>
      <c r="G233" s="9"/>
      <c r="H233" s="9"/>
      <c r="I233" s="9"/>
      <c r="J233" s="7"/>
      <c r="K233" s="7"/>
    </row>
    <row r="234" customFormat="false" ht="15" hidden="false" customHeight="true" outlineLevel="0" collapsed="false">
      <c r="A234" s="14"/>
      <c r="B234" s="7"/>
      <c r="C234" s="7"/>
      <c r="D234" s="7"/>
      <c r="E234" s="7"/>
      <c r="F234" s="7"/>
      <c r="G234" s="9"/>
      <c r="H234" s="9"/>
      <c r="I234" s="9"/>
      <c r="J234" s="7"/>
      <c r="K234" s="7"/>
    </row>
    <row r="235" customFormat="false" ht="15" hidden="false" customHeight="true" outlineLevel="0" collapsed="false">
      <c r="A235" s="14"/>
      <c r="B235" s="7"/>
      <c r="C235" s="7"/>
      <c r="D235" s="7"/>
      <c r="E235" s="7"/>
      <c r="F235" s="7"/>
      <c r="G235" s="9"/>
      <c r="H235" s="9"/>
      <c r="I235" s="9"/>
      <c r="J235" s="7"/>
      <c r="K235" s="7"/>
    </row>
    <row r="236" customFormat="false" ht="15" hidden="false" customHeight="true" outlineLevel="0" collapsed="false">
      <c r="A236" s="14"/>
      <c r="B236" s="7"/>
      <c r="C236" s="7"/>
      <c r="D236" s="7"/>
      <c r="E236" s="7"/>
      <c r="F236" s="7"/>
      <c r="G236" s="9"/>
      <c r="H236" s="9"/>
      <c r="I236" s="9"/>
      <c r="J236" s="7"/>
      <c r="K236" s="7"/>
    </row>
    <row r="237" customFormat="false" ht="15" hidden="false" customHeight="true" outlineLevel="0" collapsed="false">
      <c r="A237" s="14"/>
      <c r="B237" s="7"/>
      <c r="C237" s="7"/>
      <c r="D237" s="7"/>
      <c r="E237" s="7"/>
      <c r="F237" s="7"/>
      <c r="G237" s="9"/>
      <c r="H237" s="9"/>
      <c r="I237" s="9"/>
      <c r="J237" s="7"/>
      <c r="K237" s="7"/>
    </row>
    <row r="238" customFormat="false" ht="15" hidden="false" customHeight="true" outlineLevel="0" collapsed="false">
      <c r="A238" s="14"/>
      <c r="B238" s="7"/>
      <c r="C238" s="7"/>
      <c r="D238" s="7"/>
      <c r="E238" s="7"/>
      <c r="F238" s="7"/>
      <c r="G238" s="9"/>
      <c r="H238" s="9"/>
      <c r="I238" s="9"/>
      <c r="J238" s="7"/>
      <c r="K238" s="7"/>
    </row>
    <row r="239" customFormat="false" ht="15" hidden="false" customHeight="true" outlineLevel="0" collapsed="false">
      <c r="A239" s="14"/>
      <c r="B239" s="7"/>
      <c r="C239" s="7"/>
      <c r="D239" s="7"/>
      <c r="E239" s="7"/>
      <c r="F239" s="7"/>
      <c r="G239" s="9"/>
      <c r="H239" s="9"/>
      <c r="I239" s="9"/>
      <c r="J239" s="7"/>
      <c r="K239" s="7"/>
    </row>
    <row r="240" customFormat="false" ht="15" hidden="false" customHeight="true" outlineLevel="0" collapsed="false">
      <c r="A240" s="14"/>
      <c r="B240" s="7"/>
      <c r="C240" s="7"/>
      <c r="D240" s="7"/>
      <c r="E240" s="7"/>
      <c r="F240" s="7"/>
      <c r="G240" s="9"/>
      <c r="H240" s="9"/>
      <c r="I240" s="9"/>
      <c r="J240" s="7"/>
      <c r="K240" s="7"/>
    </row>
    <row r="241" customFormat="false" ht="15" hidden="false" customHeight="true" outlineLevel="0" collapsed="false">
      <c r="A241" s="14"/>
      <c r="B241" s="7"/>
      <c r="C241" s="7"/>
      <c r="D241" s="7"/>
      <c r="E241" s="7"/>
      <c r="F241" s="7"/>
      <c r="G241" s="9"/>
      <c r="H241" s="9"/>
      <c r="I241" s="9"/>
      <c r="J241" s="7"/>
      <c r="K241" s="7"/>
    </row>
    <row r="242" customFormat="false" ht="15" hidden="false" customHeight="true" outlineLevel="0" collapsed="false">
      <c r="A242" s="14"/>
      <c r="B242" s="7"/>
      <c r="C242" s="7"/>
      <c r="D242" s="7"/>
      <c r="E242" s="7"/>
      <c r="F242" s="7"/>
      <c r="G242" s="9"/>
      <c r="H242" s="9"/>
      <c r="I242" s="9"/>
      <c r="J242" s="7"/>
      <c r="K242" s="7"/>
    </row>
    <row r="243" customFormat="false" ht="15" hidden="false" customHeight="true" outlineLevel="0" collapsed="false">
      <c r="A243" s="14"/>
      <c r="B243" s="7"/>
      <c r="C243" s="7"/>
      <c r="D243" s="7"/>
      <c r="E243" s="7"/>
      <c r="F243" s="7"/>
      <c r="G243" s="9"/>
      <c r="H243" s="9"/>
      <c r="I243" s="9"/>
      <c r="J243" s="7"/>
      <c r="K243" s="7"/>
    </row>
    <row r="244" customFormat="false" ht="15" hidden="false" customHeight="true" outlineLevel="0" collapsed="false">
      <c r="A244" s="14"/>
      <c r="B244" s="7"/>
      <c r="C244" s="7"/>
      <c r="D244" s="7"/>
      <c r="E244" s="7"/>
      <c r="F244" s="7"/>
      <c r="G244" s="9"/>
      <c r="H244" s="9"/>
      <c r="I244" s="9"/>
      <c r="J244" s="7"/>
      <c r="K244" s="7"/>
    </row>
    <row r="245" customFormat="false" ht="15" hidden="false" customHeight="true" outlineLevel="0" collapsed="false">
      <c r="A245" s="14"/>
      <c r="B245" s="7"/>
      <c r="C245" s="7"/>
      <c r="D245" s="7"/>
      <c r="E245" s="7"/>
      <c r="F245" s="7"/>
      <c r="G245" s="9"/>
      <c r="H245" s="9"/>
      <c r="I245" s="9"/>
      <c r="J245" s="7"/>
      <c r="K245" s="7"/>
    </row>
    <row r="246" customFormat="false" ht="15" hidden="false" customHeight="true" outlineLevel="0" collapsed="false">
      <c r="A246" s="14"/>
      <c r="B246" s="7"/>
      <c r="C246" s="7"/>
      <c r="D246" s="7"/>
      <c r="E246" s="7"/>
      <c r="F246" s="7"/>
      <c r="G246" s="9"/>
      <c r="H246" s="9"/>
      <c r="I246" s="9"/>
      <c r="J246" s="7"/>
      <c r="K246" s="7"/>
    </row>
    <row r="247" customFormat="false" ht="15" hidden="false" customHeight="true" outlineLevel="0" collapsed="false">
      <c r="A247" s="14"/>
      <c r="B247" s="7"/>
      <c r="C247" s="7"/>
      <c r="D247" s="7"/>
      <c r="E247" s="7"/>
      <c r="F247" s="7"/>
      <c r="G247" s="9"/>
      <c r="H247" s="9"/>
      <c r="I247" s="9"/>
      <c r="J247" s="7"/>
      <c r="K247" s="7"/>
    </row>
    <row r="248" customFormat="false" ht="15" hidden="false" customHeight="true" outlineLevel="0" collapsed="false">
      <c r="A248" s="14"/>
      <c r="B248" s="7"/>
      <c r="C248" s="7"/>
      <c r="D248" s="7"/>
      <c r="E248" s="7"/>
      <c r="F248" s="7"/>
      <c r="G248" s="9"/>
      <c r="H248" s="9"/>
      <c r="I248" s="9"/>
      <c r="J248" s="7"/>
      <c r="K248" s="7"/>
    </row>
    <row r="249" customFormat="false" ht="15" hidden="false" customHeight="true" outlineLevel="0" collapsed="false">
      <c r="A249" s="14"/>
      <c r="B249" s="7"/>
      <c r="C249" s="7"/>
      <c r="D249" s="7"/>
      <c r="E249" s="7"/>
      <c r="F249" s="7"/>
      <c r="G249" s="9"/>
      <c r="H249" s="9"/>
      <c r="I249" s="9"/>
      <c r="J249" s="7"/>
      <c r="K249" s="7"/>
    </row>
    <row r="250" customFormat="false" ht="15" hidden="false" customHeight="true" outlineLevel="0" collapsed="false">
      <c r="A250" s="14"/>
      <c r="B250" s="7"/>
      <c r="C250" s="7"/>
      <c r="D250" s="7"/>
      <c r="E250" s="7"/>
      <c r="F250" s="7"/>
      <c r="G250" s="9"/>
      <c r="H250" s="9"/>
      <c r="I250" s="9"/>
      <c r="J250" s="7"/>
      <c r="K250" s="7"/>
    </row>
    <row r="251" customFormat="false" ht="15" hidden="false" customHeight="true" outlineLevel="0" collapsed="false">
      <c r="A251" s="14"/>
      <c r="B251" s="7"/>
      <c r="C251" s="7"/>
      <c r="D251" s="7"/>
      <c r="E251" s="7"/>
      <c r="F251" s="7"/>
      <c r="G251" s="9"/>
      <c r="H251" s="9"/>
      <c r="I251" s="9"/>
      <c r="J251" s="7"/>
      <c r="K251" s="7"/>
    </row>
    <row r="252" customFormat="false" ht="15" hidden="false" customHeight="true" outlineLevel="0" collapsed="false">
      <c r="A252" s="14"/>
      <c r="B252" s="7"/>
      <c r="C252" s="7"/>
      <c r="D252" s="7"/>
      <c r="E252" s="7"/>
      <c r="F252" s="7"/>
      <c r="G252" s="9"/>
      <c r="H252" s="9"/>
      <c r="I252" s="9"/>
      <c r="J252" s="7"/>
      <c r="K252" s="7"/>
    </row>
    <row r="253" customFormat="false" ht="15" hidden="false" customHeight="true" outlineLevel="0" collapsed="false">
      <c r="A253" s="14"/>
      <c r="B253" s="7"/>
      <c r="C253" s="7"/>
      <c r="D253" s="7"/>
      <c r="E253" s="7"/>
      <c r="F253" s="7"/>
      <c r="G253" s="9"/>
      <c r="H253" s="9"/>
      <c r="I253" s="9"/>
      <c r="J253" s="7"/>
      <c r="K253" s="7"/>
    </row>
    <row r="254" customFormat="false" ht="15" hidden="false" customHeight="true" outlineLevel="0" collapsed="false">
      <c r="A254" s="14"/>
      <c r="B254" s="7"/>
      <c r="C254" s="7"/>
      <c r="D254" s="7"/>
      <c r="E254" s="7"/>
      <c r="F254" s="7"/>
      <c r="G254" s="9"/>
      <c r="H254" s="9"/>
      <c r="I254" s="9"/>
      <c r="J254" s="7"/>
      <c r="K254" s="7"/>
    </row>
    <row r="255" customFormat="false" ht="15" hidden="false" customHeight="true" outlineLevel="0" collapsed="false">
      <c r="A255" s="14"/>
      <c r="B255" s="7"/>
      <c r="C255" s="7"/>
      <c r="D255" s="7"/>
      <c r="E255" s="7"/>
      <c r="F255" s="7"/>
      <c r="G255" s="9"/>
      <c r="H255" s="9"/>
      <c r="I255" s="9"/>
      <c r="J255" s="7"/>
      <c r="K255" s="7"/>
    </row>
    <row r="256" customFormat="false" ht="15" hidden="false" customHeight="true" outlineLevel="0" collapsed="false">
      <c r="A256" s="14"/>
      <c r="B256" s="7"/>
      <c r="C256" s="7"/>
      <c r="D256" s="7"/>
      <c r="E256" s="7"/>
      <c r="F256" s="7"/>
      <c r="G256" s="9"/>
      <c r="H256" s="9"/>
      <c r="I256" s="9"/>
      <c r="J256" s="7"/>
      <c r="K256" s="7"/>
    </row>
    <row r="257" customFormat="false" ht="15" hidden="false" customHeight="true" outlineLevel="0" collapsed="false">
      <c r="A257" s="14"/>
      <c r="B257" s="7"/>
      <c r="C257" s="7"/>
      <c r="D257" s="7"/>
      <c r="E257" s="7"/>
      <c r="F257" s="7"/>
      <c r="G257" s="9"/>
      <c r="H257" s="9"/>
      <c r="I257" s="9"/>
      <c r="J257" s="7"/>
      <c r="K257" s="7"/>
    </row>
    <row r="258" customFormat="false" ht="15" hidden="false" customHeight="true" outlineLevel="0" collapsed="false">
      <c r="A258" s="14"/>
      <c r="B258" s="7"/>
      <c r="C258" s="7"/>
      <c r="D258" s="7"/>
      <c r="E258" s="7"/>
      <c r="F258" s="7"/>
      <c r="G258" s="9"/>
      <c r="H258" s="9"/>
      <c r="I258" s="9"/>
      <c r="J258" s="7"/>
      <c r="K258" s="7"/>
    </row>
    <row r="259" customFormat="false" ht="15" hidden="false" customHeight="true" outlineLevel="0" collapsed="false">
      <c r="A259" s="14"/>
      <c r="B259" s="7"/>
      <c r="C259" s="7"/>
      <c r="D259" s="7"/>
      <c r="E259" s="7"/>
      <c r="F259" s="7"/>
      <c r="G259" s="9"/>
      <c r="H259" s="9"/>
      <c r="I259" s="9"/>
      <c r="J259" s="7"/>
      <c r="K259" s="7"/>
    </row>
    <row r="260" customFormat="false" ht="15" hidden="false" customHeight="true" outlineLevel="0" collapsed="false">
      <c r="A260" s="14"/>
      <c r="B260" s="7"/>
      <c r="C260" s="7"/>
      <c r="D260" s="7"/>
      <c r="E260" s="7"/>
      <c r="F260" s="7"/>
      <c r="G260" s="9"/>
      <c r="H260" s="9"/>
      <c r="I260" s="9"/>
      <c r="J260" s="7"/>
      <c r="K260" s="7"/>
    </row>
    <row r="261" customFormat="false" ht="15" hidden="false" customHeight="true" outlineLevel="0" collapsed="false">
      <c r="A261" s="14"/>
      <c r="B261" s="7"/>
      <c r="C261" s="7"/>
      <c r="D261" s="7"/>
      <c r="E261" s="7"/>
      <c r="F261" s="7"/>
      <c r="G261" s="9"/>
      <c r="H261" s="9"/>
      <c r="I261" s="9"/>
      <c r="J261" s="7"/>
      <c r="K261" s="7"/>
    </row>
    <row r="262" customFormat="false" ht="15" hidden="false" customHeight="true" outlineLevel="0" collapsed="false">
      <c r="A262" s="14"/>
      <c r="B262" s="7"/>
      <c r="C262" s="7"/>
      <c r="D262" s="7"/>
      <c r="E262" s="7"/>
      <c r="F262" s="7"/>
      <c r="G262" s="9"/>
      <c r="H262" s="9"/>
      <c r="I262" s="9"/>
      <c r="J262" s="7"/>
      <c r="K262" s="7"/>
    </row>
    <row r="263" customFormat="false" ht="15" hidden="false" customHeight="true" outlineLevel="0" collapsed="false">
      <c r="A263" s="14"/>
      <c r="B263" s="7"/>
      <c r="C263" s="7"/>
      <c r="D263" s="7"/>
      <c r="E263" s="7"/>
      <c r="F263" s="7"/>
      <c r="G263" s="9"/>
      <c r="H263" s="9"/>
      <c r="I263" s="9"/>
      <c r="J263" s="7"/>
      <c r="K263" s="7"/>
    </row>
    <row r="264" customFormat="false" ht="15" hidden="false" customHeight="true" outlineLevel="0" collapsed="false">
      <c r="A264" s="14"/>
      <c r="B264" s="7"/>
      <c r="C264" s="7"/>
      <c r="D264" s="7"/>
      <c r="E264" s="7"/>
      <c r="F264" s="7"/>
      <c r="G264" s="9"/>
      <c r="H264" s="9"/>
      <c r="I264" s="9"/>
      <c r="J264" s="7"/>
      <c r="K264" s="7"/>
    </row>
    <row r="265" customFormat="false" ht="15" hidden="false" customHeight="true" outlineLevel="0" collapsed="false">
      <c r="A265" s="14"/>
      <c r="B265" s="7"/>
      <c r="C265" s="7"/>
      <c r="D265" s="7"/>
      <c r="E265" s="7"/>
      <c r="F265" s="7"/>
      <c r="G265" s="9"/>
      <c r="H265" s="9"/>
      <c r="I265" s="9"/>
      <c r="J265" s="7"/>
      <c r="K265" s="7"/>
    </row>
    <row r="266" customFormat="false" ht="15" hidden="false" customHeight="true" outlineLevel="0" collapsed="false">
      <c r="A266" s="14"/>
      <c r="B266" s="7"/>
      <c r="C266" s="7"/>
      <c r="D266" s="7"/>
      <c r="E266" s="7"/>
      <c r="F266" s="7"/>
      <c r="G266" s="9"/>
      <c r="H266" s="9"/>
      <c r="I266" s="9"/>
      <c r="J266" s="7"/>
      <c r="K266" s="7"/>
    </row>
    <row r="267" customFormat="false" ht="15" hidden="false" customHeight="true" outlineLevel="0" collapsed="false">
      <c r="A267" s="14"/>
      <c r="B267" s="7"/>
      <c r="C267" s="7"/>
      <c r="D267" s="7"/>
      <c r="E267" s="7"/>
      <c r="F267" s="7"/>
      <c r="G267" s="9"/>
      <c r="H267" s="9"/>
      <c r="I267" s="9"/>
      <c r="J267" s="7"/>
      <c r="K267" s="7"/>
    </row>
    <row r="268" customFormat="false" ht="15" hidden="false" customHeight="true" outlineLevel="0" collapsed="false">
      <c r="A268" s="14"/>
      <c r="B268" s="7"/>
      <c r="C268" s="7"/>
      <c r="D268" s="7"/>
      <c r="E268" s="7"/>
      <c r="F268" s="7"/>
      <c r="G268" s="9"/>
      <c r="H268" s="9"/>
      <c r="I268" s="9"/>
      <c r="J268" s="7"/>
      <c r="K268" s="7"/>
    </row>
    <row r="269" customFormat="false" ht="15" hidden="false" customHeight="true" outlineLevel="0" collapsed="false">
      <c r="A269" s="14"/>
      <c r="B269" s="7"/>
      <c r="C269" s="7"/>
      <c r="D269" s="7"/>
      <c r="E269" s="7"/>
      <c r="F269" s="7"/>
      <c r="G269" s="9"/>
      <c r="H269" s="9"/>
      <c r="I269" s="9"/>
      <c r="J269" s="7"/>
      <c r="K269" s="7"/>
    </row>
    <row r="270" customFormat="false" ht="15" hidden="false" customHeight="true" outlineLevel="0" collapsed="false">
      <c r="A270" s="14"/>
      <c r="B270" s="7"/>
      <c r="C270" s="7"/>
      <c r="D270" s="7"/>
      <c r="E270" s="7"/>
      <c r="F270" s="7"/>
      <c r="G270" s="9"/>
      <c r="H270" s="9"/>
      <c r="I270" s="9"/>
      <c r="J270" s="7"/>
      <c r="K270" s="7"/>
    </row>
    <row r="271" customFormat="false" ht="15" hidden="false" customHeight="true" outlineLevel="0" collapsed="false">
      <c r="A271" s="14"/>
      <c r="B271" s="7"/>
      <c r="C271" s="7"/>
      <c r="D271" s="7"/>
      <c r="E271" s="7"/>
      <c r="F271" s="7"/>
      <c r="G271" s="9"/>
      <c r="H271" s="9"/>
      <c r="I271" s="9"/>
      <c r="J271" s="7"/>
      <c r="K271" s="7"/>
    </row>
    <row r="272" customFormat="false" ht="15" hidden="false" customHeight="true" outlineLevel="0" collapsed="false">
      <c r="A272" s="14"/>
      <c r="B272" s="7"/>
      <c r="C272" s="7"/>
      <c r="D272" s="7"/>
      <c r="E272" s="7"/>
      <c r="F272" s="7"/>
      <c r="G272" s="9"/>
      <c r="H272" s="9"/>
      <c r="I272" s="9"/>
      <c r="J272" s="7"/>
      <c r="K272" s="7"/>
    </row>
    <row r="273" customFormat="false" ht="15" hidden="false" customHeight="true" outlineLevel="0" collapsed="false">
      <c r="A273" s="14"/>
      <c r="B273" s="7"/>
      <c r="C273" s="7"/>
      <c r="D273" s="7"/>
      <c r="E273" s="7"/>
      <c r="F273" s="7"/>
      <c r="G273" s="9"/>
      <c r="H273" s="9"/>
      <c r="I273" s="9"/>
      <c r="J273" s="7"/>
      <c r="K273" s="7"/>
    </row>
    <row r="274" customFormat="false" ht="15" hidden="false" customHeight="true" outlineLevel="0" collapsed="false">
      <c r="A274" s="14"/>
      <c r="B274" s="7"/>
      <c r="C274" s="7"/>
      <c r="D274" s="7"/>
      <c r="E274" s="7"/>
      <c r="F274" s="7"/>
      <c r="G274" s="9"/>
      <c r="H274" s="9"/>
      <c r="I274" s="9"/>
      <c r="J274" s="7"/>
      <c r="K274" s="7"/>
    </row>
    <row r="275" customFormat="false" ht="15" hidden="false" customHeight="true" outlineLevel="0" collapsed="false">
      <c r="A275" s="14"/>
      <c r="B275" s="7"/>
      <c r="C275" s="7"/>
      <c r="D275" s="7"/>
      <c r="E275" s="7"/>
      <c r="F275" s="7"/>
      <c r="G275" s="9"/>
      <c r="H275" s="9"/>
      <c r="I275" s="9"/>
      <c r="J275" s="7"/>
      <c r="K275" s="7"/>
    </row>
    <row r="276" customFormat="false" ht="15" hidden="false" customHeight="true" outlineLevel="0" collapsed="false">
      <c r="A276" s="14"/>
      <c r="B276" s="7"/>
      <c r="C276" s="7"/>
      <c r="D276" s="7"/>
      <c r="E276" s="7"/>
      <c r="F276" s="7"/>
      <c r="G276" s="9"/>
      <c r="H276" s="9"/>
      <c r="I276" s="9"/>
      <c r="J276" s="7"/>
      <c r="K276" s="7"/>
    </row>
    <row r="277" customFormat="false" ht="15" hidden="false" customHeight="true" outlineLevel="0" collapsed="false">
      <c r="A277" s="14"/>
      <c r="B277" s="7"/>
      <c r="C277" s="7"/>
      <c r="D277" s="7"/>
      <c r="E277" s="7"/>
      <c r="F277" s="7"/>
      <c r="G277" s="9"/>
      <c r="H277" s="9"/>
      <c r="I277" s="9"/>
      <c r="J277" s="7"/>
      <c r="K277" s="7"/>
    </row>
    <row r="278" customFormat="false" ht="15" hidden="false" customHeight="true" outlineLevel="0" collapsed="false">
      <c r="A278" s="14"/>
      <c r="B278" s="7"/>
      <c r="C278" s="7"/>
      <c r="D278" s="7"/>
      <c r="E278" s="7"/>
      <c r="F278" s="7"/>
      <c r="G278" s="9"/>
      <c r="H278" s="9"/>
      <c r="I278" s="9"/>
      <c r="J278" s="7"/>
      <c r="K278" s="7"/>
    </row>
    <row r="279" customFormat="false" ht="15" hidden="false" customHeight="true" outlineLevel="0" collapsed="false">
      <c r="A279" s="14"/>
      <c r="B279" s="7"/>
      <c r="C279" s="7"/>
      <c r="D279" s="7"/>
      <c r="E279" s="7"/>
      <c r="F279" s="7"/>
      <c r="G279" s="9"/>
      <c r="H279" s="9"/>
      <c r="I279" s="9"/>
      <c r="J279" s="7"/>
      <c r="K279" s="7"/>
    </row>
    <row r="280" customFormat="false" ht="15" hidden="false" customHeight="true" outlineLevel="0" collapsed="false">
      <c r="A280" s="14"/>
      <c r="B280" s="7"/>
      <c r="C280" s="7"/>
      <c r="D280" s="7"/>
      <c r="E280" s="7"/>
      <c r="F280" s="7"/>
      <c r="G280" s="9"/>
      <c r="H280" s="9"/>
      <c r="I280" s="9"/>
      <c r="J280" s="7"/>
      <c r="K280" s="7"/>
    </row>
    <row r="281" customFormat="false" ht="15" hidden="false" customHeight="true" outlineLevel="0" collapsed="false">
      <c r="A281" s="14"/>
      <c r="B281" s="7"/>
      <c r="C281" s="7"/>
      <c r="D281" s="7"/>
      <c r="E281" s="7"/>
      <c r="F281" s="7"/>
      <c r="G281" s="9"/>
      <c r="H281" s="9"/>
      <c r="I281" s="9"/>
      <c r="J281" s="7"/>
      <c r="K281" s="7"/>
    </row>
    <row r="282" customFormat="false" ht="15" hidden="false" customHeight="true" outlineLevel="0" collapsed="false">
      <c r="A282" s="14"/>
      <c r="B282" s="7"/>
      <c r="C282" s="7"/>
      <c r="D282" s="7"/>
      <c r="E282" s="7"/>
      <c r="F282" s="7"/>
      <c r="G282" s="9"/>
      <c r="H282" s="9"/>
      <c r="I282" s="9"/>
      <c r="J282" s="7"/>
      <c r="K282" s="7"/>
    </row>
    <row r="283" customFormat="false" ht="15" hidden="false" customHeight="true" outlineLevel="0" collapsed="false">
      <c r="A283" s="14"/>
      <c r="B283" s="7"/>
      <c r="C283" s="7"/>
      <c r="D283" s="7"/>
      <c r="E283" s="7"/>
      <c r="F283" s="7"/>
      <c r="G283" s="9"/>
      <c r="H283" s="9"/>
      <c r="I283" s="9"/>
      <c r="J283" s="7"/>
      <c r="K283" s="7"/>
    </row>
    <row r="284" customFormat="false" ht="15" hidden="false" customHeight="true" outlineLevel="0" collapsed="false">
      <c r="A284" s="14"/>
      <c r="B284" s="7"/>
      <c r="C284" s="7"/>
      <c r="D284" s="7"/>
      <c r="E284" s="7"/>
      <c r="F284" s="7"/>
      <c r="G284" s="9"/>
      <c r="H284" s="9"/>
      <c r="I284" s="9"/>
      <c r="J284" s="7"/>
      <c r="K284" s="7"/>
    </row>
    <row r="285" customFormat="false" ht="15" hidden="false" customHeight="true" outlineLevel="0" collapsed="false">
      <c r="A285" s="14"/>
      <c r="B285" s="7"/>
      <c r="C285" s="7"/>
      <c r="D285" s="7"/>
      <c r="E285" s="7"/>
      <c r="F285" s="7"/>
      <c r="G285" s="9"/>
      <c r="H285" s="9"/>
      <c r="I285" s="9"/>
      <c r="J285" s="7"/>
      <c r="K285" s="7"/>
    </row>
    <row r="286" customFormat="false" ht="15" hidden="false" customHeight="true" outlineLevel="0" collapsed="false">
      <c r="A286" s="14"/>
      <c r="B286" s="7"/>
      <c r="C286" s="7"/>
      <c r="D286" s="7"/>
      <c r="E286" s="7"/>
      <c r="F286" s="7"/>
      <c r="G286" s="9"/>
      <c r="H286" s="9"/>
      <c r="I286" s="9"/>
      <c r="J286" s="7"/>
      <c r="K286" s="7"/>
    </row>
    <row r="287" customFormat="false" ht="15" hidden="false" customHeight="true" outlineLevel="0" collapsed="false">
      <c r="A287" s="14"/>
      <c r="B287" s="7"/>
      <c r="C287" s="7"/>
      <c r="D287" s="7"/>
      <c r="E287" s="7"/>
      <c r="F287" s="7"/>
      <c r="G287" s="9"/>
      <c r="H287" s="9"/>
      <c r="I287" s="9"/>
      <c r="J287" s="7"/>
      <c r="K287" s="7"/>
    </row>
    <row r="288" customFormat="false" ht="15" hidden="false" customHeight="true" outlineLevel="0" collapsed="false">
      <c r="A288" s="14"/>
      <c r="B288" s="7"/>
      <c r="C288" s="7"/>
      <c r="D288" s="7"/>
      <c r="E288" s="7"/>
      <c r="F288" s="7"/>
      <c r="G288" s="9"/>
      <c r="H288" s="9"/>
      <c r="I288" s="9"/>
      <c r="J288" s="7"/>
      <c r="K288" s="7"/>
    </row>
    <row r="289" customFormat="false" ht="15" hidden="false" customHeight="true" outlineLevel="0" collapsed="false">
      <c r="A289" s="14"/>
      <c r="B289" s="7"/>
      <c r="C289" s="7"/>
      <c r="D289" s="7"/>
      <c r="E289" s="7"/>
      <c r="F289" s="7"/>
      <c r="G289" s="9"/>
      <c r="H289" s="9"/>
      <c r="I289" s="9"/>
      <c r="J289" s="7"/>
      <c r="K289" s="7"/>
    </row>
    <row r="290" customFormat="false" ht="15" hidden="false" customHeight="true" outlineLevel="0" collapsed="false">
      <c r="A290" s="14"/>
      <c r="B290" s="7"/>
      <c r="C290" s="7"/>
      <c r="D290" s="7"/>
      <c r="E290" s="7"/>
      <c r="F290" s="7"/>
      <c r="G290" s="9"/>
      <c r="H290" s="9"/>
      <c r="I290" s="9"/>
      <c r="J290" s="7"/>
      <c r="K290" s="7"/>
    </row>
    <row r="291" customFormat="false" ht="15" hidden="false" customHeight="true" outlineLevel="0" collapsed="false">
      <c r="A291" s="14"/>
      <c r="B291" s="7"/>
      <c r="C291" s="7"/>
      <c r="D291" s="7"/>
      <c r="E291" s="7"/>
      <c r="F291" s="7"/>
      <c r="G291" s="9"/>
      <c r="H291" s="9"/>
      <c r="I291" s="9"/>
      <c r="J291" s="7"/>
      <c r="K291" s="7"/>
    </row>
    <row r="292" customFormat="false" ht="15" hidden="false" customHeight="true" outlineLevel="0" collapsed="false">
      <c r="A292" s="14"/>
      <c r="B292" s="7"/>
      <c r="C292" s="7"/>
      <c r="D292" s="7"/>
      <c r="E292" s="7"/>
      <c r="F292" s="7"/>
      <c r="G292" s="9"/>
      <c r="H292" s="9"/>
      <c r="I292" s="9"/>
      <c r="J292" s="7"/>
      <c r="K292" s="7"/>
    </row>
    <row r="293" customFormat="false" ht="15" hidden="false" customHeight="true" outlineLevel="0" collapsed="false">
      <c r="A293" s="14"/>
      <c r="B293" s="7"/>
      <c r="C293" s="7"/>
      <c r="D293" s="7"/>
      <c r="E293" s="7"/>
      <c r="F293" s="7"/>
      <c r="G293" s="9"/>
      <c r="H293" s="9"/>
      <c r="I293" s="9"/>
      <c r="J293" s="7"/>
      <c r="K293" s="7"/>
    </row>
    <row r="294" customFormat="false" ht="15" hidden="false" customHeight="true" outlineLevel="0" collapsed="false">
      <c r="A294" s="14"/>
      <c r="B294" s="7"/>
      <c r="C294" s="7"/>
      <c r="D294" s="7"/>
      <c r="E294" s="7"/>
      <c r="F294" s="7"/>
      <c r="G294" s="9"/>
      <c r="H294" s="9"/>
      <c r="I294" s="9"/>
      <c r="J294" s="7"/>
      <c r="K294" s="7"/>
    </row>
    <row r="295" customFormat="false" ht="15" hidden="false" customHeight="true" outlineLevel="0" collapsed="false">
      <c r="A295" s="14"/>
      <c r="B295" s="7"/>
      <c r="C295" s="7"/>
      <c r="D295" s="7"/>
      <c r="E295" s="7"/>
      <c r="F295" s="7"/>
      <c r="G295" s="9"/>
      <c r="H295" s="9"/>
      <c r="I295" s="9"/>
      <c r="J295" s="7"/>
      <c r="K295" s="7"/>
    </row>
    <row r="296" customFormat="false" ht="15" hidden="false" customHeight="true" outlineLevel="0" collapsed="false">
      <c r="A296" s="14"/>
      <c r="B296" s="7"/>
      <c r="C296" s="7"/>
      <c r="D296" s="7"/>
      <c r="E296" s="7"/>
      <c r="F296" s="7"/>
      <c r="G296" s="9"/>
      <c r="H296" s="9"/>
      <c r="I296" s="9"/>
      <c r="J296" s="7"/>
      <c r="K296" s="7"/>
    </row>
    <row r="297" customFormat="false" ht="15" hidden="false" customHeight="true" outlineLevel="0" collapsed="false">
      <c r="A297" s="14"/>
      <c r="B297" s="7"/>
      <c r="C297" s="7"/>
      <c r="D297" s="7"/>
      <c r="E297" s="7"/>
      <c r="F297" s="7"/>
      <c r="G297" s="9"/>
      <c r="H297" s="9"/>
      <c r="I297" s="9"/>
      <c r="J297" s="7"/>
      <c r="K297" s="7"/>
    </row>
    <row r="298" customFormat="false" ht="15" hidden="false" customHeight="true" outlineLevel="0" collapsed="false">
      <c r="A298" s="14"/>
      <c r="B298" s="7"/>
      <c r="C298" s="7"/>
      <c r="D298" s="7"/>
      <c r="E298" s="7"/>
      <c r="F298" s="7"/>
      <c r="G298" s="9"/>
      <c r="H298" s="9"/>
      <c r="I298" s="9"/>
      <c r="J298" s="7"/>
      <c r="K298" s="7"/>
    </row>
    <row r="299" customFormat="false" ht="15" hidden="false" customHeight="true" outlineLevel="0" collapsed="false">
      <c r="A299" s="14"/>
      <c r="B299" s="7"/>
      <c r="C299" s="7"/>
      <c r="D299" s="7"/>
      <c r="E299" s="7"/>
      <c r="F299" s="7"/>
      <c r="G299" s="9"/>
      <c r="H299" s="9"/>
      <c r="I299" s="9"/>
      <c r="J299" s="7"/>
      <c r="K299" s="7"/>
    </row>
    <row r="300" customFormat="false" ht="15" hidden="false" customHeight="true" outlineLevel="0" collapsed="false">
      <c r="A300" s="14"/>
      <c r="B300" s="7"/>
      <c r="C300" s="7"/>
      <c r="D300" s="7"/>
      <c r="E300" s="7"/>
      <c r="F300" s="7"/>
      <c r="G300" s="9"/>
      <c r="H300" s="9"/>
      <c r="I300" s="9"/>
      <c r="J300" s="7"/>
      <c r="K300" s="7"/>
    </row>
    <row r="301" customFormat="false" ht="15" hidden="false" customHeight="true" outlineLevel="0" collapsed="false">
      <c r="A301" s="14"/>
      <c r="B301" s="7"/>
      <c r="C301" s="7"/>
      <c r="D301" s="7"/>
      <c r="E301" s="7"/>
      <c r="F301" s="7"/>
      <c r="G301" s="9"/>
      <c r="H301" s="9"/>
      <c r="I301" s="9"/>
      <c r="J301" s="7"/>
      <c r="K301" s="7"/>
    </row>
    <row r="302" customFormat="false" ht="15" hidden="false" customHeight="true" outlineLevel="0" collapsed="false">
      <c r="A302" s="14"/>
      <c r="B302" s="7"/>
      <c r="C302" s="7"/>
      <c r="D302" s="7"/>
      <c r="E302" s="7"/>
      <c r="F302" s="7"/>
      <c r="G302" s="9"/>
      <c r="H302" s="9"/>
      <c r="I302" s="9"/>
      <c r="J302" s="7"/>
      <c r="K302" s="7"/>
    </row>
    <row r="303" customFormat="false" ht="15" hidden="false" customHeight="true" outlineLevel="0" collapsed="false">
      <c r="A303" s="14"/>
      <c r="B303" s="7"/>
      <c r="C303" s="7"/>
      <c r="D303" s="7"/>
      <c r="E303" s="7"/>
      <c r="F303" s="7"/>
      <c r="G303" s="9"/>
      <c r="H303" s="9"/>
      <c r="I303" s="9"/>
      <c r="J303" s="7"/>
      <c r="K303" s="7"/>
    </row>
    <row r="304" customFormat="false" ht="15" hidden="false" customHeight="true" outlineLevel="0" collapsed="false">
      <c r="A304" s="14"/>
      <c r="B304" s="7"/>
      <c r="C304" s="7"/>
      <c r="D304" s="7"/>
      <c r="E304" s="7"/>
      <c r="F304" s="7"/>
      <c r="G304" s="9"/>
      <c r="H304" s="9"/>
      <c r="I304" s="9"/>
      <c r="J304" s="7"/>
      <c r="K304" s="7"/>
    </row>
    <row r="305" customFormat="false" ht="15" hidden="false" customHeight="true" outlineLevel="0" collapsed="false">
      <c r="A305" s="14"/>
      <c r="B305" s="7"/>
      <c r="C305" s="7"/>
      <c r="D305" s="7"/>
      <c r="E305" s="7"/>
      <c r="F305" s="7"/>
      <c r="G305" s="9"/>
      <c r="H305" s="9"/>
      <c r="I305" s="9"/>
      <c r="J305" s="7"/>
      <c r="K305" s="7"/>
    </row>
    <row r="306" customFormat="false" ht="15" hidden="false" customHeight="true" outlineLevel="0" collapsed="false">
      <c r="A306" s="14"/>
      <c r="B306" s="7"/>
      <c r="C306" s="7"/>
      <c r="D306" s="7"/>
      <c r="E306" s="7"/>
      <c r="F306" s="7"/>
      <c r="G306" s="9"/>
      <c r="H306" s="9"/>
      <c r="I306" s="9"/>
      <c r="J306" s="7"/>
      <c r="K306" s="7"/>
    </row>
    <row r="307" customFormat="false" ht="15" hidden="false" customHeight="true" outlineLevel="0" collapsed="false">
      <c r="A307" s="14"/>
      <c r="B307" s="7"/>
      <c r="C307" s="7"/>
      <c r="D307" s="7"/>
      <c r="E307" s="7"/>
      <c r="F307" s="7"/>
      <c r="G307" s="9"/>
      <c r="H307" s="9"/>
      <c r="I307" s="9"/>
      <c r="J307" s="7"/>
      <c r="K307" s="7"/>
    </row>
    <row r="308" customFormat="false" ht="15" hidden="false" customHeight="true" outlineLevel="0" collapsed="false">
      <c r="A308" s="14"/>
      <c r="B308" s="7"/>
      <c r="C308" s="7"/>
      <c r="D308" s="7"/>
      <c r="E308" s="7"/>
      <c r="F308" s="7"/>
      <c r="G308" s="9"/>
      <c r="H308" s="9"/>
      <c r="I308" s="9"/>
      <c r="J308" s="7"/>
      <c r="K308" s="7"/>
    </row>
    <row r="309" customFormat="false" ht="15" hidden="false" customHeight="true" outlineLevel="0" collapsed="false">
      <c r="A309" s="14"/>
      <c r="B309" s="7"/>
      <c r="C309" s="7"/>
      <c r="D309" s="7"/>
      <c r="E309" s="7"/>
      <c r="F309" s="7"/>
      <c r="G309" s="9"/>
      <c r="H309" s="9"/>
      <c r="I309" s="9"/>
      <c r="J309" s="7"/>
      <c r="K309" s="7"/>
    </row>
    <row r="310" customFormat="false" ht="15" hidden="false" customHeight="true" outlineLevel="0" collapsed="false">
      <c r="A310" s="14"/>
      <c r="B310" s="7"/>
      <c r="C310" s="7"/>
      <c r="D310" s="7"/>
      <c r="E310" s="7"/>
      <c r="F310" s="7"/>
      <c r="G310" s="9"/>
      <c r="H310" s="9"/>
      <c r="I310" s="9"/>
      <c r="J310" s="7"/>
      <c r="K310" s="7"/>
    </row>
    <row r="311" customFormat="false" ht="15" hidden="false" customHeight="true" outlineLevel="0" collapsed="false">
      <c r="A311" s="14"/>
      <c r="B311" s="7"/>
      <c r="C311" s="7"/>
      <c r="D311" s="7"/>
      <c r="E311" s="7"/>
      <c r="F311" s="7"/>
      <c r="G311" s="9"/>
      <c r="H311" s="9"/>
      <c r="I311" s="9"/>
      <c r="J311" s="7"/>
      <c r="K311" s="7"/>
    </row>
    <row r="312" customFormat="false" ht="15" hidden="false" customHeight="true" outlineLevel="0" collapsed="false">
      <c r="A312" s="14"/>
      <c r="B312" s="7"/>
      <c r="C312" s="7"/>
      <c r="D312" s="7"/>
      <c r="E312" s="7"/>
      <c r="F312" s="7"/>
      <c r="G312" s="9"/>
      <c r="H312" s="9"/>
      <c r="I312" s="9"/>
      <c r="J312" s="7"/>
      <c r="K312" s="7"/>
    </row>
    <row r="313" customFormat="false" ht="15" hidden="false" customHeight="true" outlineLevel="0" collapsed="false">
      <c r="A313" s="14"/>
      <c r="B313" s="7"/>
      <c r="C313" s="7"/>
      <c r="D313" s="7"/>
      <c r="E313" s="7"/>
      <c r="F313" s="7"/>
      <c r="G313" s="9"/>
      <c r="H313" s="9"/>
      <c r="I313" s="9"/>
      <c r="J313" s="7"/>
      <c r="K313" s="7"/>
    </row>
    <row r="314" customFormat="false" ht="15" hidden="false" customHeight="true" outlineLevel="0" collapsed="false">
      <c r="A314" s="14"/>
      <c r="B314" s="7"/>
      <c r="C314" s="7"/>
      <c r="D314" s="7"/>
      <c r="E314" s="7"/>
      <c r="F314" s="7"/>
      <c r="G314" s="9"/>
      <c r="H314" s="9"/>
      <c r="I314" s="9"/>
      <c r="J314" s="7"/>
      <c r="K314" s="7"/>
    </row>
    <row r="315" customFormat="false" ht="15" hidden="false" customHeight="true" outlineLevel="0" collapsed="false">
      <c r="A315" s="14"/>
      <c r="B315" s="7"/>
      <c r="C315" s="7"/>
      <c r="D315" s="7"/>
      <c r="E315" s="7"/>
      <c r="F315" s="7"/>
      <c r="G315" s="9"/>
      <c r="H315" s="9"/>
      <c r="I315" s="9"/>
      <c r="J315" s="7"/>
      <c r="K315" s="7"/>
    </row>
    <row r="316" customFormat="false" ht="15" hidden="false" customHeight="true" outlineLevel="0" collapsed="false">
      <c r="A316" s="14"/>
      <c r="B316" s="7"/>
      <c r="C316" s="7"/>
      <c r="D316" s="7"/>
      <c r="E316" s="7"/>
      <c r="F316" s="7"/>
      <c r="G316" s="9"/>
      <c r="H316" s="9"/>
      <c r="I316" s="9"/>
      <c r="J316" s="7"/>
      <c r="K316" s="7"/>
    </row>
    <row r="317" customFormat="false" ht="15" hidden="false" customHeight="true" outlineLevel="0" collapsed="false">
      <c r="A317" s="14"/>
      <c r="B317" s="7"/>
      <c r="C317" s="7"/>
      <c r="D317" s="7"/>
      <c r="E317" s="7"/>
      <c r="F317" s="7"/>
      <c r="G317" s="9"/>
      <c r="H317" s="9"/>
      <c r="I317" s="9"/>
      <c r="J317" s="7"/>
      <c r="K317" s="7"/>
    </row>
    <row r="318" customFormat="false" ht="15" hidden="false" customHeight="true" outlineLevel="0" collapsed="false">
      <c r="A318" s="14"/>
      <c r="B318" s="7"/>
      <c r="C318" s="7"/>
      <c r="D318" s="7"/>
      <c r="E318" s="7"/>
      <c r="F318" s="7"/>
      <c r="G318" s="9"/>
      <c r="H318" s="9"/>
      <c r="I318" s="9"/>
      <c r="J318" s="7"/>
      <c r="K318" s="7"/>
    </row>
    <row r="319" customFormat="false" ht="15" hidden="false" customHeight="true" outlineLevel="0" collapsed="false">
      <c r="A319" s="14"/>
      <c r="B319" s="7"/>
      <c r="C319" s="7"/>
      <c r="D319" s="7"/>
      <c r="E319" s="7"/>
      <c r="F319" s="7"/>
      <c r="G319" s="9"/>
      <c r="H319" s="9"/>
      <c r="I319" s="9"/>
      <c r="J319" s="7"/>
      <c r="K319" s="7"/>
    </row>
    <row r="320" customFormat="false" ht="15" hidden="false" customHeight="true" outlineLevel="0" collapsed="false">
      <c r="A320" s="14"/>
      <c r="B320" s="7"/>
      <c r="C320" s="7"/>
      <c r="D320" s="7"/>
      <c r="E320" s="7"/>
      <c r="F320" s="7"/>
      <c r="G320" s="9"/>
      <c r="H320" s="9"/>
      <c r="I320" s="9"/>
      <c r="J320" s="7"/>
      <c r="K320" s="7"/>
    </row>
    <row r="321" customFormat="false" ht="15" hidden="false" customHeight="true" outlineLevel="0" collapsed="false">
      <c r="A321" s="14"/>
      <c r="B321" s="7"/>
      <c r="C321" s="7"/>
      <c r="D321" s="7"/>
      <c r="E321" s="7"/>
      <c r="F321" s="7"/>
      <c r="G321" s="9"/>
      <c r="H321" s="9"/>
      <c r="I321" s="9"/>
      <c r="J321" s="7"/>
      <c r="K321" s="7"/>
    </row>
    <row r="322" customFormat="false" ht="15" hidden="false" customHeight="true" outlineLevel="0" collapsed="false">
      <c r="A322" s="14"/>
      <c r="B322" s="7"/>
      <c r="C322" s="7"/>
      <c r="D322" s="7"/>
      <c r="E322" s="7"/>
      <c r="F322" s="7"/>
      <c r="G322" s="9"/>
      <c r="H322" s="9"/>
      <c r="I322" s="9"/>
      <c r="J322" s="7"/>
      <c r="K322" s="7"/>
    </row>
    <row r="323" customFormat="false" ht="15" hidden="false" customHeight="true" outlineLevel="0" collapsed="false">
      <c r="A323" s="14"/>
      <c r="B323" s="7"/>
      <c r="C323" s="7"/>
      <c r="D323" s="7"/>
      <c r="E323" s="7"/>
      <c r="F323" s="7"/>
      <c r="G323" s="9"/>
      <c r="H323" s="9"/>
      <c r="I323" s="9"/>
      <c r="J323" s="7"/>
      <c r="K323" s="7"/>
    </row>
    <row r="324" customFormat="false" ht="15" hidden="false" customHeight="true" outlineLevel="0" collapsed="false">
      <c r="A324" s="14"/>
      <c r="B324" s="7"/>
      <c r="C324" s="7"/>
      <c r="D324" s="7"/>
      <c r="E324" s="7"/>
      <c r="F324" s="7"/>
      <c r="G324" s="9"/>
      <c r="H324" s="9"/>
      <c r="I324" s="9"/>
      <c r="J324" s="7"/>
      <c r="K324" s="7"/>
    </row>
    <row r="325" customFormat="false" ht="15" hidden="false" customHeight="true" outlineLevel="0" collapsed="false">
      <c r="A325" s="14"/>
      <c r="B325" s="7"/>
      <c r="C325" s="7"/>
      <c r="D325" s="7"/>
      <c r="E325" s="7"/>
      <c r="F325" s="7"/>
      <c r="G325" s="9"/>
      <c r="H325" s="9"/>
      <c r="I325" s="9"/>
      <c r="J325" s="7"/>
      <c r="K325" s="7"/>
    </row>
    <row r="326" customFormat="false" ht="15" hidden="false" customHeight="true" outlineLevel="0" collapsed="false">
      <c r="A326" s="14"/>
      <c r="B326" s="7"/>
      <c r="C326" s="7"/>
      <c r="D326" s="7"/>
      <c r="E326" s="7"/>
      <c r="F326" s="7"/>
      <c r="G326" s="9"/>
      <c r="H326" s="9"/>
      <c r="I326" s="9"/>
      <c r="J326" s="7"/>
      <c r="K326" s="7"/>
    </row>
    <row r="327" customFormat="false" ht="15" hidden="false" customHeight="true" outlineLevel="0" collapsed="false">
      <c r="A327" s="14"/>
      <c r="B327" s="7"/>
      <c r="C327" s="7"/>
      <c r="D327" s="7"/>
      <c r="E327" s="7"/>
      <c r="F327" s="7"/>
      <c r="G327" s="9"/>
      <c r="H327" s="9"/>
      <c r="I327" s="9"/>
      <c r="J327" s="7"/>
      <c r="K327" s="7"/>
    </row>
    <row r="328" customFormat="false" ht="15" hidden="false" customHeight="true" outlineLevel="0" collapsed="false">
      <c r="A328" s="14"/>
      <c r="B328" s="7"/>
      <c r="C328" s="7"/>
      <c r="D328" s="7"/>
      <c r="E328" s="7"/>
      <c r="F328" s="7"/>
      <c r="G328" s="9"/>
      <c r="H328" s="9"/>
      <c r="I328" s="9"/>
      <c r="J328" s="7"/>
      <c r="K328" s="7"/>
    </row>
    <row r="329" customFormat="false" ht="15" hidden="false" customHeight="true" outlineLevel="0" collapsed="false">
      <c r="A329" s="14"/>
      <c r="B329" s="7"/>
      <c r="C329" s="7"/>
      <c r="D329" s="7"/>
      <c r="E329" s="7"/>
      <c r="F329" s="7"/>
      <c r="G329" s="9"/>
      <c r="H329" s="9"/>
      <c r="I329" s="9"/>
      <c r="J329" s="7"/>
      <c r="K329" s="7"/>
    </row>
    <row r="330" customFormat="false" ht="15" hidden="false" customHeight="true" outlineLevel="0" collapsed="false">
      <c r="A330" s="14"/>
      <c r="B330" s="7"/>
      <c r="C330" s="7"/>
      <c r="D330" s="7"/>
      <c r="E330" s="7"/>
      <c r="F330" s="7"/>
      <c r="G330" s="9"/>
      <c r="H330" s="9"/>
      <c r="I330" s="9"/>
      <c r="J330" s="7"/>
      <c r="K330" s="7"/>
    </row>
    <row r="331" customFormat="false" ht="15" hidden="false" customHeight="true" outlineLevel="0" collapsed="false">
      <c r="A331" s="14"/>
      <c r="B331" s="7"/>
      <c r="C331" s="7"/>
      <c r="D331" s="7"/>
      <c r="E331" s="7"/>
      <c r="F331" s="7"/>
      <c r="G331" s="9"/>
      <c r="H331" s="9"/>
      <c r="I331" s="9"/>
      <c r="J331" s="7"/>
      <c r="K331" s="7"/>
    </row>
    <row r="332" customFormat="false" ht="15" hidden="false" customHeight="true" outlineLevel="0" collapsed="false">
      <c r="A332" s="14"/>
      <c r="B332" s="7"/>
      <c r="C332" s="7"/>
      <c r="D332" s="7"/>
      <c r="E332" s="7"/>
      <c r="F332" s="7"/>
      <c r="G332" s="9"/>
      <c r="H332" s="9"/>
      <c r="I332" s="9"/>
      <c r="J332" s="7"/>
      <c r="K332" s="7"/>
    </row>
    <row r="333" customFormat="false" ht="15" hidden="false" customHeight="true" outlineLevel="0" collapsed="false">
      <c r="A333" s="14"/>
      <c r="B333" s="7"/>
      <c r="C333" s="7"/>
      <c r="D333" s="7"/>
      <c r="E333" s="7"/>
      <c r="F333" s="7"/>
      <c r="G333" s="9"/>
      <c r="H333" s="9"/>
      <c r="I333" s="9"/>
      <c r="J333" s="7"/>
      <c r="K333" s="7"/>
    </row>
    <row r="334" customFormat="false" ht="15" hidden="false" customHeight="true" outlineLevel="0" collapsed="false">
      <c r="A334" s="14"/>
      <c r="B334" s="7"/>
      <c r="C334" s="7"/>
      <c r="D334" s="7"/>
      <c r="E334" s="7"/>
      <c r="F334" s="7"/>
      <c r="G334" s="9"/>
      <c r="H334" s="9"/>
      <c r="I334" s="9"/>
      <c r="J334" s="7"/>
      <c r="K334" s="7"/>
    </row>
    <row r="335" customFormat="false" ht="15" hidden="false" customHeight="true" outlineLevel="0" collapsed="false">
      <c r="A335" s="14"/>
      <c r="B335" s="7"/>
      <c r="C335" s="7"/>
      <c r="D335" s="7"/>
      <c r="E335" s="7"/>
      <c r="F335" s="7"/>
      <c r="G335" s="9"/>
      <c r="H335" s="9"/>
      <c r="I335" s="9"/>
      <c r="J335" s="7"/>
      <c r="K335" s="7"/>
    </row>
    <row r="336" customFormat="false" ht="15" hidden="false" customHeight="true" outlineLevel="0" collapsed="false">
      <c r="A336" s="14"/>
      <c r="B336" s="7"/>
      <c r="C336" s="7"/>
      <c r="D336" s="7"/>
      <c r="E336" s="7"/>
      <c r="F336" s="7"/>
      <c r="G336" s="9"/>
      <c r="H336" s="9"/>
      <c r="I336" s="9"/>
      <c r="J336" s="7"/>
      <c r="K336" s="7"/>
    </row>
    <row r="337" customFormat="false" ht="15" hidden="false" customHeight="true" outlineLevel="0" collapsed="false">
      <c r="A337" s="14"/>
      <c r="B337" s="7"/>
      <c r="C337" s="7"/>
      <c r="D337" s="7"/>
      <c r="E337" s="7"/>
      <c r="F337" s="7"/>
      <c r="G337" s="9"/>
      <c r="H337" s="9"/>
      <c r="I337" s="9"/>
      <c r="J337" s="7"/>
      <c r="K337" s="7"/>
    </row>
    <row r="338" customFormat="false" ht="15" hidden="false" customHeight="true" outlineLevel="0" collapsed="false">
      <c r="A338" s="14"/>
      <c r="B338" s="7"/>
      <c r="C338" s="7"/>
      <c r="D338" s="7"/>
      <c r="E338" s="7"/>
      <c r="F338" s="7"/>
      <c r="G338" s="9"/>
      <c r="H338" s="9"/>
      <c r="I338" s="9"/>
      <c r="J338" s="7"/>
      <c r="K338" s="7"/>
    </row>
    <row r="339" customFormat="false" ht="15" hidden="false" customHeight="true" outlineLevel="0" collapsed="false">
      <c r="A339" s="14"/>
      <c r="B339" s="7"/>
      <c r="C339" s="7"/>
      <c r="D339" s="7"/>
      <c r="E339" s="7"/>
      <c r="F339" s="7"/>
      <c r="G339" s="9"/>
      <c r="H339" s="9"/>
      <c r="I339" s="9"/>
      <c r="J339" s="7"/>
      <c r="K339" s="7"/>
    </row>
    <row r="340" customFormat="false" ht="15" hidden="false" customHeight="true" outlineLevel="0" collapsed="false">
      <c r="A340" s="14"/>
      <c r="B340" s="7"/>
      <c r="C340" s="7"/>
      <c r="D340" s="7"/>
      <c r="E340" s="7"/>
      <c r="F340" s="7"/>
      <c r="G340" s="9"/>
      <c r="H340" s="9"/>
      <c r="I340" s="9"/>
      <c r="J340" s="7"/>
      <c r="K340" s="7"/>
    </row>
    <row r="341" customFormat="false" ht="15" hidden="false" customHeight="true" outlineLevel="0" collapsed="false">
      <c r="A341" s="14"/>
      <c r="B341" s="7"/>
      <c r="C341" s="7"/>
      <c r="D341" s="7"/>
      <c r="E341" s="7"/>
      <c r="F341" s="7"/>
      <c r="G341" s="9"/>
      <c r="H341" s="9"/>
      <c r="I341" s="9"/>
      <c r="J341" s="7"/>
      <c r="K341" s="7"/>
    </row>
    <row r="342" customFormat="false" ht="15" hidden="false" customHeight="true" outlineLevel="0" collapsed="false">
      <c r="A342" s="14"/>
      <c r="B342" s="7"/>
      <c r="C342" s="7"/>
      <c r="D342" s="7"/>
      <c r="E342" s="7"/>
      <c r="F342" s="7"/>
      <c r="G342" s="9"/>
      <c r="H342" s="9"/>
      <c r="I342" s="9"/>
      <c r="J342" s="7"/>
      <c r="K342" s="7"/>
    </row>
    <row r="343" customFormat="false" ht="15" hidden="false" customHeight="true" outlineLevel="0" collapsed="false">
      <c r="A343" s="14"/>
      <c r="B343" s="7"/>
      <c r="C343" s="7"/>
      <c r="D343" s="7"/>
      <c r="E343" s="7"/>
      <c r="F343" s="7"/>
      <c r="G343" s="9"/>
      <c r="H343" s="9"/>
      <c r="I343" s="9"/>
      <c r="J343" s="7"/>
      <c r="K343" s="7"/>
    </row>
    <row r="344" customFormat="false" ht="15" hidden="false" customHeight="true" outlineLevel="0" collapsed="false">
      <c r="A344" s="14"/>
      <c r="B344" s="7"/>
      <c r="C344" s="7"/>
      <c r="D344" s="7"/>
      <c r="E344" s="7"/>
      <c r="F344" s="7"/>
      <c r="G344" s="9"/>
      <c r="H344" s="9"/>
      <c r="I344" s="9"/>
      <c r="J344" s="7"/>
      <c r="K344" s="7"/>
    </row>
    <row r="345" customFormat="false" ht="15" hidden="false" customHeight="true" outlineLevel="0" collapsed="false">
      <c r="A345" s="14"/>
      <c r="B345" s="7"/>
      <c r="C345" s="7"/>
      <c r="D345" s="7"/>
      <c r="E345" s="7"/>
      <c r="F345" s="7"/>
      <c r="G345" s="9"/>
      <c r="H345" s="9"/>
      <c r="I345" s="9"/>
      <c r="J345" s="7"/>
      <c r="K345" s="7"/>
    </row>
    <row r="346" customFormat="false" ht="15" hidden="false" customHeight="true" outlineLevel="0" collapsed="false">
      <c r="A346" s="14"/>
      <c r="B346" s="7"/>
      <c r="C346" s="7"/>
      <c r="D346" s="7"/>
      <c r="E346" s="7"/>
      <c r="F346" s="7"/>
      <c r="G346" s="9"/>
      <c r="H346" s="9"/>
      <c r="I346" s="9"/>
      <c r="J346" s="7"/>
      <c r="K346" s="7"/>
    </row>
    <row r="347" customFormat="false" ht="15" hidden="false" customHeight="true" outlineLevel="0" collapsed="false">
      <c r="A347" s="14"/>
      <c r="B347" s="7"/>
      <c r="C347" s="7"/>
      <c r="D347" s="7"/>
      <c r="E347" s="7"/>
      <c r="F347" s="7"/>
      <c r="G347" s="9"/>
      <c r="H347" s="9"/>
      <c r="I347" s="9"/>
      <c r="J347" s="7"/>
      <c r="K347" s="7"/>
    </row>
    <row r="348" customFormat="false" ht="15" hidden="false" customHeight="true" outlineLevel="0" collapsed="false">
      <c r="A348" s="14"/>
      <c r="B348" s="7"/>
      <c r="C348" s="7"/>
      <c r="D348" s="7"/>
      <c r="E348" s="7"/>
      <c r="F348" s="7"/>
      <c r="G348" s="9"/>
      <c r="H348" s="9"/>
      <c r="I348" s="9"/>
      <c r="J348" s="7"/>
      <c r="K348" s="7"/>
    </row>
    <row r="349" customFormat="false" ht="15" hidden="false" customHeight="true" outlineLevel="0" collapsed="false">
      <c r="A349" s="14"/>
      <c r="B349" s="7"/>
      <c r="C349" s="7"/>
      <c r="D349" s="7"/>
      <c r="E349" s="7"/>
      <c r="F349" s="7"/>
      <c r="G349" s="9"/>
      <c r="H349" s="9"/>
      <c r="I349" s="9"/>
      <c r="J349" s="7"/>
      <c r="K349" s="7"/>
    </row>
    <row r="350" customFormat="false" ht="15" hidden="false" customHeight="true" outlineLevel="0" collapsed="false">
      <c r="A350" s="14"/>
      <c r="B350" s="7"/>
      <c r="C350" s="7"/>
      <c r="D350" s="7"/>
      <c r="E350" s="7"/>
      <c r="F350" s="7"/>
      <c r="G350" s="9"/>
      <c r="H350" s="9"/>
      <c r="I350" s="9"/>
      <c r="J350" s="7"/>
      <c r="K350" s="7"/>
    </row>
    <row r="351" customFormat="false" ht="15" hidden="false" customHeight="true" outlineLevel="0" collapsed="false">
      <c r="A351" s="14"/>
      <c r="B351" s="7"/>
      <c r="C351" s="7"/>
      <c r="D351" s="7"/>
      <c r="E351" s="7"/>
      <c r="F351" s="7"/>
      <c r="G351" s="9"/>
      <c r="H351" s="9"/>
      <c r="I351" s="9"/>
      <c r="J351" s="7"/>
      <c r="K351" s="7"/>
    </row>
    <row r="352" customFormat="false" ht="15" hidden="false" customHeight="true" outlineLevel="0" collapsed="false">
      <c r="A352" s="14"/>
      <c r="B352" s="7"/>
      <c r="C352" s="7"/>
      <c r="D352" s="7"/>
      <c r="E352" s="7"/>
      <c r="F352" s="7"/>
      <c r="G352" s="9"/>
      <c r="H352" s="9"/>
      <c r="I352" s="9"/>
      <c r="J352" s="7"/>
      <c r="K352" s="7"/>
    </row>
    <row r="353" customFormat="false" ht="15" hidden="false" customHeight="true" outlineLevel="0" collapsed="false">
      <c r="A353" s="14"/>
      <c r="B353" s="7"/>
      <c r="C353" s="7"/>
      <c r="D353" s="7"/>
      <c r="E353" s="7"/>
      <c r="F353" s="7"/>
      <c r="G353" s="9"/>
      <c r="H353" s="9"/>
      <c r="I353" s="9"/>
      <c r="J353" s="7"/>
      <c r="K353" s="7"/>
    </row>
    <row r="354" customFormat="false" ht="15" hidden="false" customHeight="true" outlineLevel="0" collapsed="false">
      <c r="A354" s="14"/>
      <c r="B354" s="7"/>
      <c r="C354" s="7"/>
      <c r="D354" s="7"/>
      <c r="E354" s="7"/>
      <c r="F354" s="7"/>
      <c r="G354" s="9"/>
      <c r="H354" s="9"/>
      <c r="I354" s="9"/>
      <c r="J354" s="7"/>
      <c r="K354" s="7"/>
    </row>
    <row r="355" customFormat="false" ht="15" hidden="false" customHeight="true" outlineLevel="0" collapsed="false">
      <c r="A355" s="14"/>
      <c r="B355" s="7"/>
      <c r="C355" s="7"/>
      <c r="D355" s="7"/>
      <c r="E355" s="7"/>
      <c r="F355" s="7"/>
      <c r="G355" s="9"/>
      <c r="H355" s="9"/>
      <c r="I355" s="9"/>
      <c r="J355" s="7"/>
      <c r="K355" s="7"/>
    </row>
    <row r="356" customFormat="false" ht="15" hidden="false" customHeight="true" outlineLevel="0" collapsed="false">
      <c r="A356" s="14"/>
      <c r="B356" s="7"/>
      <c r="C356" s="7"/>
      <c r="D356" s="7"/>
      <c r="E356" s="7"/>
      <c r="F356" s="7"/>
      <c r="G356" s="9"/>
      <c r="H356" s="9"/>
      <c r="I356" s="9"/>
      <c r="J356" s="7"/>
      <c r="K356" s="7"/>
    </row>
    <row r="357" customFormat="false" ht="15" hidden="false" customHeight="true" outlineLevel="0" collapsed="false">
      <c r="A357" s="14"/>
      <c r="B357" s="7"/>
      <c r="C357" s="7"/>
      <c r="D357" s="7"/>
      <c r="E357" s="7"/>
      <c r="F357" s="7"/>
      <c r="G357" s="9"/>
      <c r="H357" s="9"/>
      <c r="I357" s="9"/>
      <c r="J357" s="7"/>
      <c r="K357" s="7"/>
    </row>
    <row r="358" customFormat="false" ht="15" hidden="false" customHeight="true" outlineLevel="0" collapsed="false">
      <c r="A358" s="14"/>
      <c r="B358" s="7"/>
      <c r="C358" s="7"/>
      <c r="D358" s="7"/>
      <c r="E358" s="7"/>
      <c r="F358" s="7"/>
      <c r="G358" s="9"/>
      <c r="H358" s="9"/>
      <c r="I358" s="9"/>
      <c r="J358" s="7"/>
      <c r="K358" s="7"/>
    </row>
    <row r="359" customFormat="false" ht="15" hidden="false" customHeight="true" outlineLevel="0" collapsed="false">
      <c r="A359" s="14"/>
      <c r="B359" s="7"/>
      <c r="C359" s="7"/>
      <c r="D359" s="7"/>
      <c r="E359" s="7"/>
      <c r="F359" s="7"/>
      <c r="G359" s="9"/>
      <c r="H359" s="9"/>
      <c r="I359" s="9"/>
      <c r="J359" s="7"/>
      <c r="K359" s="7"/>
    </row>
    <row r="360" customFormat="false" ht="15" hidden="false" customHeight="true" outlineLevel="0" collapsed="false">
      <c r="A360" s="14"/>
      <c r="B360" s="7"/>
      <c r="C360" s="7"/>
      <c r="D360" s="7"/>
      <c r="E360" s="7"/>
      <c r="F360" s="7"/>
      <c r="G360" s="9"/>
      <c r="H360" s="9"/>
      <c r="I360" s="9"/>
      <c r="J360" s="7"/>
      <c r="K360" s="7"/>
    </row>
    <row r="361" customFormat="false" ht="15" hidden="false" customHeight="true" outlineLevel="0" collapsed="false">
      <c r="A361" s="14"/>
      <c r="B361" s="7"/>
      <c r="C361" s="7"/>
      <c r="D361" s="7"/>
      <c r="E361" s="7"/>
      <c r="F361" s="7"/>
      <c r="G361" s="9"/>
      <c r="H361" s="9"/>
      <c r="I361" s="9"/>
      <c r="J361" s="7"/>
      <c r="K361" s="7"/>
    </row>
    <row r="362" customFormat="false" ht="15" hidden="false" customHeight="true" outlineLevel="0" collapsed="false">
      <c r="A362" s="14"/>
      <c r="B362" s="7"/>
      <c r="C362" s="7"/>
      <c r="D362" s="7"/>
      <c r="E362" s="7"/>
      <c r="F362" s="7"/>
      <c r="G362" s="9"/>
      <c r="H362" s="9"/>
      <c r="I362" s="9"/>
      <c r="J362" s="7"/>
      <c r="K362" s="7"/>
    </row>
    <row r="363" customFormat="false" ht="15" hidden="false" customHeight="true" outlineLevel="0" collapsed="false">
      <c r="A363" s="14"/>
      <c r="B363" s="7"/>
      <c r="C363" s="7"/>
      <c r="D363" s="7"/>
      <c r="E363" s="7"/>
      <c r="F363" s="7"/>
      <c r="G363" s="9"/>
      <c r="H363" s="9"/>
      <c r="I363" s="9"/>
      <c r="J363" s="7"/>
      <c r="K363" s="7"/>
    </row>
    <row r="364" customFormat="false" ht="15" hidden="false" customHeight="true" outlineLevel="0" collapsed="false">
      <c r="A364" s="14"/>
      <c r="B364" s="7"/>
      <c r="C364" s="7"/>
      <c r="D364" s="7"/>
      <c r="E364" s="7"/>
      <c r="F364" s="7"/>
      <c r="G364" s="9"/>
      <c r="H364" s="9"/>
      <c r="I364" s="9"/>
      <c r="J364" s="7"/>
      <c r="K364" s="7"/>
    </row>
    <row r="365" customFormat="false" ht="15" hidden="false" customHeight="true" outlineLevel="0" collapsed="false">
      <c r="A365" s="14"/>
      <c r="B365" s="7"/>
      <c r="C365" s="7"/>
      <c r="D365" s="7"/>
      <c r="E365" s="7"/>
      <c r="F365" s="7"/>
      <c r="G365" s="9"/>
      <c r="H365" s="9"/>
      <c r="I365" s="9"/>
      <c r="J365" s="7"/>
      <c r="K365" s="7"/>
    </row>
    <row r="366" customFormat="false" ht="15" hidden="false" customHeight="true" outlineLevel="0" collapsed="false">
      <c r="A366" s="14"/>
      <c r="B366" s="7"/>
      <c r="C366" s="7"/>
      <c r="D366" s="7"/>
      <c r="E366" s="7"/>
      <c r="F366" s="7"/>
      <c r="G366" s="9"/>
      <c r="H366" s="9"/>
      <c r="I366" s="9"/>
      <c r="J366" s="7"/>
      <c r="K366" s="7"/>
    </row>
    <row r="367" customFormat="false" ht="15" hidden="false" customHeight="true" outlineLevel="0" collapsed="false">
      <c r="A367" s="14"/>
      <c r="B367" s="7"/>
      <c r="C367" s="7"/>
      <c r="D367" s="7"/>
      <c r="E367" s="7"/>
      <c r="F367" s="7"/>
      <c r="G367" s="9"/>
      <c r="H367" s="9"/>
      <c r="I367" s="9"/>
      <c r="J367" s="7"/>
      <c r="K367" s="7"/>
    </row>
    <row r="368" customFormat="false" ht="15" hidden="false" customHeight="true" outlineLevel="0" collapsed="false">
      <c r="A368" s="14"/>
      <c r="B368" s="7"/>
      <c r="C368" s="7"/>
      <c r="D368" s="7"/>
      <c r="E368" s="7"/>
      <c r="F368" s="7"/>
      <c r="G368" s="9"/>
      <c r="H368" s="9"/>
      <c r="I368" s="9"/>
      <c r="J368" s="7"/>
      <c r="K368" s="7"/>
    </row>
    <row r="369" customFormat="false" ht="15" hidden="false" customHeight="true" outlineLevel="0" collapsed="false">
      <c r="A369" s="14"/>
      <c r="B369" s="7"/>
      <c r="C369" s="7"/>
      <c r="D369" s="7"/>
      <c r="E369" s="7"/>
      <c r="F369" s="7"/>
      <c r="G369" s="9"/>
      <c r="H369" s="9"/>
      <c r="I369" s="9"/>
      <c r="J369" s="7"/>
      <c r="K369" s="7"/>
    </row>
    <row r="370" customFormat="false" ht="15" hidden="false" customHeight="true" outlineLevel="0" collapsed="false">
      <c r="A370" s="14"/>
      <c r="B370" s="7"/>
      <c r="C370" s="7"/>
      <c r="D370" s="7"/>
      <c r="E370" s="7"/>
      <c r="F370" s="7"/>
      <c r="G370" s="9"/>
      <c r="H370" s="9"/>
      <c r="I370" s="9"/>
      <c r="J370" s="7"/>
      <c r="K370" s="7"/>
    </row>
    <row r="371" customFormat="false" ht="15" hidden="false" customHeight="true" outlineLevel="0" collapsed="false">
      <c r="A371" s="14"/>
      <c r="B371" s="7"/>
      <c r="C371" s="7"/>
      <c r="D371" s="7"/>
      <c r="E371" s="7"/>
      <c r="F371" s="7"/>
      <c r="G371" s="9"/>
      <c r="H371" s="9"/>
      <c r="I371" s="9"/>
      <c r="J371" s="7"/>
      <c r="K371" s="7"/>
    </row>
    <row r="372" customFormat="false" ht="15" hidden="false" customHeight="true" outlineLevel="0" collapsed="false">
      <c r="A372" s="14"/>
      <c r="B372" s="7"/>
      <c r="C372" s="7"/>
      <c r="D372" s="7"/>
      <c r="E372" s="7"/>
      <c r="F372" s="7"/>
      <c r="G372" s="9"/>
      <c r="H372" s="9"/>
      <c r="I372" s="9"/>
      <c r="J372" s="7"/>
      <c r="K372" s="7"/>
    </row>
    <row r="373" customFormat="false" ht="15" hidden="false" customHeight="true" outlineLevel="0" collapsed="false">
      <c r="A373" s="14"/>
      <c r="B373" s="7"/>
      <c r="C373" s="7"/>
      <c r="D373" s="7"/>
      <c r="E373" s="7"/>
      <c r="F373" s="7"/>
      <c r="G373" s="9"/>
      <c r="H373" s="9"/>
      <c r="I373" s="9"/>
      <c r="J373" s="7"/>
      <c r="K373" s="7"/>
    </row>
    <row r="374" customFormat="false" ht="15" hidden="false" customHeight="true" outlineLevel="0" collapsed="false">
      <c r="A374" s="14"/>
      <c r="B374" s="7"/>
      <c r="C374" s="7"/>
      <c r="D374" s="7"/>
      <c r="E374" s="7"/>
      <c r="F374" s="7"/>
      <c r="G374" s="9"/>
      <c r="H374" s="9"/>
      <c r="I374" s="9"/>
      <c r="J374" s="7"/>
      <c r="K374" s="7"/>
    </row>
    <row r="375" customFormat="false" ht="15" hidden="false" customHeight="true" outlineLevel="0" collapsed="false">
      <c r="A375" s="14"/>
      <c r="B375" s="7"/>
      <c r="C375" s="7"/>
      <c r="D375" s="7"/>
      <c r="E375" s="7"/>
      <c r="F375" s="7"/>
      <c r="G375" s="9"/>
      <c r="H375" s="9"/>
      <c r="I375" s="9"/>
      <c r="J375" s="7"/>
      <c r="K375" s="7"/>
    </row>
    <row r="376" customFormat="false" ht="15" hidden="false" customHeight="true" outlineLevel="0" collapsed="false">
      <c r="A376" s="14"/>
      <c r="B376" s="7"/>
      <c r="C376" s="7"/>
      <c r="D376" s="7"/>
      <c r="E376" s="7"/>
      <c r="F376" s="7"/>
      <c r="G376" s="9"/>
      <c r="H376" s="9"/>
      <c r="I376" s="9"/>
      <c r="J376" s="7"/>
      <c r="K376" s="7"/>
    </row>
    <row r="377" customFormat="false" ht="15" hidden="false" customHeight="true" outlineLevel="0" collapsed="false">
      <c r="A377" s="14"/>
      <c r="B377" s="7"/>
      <c r="C377" s="7"/>
      <c r="D377" s="7"/>
      <c r="E377" s="7"/>
      <c r="F377" s="7"/>
      <c r="G377" s="9"/>
      <c r="H377" s="9"/>
      <c r="I377" s="9"/>
      <c r="J377" s="7"/>
      <c r="K377" s="7"/>
    </row>
    <row r="378" customFormat="false" ht="15" hidden="false" customHeight="true" outlineLevel="0" collapsed="false">
      <c r="A378" s="14"/>
      <c r="B378" s="7"/>
      <c r="C378" s="7"/>
      <c r="D378" s="7"/>
      <c r="E378" s="7"/>
      <c r="F378" s="7"/>
      <c r="G378" s="9"/>
      <c r="H378" s="9"/>
      <c r="I378" s="9"/>
      <c r="J378" s="7"/>
      <c r="K378" s="7"/>
    </row>
    <row r="379" customFormat="false" ht="15" hidden="false" customHeight="true" outlineLevel="0" collapsed="false">
      <c r="A379" s="14"/>
      <c r="B379" s="7"/>
      <c r="C379" s="7"/>
      <c r="D379" s="7"/>
      <c r="E379" s="7"/>
      <c r="F379" s="7"/>
      <c r="G379" s="9"/>
      <c r="H379" s="9"/>
      <c r="I379" s="9"/>
      <c r="J379" s="7"/>
      <c r="K379" s="7"/>
    </row>
    <row r="380" customFormat="false" ht="15" hidden="false" customHeight="true" outlineLevel="0" collapsed="false">
      <c r="A380" s="14"/>
      <c r="B380" s="7"/>
      <c r="C380" s="7"/>
      <c r="D380" s="7"/>
      <c r="E380" s="7"/>
      <c r="F380" s="7"/>
      <c r="G380" s="9"/>
      <c r="H380" s="9"/>
      <c r="I380" s="9"/>
      <c r="J380" s="7"/>
      <c r="K380" s="7"/>
    </row>
    <row r="381" customFormat="false" ht="15" hidden="false" customHeight="true" outlineLevel="0" collapsed="false">
      <c r="A381" s="14"/>
      <c r="B381" s="7"/>
      <c r="C381" s="7"/>
      <c r="D381" s="7"/>
      <c r="E381" s="7"/>
      <c r="F381" s="7"/>
      <c r="G381" s="9"/>
      <c r="H381" s="9"/>
      <c r="I381" s="9"/>
      <c r="J381" s="7"/>
      <c r="K381" s="7"/>
    </row>
    <row r="382" customFormat="false" ht="15" hidden="false" customHeight="true" outlineLevel="0" collapsed="false">
      <c r="A382" s="14"/>
      <c r="B382" s="7"/>
      <c r="C382" s="7"/>
      <c r="D382" s="7"/>
      <c r="E382" s="7"/>
      <c r="F382" s="7"/>
      <c r="G382" s="9"/>
      <c r="H382" s="9"/>
      <c r="I382" s="9"/>
      <c r="J382" s="7"/>
      <c r="K382" s="7"/>
    </row>
    <row r="383" customFormat="false" ht="15" hidden="false" customHeight="true" outlineLevel="0" collapsed="false">
      <c r="A383" s="14"/>
      <c r="B383" s="7"/>
      <c r="C383" s="7"/>
      <c r="D383" s="7"/>
      <c r="E383" s="7"/>
      <c r="F383" s="7"/>
      <c r="G383" s="9"/>
      <c r="H383" s="9"/>
      <c r="I383" s="9"/>
      <c r="J383" s="7"/>
      <c r="K383" s="7"/>
    </row>
    <row r="384" customFormat="false" ht="15" hidden="false" customHeight="true" outlineLevel="0" collapsed="false">
      <c r="A384" s="14"/>
      <c r="B384" s="7"/>
      <c r="C384" s="7"/>
      <c r="D384" s="7"/>
      <c r="E384" s="7"/>
      <c r="F384" s="7"/>
      <c r="G384" s="9"/>
      <c r="H384" s="9"/>
      <c r="I384" s="9"/>
      <c r="J384" s="7"/>
      <c r="K384" s="7"/>
    </row>
    <row r="385" customFormat="false" ht="15" hidden="false" customHeight="true" outlineLevel="0" collapsed="false">
      <c r="A385" s="14"/>
      <c r="B385" s="7"/>
      <c r="C385" s="7"/>
      <c r="D385" s="7"/>
      <c r="E385" s="7"/>
      <c r="F385" s="7"/>
      <c r="G385" s="9"/>
      <c r="H385" s="9"/>
      <c r="I385" s="9"/>
      <c r="J385" s="7"/>
      <c r="K385" s="7"/>
    </row>
    <row r="386" customFormat="false" ht="15" hidden="false" customHeight="true" outlineLevel="0" collapsed="false">
      <c r="A386" s="14"/>
      <c r="B386" s="7"/>
      <c r="C386" s="7"/>
      <c r="D386" s="7"/>
      <c r="E386" s="7"/>
      <c r="F386" s="7"/>
      <c r="G386" s="9"/>
      <c r="H386" s="9"/>
      <c r="I386" s="9"/>
      <c r="J386" s="7"/>
      <c r="K386" s="7"/>
    </row>
    <row r="387" customFormat="false" ht="15" hidden="false" customHeight="true" outlineLevel="0" collapsed="false">
      <c r="A387" s="14"/>
      <c r="B387" s="7"/>
      <c r="C387" s="7"/>
      <c r="D387" s="7"/>
      <c r="E387" s="7"/>
      <c r="F387" s="7"/>
      <c r="G387" s="9"/>
      <c r="H387" s="9"/>
      <c r="I387" s="9"/>
      <c r="J387" s="7"/>
      <c r="K387" s="7"/>
    </row>
    <row r="388" customFormat="false" ht="15" hidden="false" customHeight="true" outlineLevel="0" collapsed="false">
      <c r="A388" s="14"/>
      <c r="B388" s="7"/>
      <c r="C388" s="7"/>
      <c r="D388" s="7"/>
      <c r="E388" s="7"/>
      <c r="F388" s="7"/>
      <c r="G388" s="9"/>
      <c r="H388" s="9"/>
      <c r="I388" s="9"/>
      <c r="J388" s="7"/>
      <c r="K388" s="7"/>
    </row>
    <row r="389" customFormat="false" ht="15" hidden="false" customHeight="true" outlineLevel="0" collapsed="false">
      <c r="A389" s="14"/>
      <c r="B389" s="7"/>
      <c r="C389" s="7"/>
      <c r="D389" s="7"/>
      <c r="E389" s="7"/>
      <c r="F389" s="7"/>
      <c r="G389" s="9"/>
      <c r="H389" s="9"/>
      <c r="I389" s="9"/>
      <c r="J389" s="7"/>
      <c r="K389" s="7"/>
    </row>
    <row r="390" customFormat="false" ht="15" hidden="false" customHeight="true" outlineLevel="0" collapsed="false">
      <c r="A390" s="14"/>
      <c r="B390" s="7"/>
      <c r="C390" s="7"/>
      <c r="D390" s="7"/>
      <c r="E390" s="7"/>
      <c r="F390" s="7"/>
      <c r="G390" s="9"/>
      <c r="H390" s="9"/>
      <c r="I390" s="9"/>
      <c r="J390" s="7"/>
      <c r="K390" s="7"/>
    </row>
    <row r="391" customFormat="false" ht="15" hidden="false" customHeight="true" outlineLevel="0" collapsed="false">
      <c r="A391" s="14"/>
      <c r="B391" s="7"/>
      <c r="C391" s="7"/>
      <c r="D391" s="7"/>
      <c r="E391" s="7"/>
      <c r="F391" s="7"/>
      <c r="G391" s="9"/>
      <c r="H391" s="9"/>
      <c r="I391" s="9"/>
      <c r="J391" s="7"/>
      <c r="K391" s="7"/>
    </row>
    <row r="392" customFormat="false" ht="15" hidden="false" customHeight="true" outlineLevel="0" collapsed="false">
      <c r="A392" s="14"/>
      <c r="B392" s="7"/>
      <c r="C392" s="7"/>
      <c r="D392" s="7"/>
      <c r="E392" s="7"/>
      <c r="F392" s="7"/>
      <c r="G392" s="9"/>
      <c r="H392" s="9"/>
      <c r="I392" s="9"/>
      <c r="J392" s="7"/>
      <c r="K392" s="7"/>
    </row>
    <row r="393" customFormat="false" ht="15" hidden="false" customHeight="true" outlineLevel="0" collapsed="false">
      <c r="A393" s="14"/>
      <c r="B393" s="7"/>
      <c r="C393" s="7"/>
      <c r="D393" s="7"/>
      <c r="E393" s="7"/>
      <c r="F393" s="7"/>
      <c r="G393" s="9"/>
      <c r="H393" s="9"/>
      <c r="I393" s="9"/>
      <c r="J393" s="7"/>
      <c r="K393" s="7"/>
    </row>
    <row r="394" customFormat="false" ht="15" hidden="false" customHeight="true" outlineLevel="0" collapsed="false">
      <c r="A394" s="14"/>
      <c r="B394" s="7"/>
      <c r="C394" s="7"/>
      <c r="D394" s="7"/>
      <c r="E394" s="7"/>
      <c r="F394" s="7"/>
      <c r="G394" s="9"/>
      <c r="H394" s="9"/>
      <c r="I394" s="9"/>
      <c r="J394" s="7"/>
      <c r="K394" s="7"/>
    </row>
    <row r="395" customFormat="false" ht="15" hidden="false" customHeight="true" outlineLevel="0" collapsed="false">
      <c r="A395" s="14"/>
      <c r="B395" s="7"/>
      <c r="C395" s="7"/>
      <c r="D395" s="7"/>
      <c r="E395" s="7"/>
      <c r="F395" s="7"/>
      <c r="G395" s="9"/>
      <c r="H395" s="9"/>
      <c r="I395" s="9"/>
      <c r="J395" s="7"/>
      <c r="K395" s="7"/>
    </row>
    <row r="396" customFormat="false" ht="15" hidden="false" customHeight="true" outlineLevel="0" collapsed="false">
      <c r="A396" s="14"/>
      <c r="B396" s="7"/>
      <c r="C396" s="7"/>
      <c r="D396" s="7"/>
      <c r="E396" s="7"/>
      <c r="F396" s="7"/>
      <c r="G396" s="9"/>
      <c r="H396" s="9"/>
      <c r="I396" s="9"/>
      <c r="J396" s="7"/>
      <c r="K396" s="7"/>
    </row>
    <row r="397" customFormat="false" ht="15" hidden="false" customHeight="true" outlineLevel="0" collapsed="false">
      <c r="A397" s="14"/>
      <c r="B397" s="7"/>
      <c r="C397" s="7"/>
      <c r="D397" s="7"/>
      <c r="E397" s="7"/>
      <c r="F397" s="7"/>
      <c r="G397" s="9"/>
      <c r="H397" s="9"/>
      <c r="I397" s="9"/>
      <c r="J397" s="7"/>
      <c r="K397" s="7"/>
    </row>
    <row r="398" customFormat="false" ht="15" hidden="false" customHeight="true" outlineLevel="0" collapsed="false">
      <c r="A398" s="14"/>
      <c r="B398" s="7"/>
      <c r="C398" s="7"/>
      <c r="D398" s="7"/>
      <c r="E398" s="7"/>
      <c r="F398" s="7"/>
      <c r="G398" s="9"/>
      <c r="H398" s="9"/>
      <c r="I398" s="9"/>
      <c r="J398" s="7"/>
      <c r="K398" s="7"/>
    </row>
    <row r="399" customFormat="false" ht="15" hidden="false" customHeight="true" outlineLevel="0" collapsed="false">
      <c r="A399" s="14"/>
      <c r="B399" s="7"/>
      <c r="C399" s="7"/>
      <c r="D399" s="7"/>
      <c r="E399" s="7"/>
      <c r="F399" s="7"/>
      <c r="G399" s="9"/>
      <c r="H399" s="9"/>
      <c r="I399" s="9"/>
      <c r="J399" s="7"/>
      <c r="K399" s="7"/>
    </row>
    <row r="400" customFormat="false" ht="15" hidden="false" customHeight="true" outlineLevel="0" collapsed="false">
      <c r="A400" s="14"/>
      <c r="B400" s="7"/>
      <c r="C400" s="7"/>
      <c r="D400" s="7"/>
      <c r="E400" s="7"/>
      <c r="F400" s="7"/>
      <c r="G400" s="9"/>
      <c r="H400" s="9"/>
      <c r="I400" s="9"/>
      <c r="J400" s="7"/>
      <c r="K400" s="7"/>
    </row>
    <row r="401" customFormat="false" ht="15" hidden="false" customHeight="true" outlineLevel="0" collapsed="false">
      <c r="A401" s="14"/>
      <c r="B401" s="7"/>
      <c r="C401" s="7"/>
      <c r="D401" s="7"/>
      <c r="E401" s="7"/>
      <c r="F401" s="7"/>
      <c r="G401" s="9"/>
      <c r="H401" s="9"/>
      <c r="I401" s="9"/>
      <c r="J401" s="7"/>
      <c r="K401" s="7"/>
    </row>
    <row r="402" customFormat="false" ht="15" hidden="false" customHeight="true" outlineLevel="0" collapsed="false">
      <c r="A402" s="14"/>
      <c r="B402" s="7"/>
      <c r="C402" s="7"/>
      <c r="D402" s="7"/>
      <c r="E402" s="7"/>
      <c r="F402" s="7"/>
      <c r="G402" s="9"/>
      <c r="H402" s="9"/>
      <c r="I402" s="9"/>
      <c r="J402" s="7"/>
      <c r="K402" s="7"/>
    </row>
    <row r="403" customFormat="false" ht="15" hidden="false" customHeight="true" outlineLevel="0" collapsed="false">
      <c r="A403" s="14"/>
      <c r="B403" s="7"/>
      <c r="C403" s="7"/>
      <c r="D403" s="7"/>
      <c r="E403" s="7"/>
      <c r="F403" s="7"/>
      <c r="G403" s="9"/>
      <c r="H403" s="9"/>
      <c r="I403" s="9"/>
      <c r="J403" s="7"/>
      <c r="K403" s="7"/>
    </row>
    <row r="404" customFormat="false" ht="15" hidden="false" customHeight="true" outlineLevel="0" collapsed="false">
      <c r="A404" s="14"/>
      <c r="B404" s="7"/>
      <c r="C404" s="7"/>
      <c r="D404" s="7"/>
      <c r="E404" s="7"/>
      <c r="F404" s="7"/>
      <c r="G404" s="9"/>
      <c r="H404" s="9"/>
      <c r="I404" s="9"/>
      <c r="J404" s="7"/>
      <c r="K404" s="7"/>
    </row>
    <row r="405" customFormat="false" ht="15" hidden="false" customHeight="true" outlineLevel="0" collapsed="false">
      <c r="A405" s="14"/>
      <c r="B405" s="7"/>
      <c r="C405" s="7"/>
      <c r="D405" s="7"/>
      <c r="E405" s="7"/>
      <c r="F405" s="7"/>
      <c r="G405" s="9"/>
      <c r="H405" s="9"/>
      <c r="I405" s="9"/>
      <c r="J405" s="7"/>
      <c r="K405" s="7"/>
    </row>
    <row r="406" customFormat="false" ht="15" hidden="false" customHeight="true" outlineLevel="0" collapsed="false">
      <c r="A406" s="14"/>
      <c r="B406" s="7"/>
      <c r="C406" s="7"/>
      <c r="D406" s="7"/>
      <c r="E406" s="7"/>
      <c r="F406" s="7"/>
      <c r="G406" s="9"/>
      <c r="H406" s="9"/>
      <c r="I406" s="9"/>
      <c r="J406" s="7"/>
      <c r="K406" s="7"/>
    </row>
    <row r="407" customFormat="false" ht="15" hidden="false" customHeight="true" outlineLevel="0" collapsed="false">
      <c r="A407" s="14"/>
      <c r="B407" s="7"/>
      <c r="C407" s="7"/>
      <c r="D407" s="7"/>
      <c r="E407" s="7"/>
      <c r="F407" s="7"/>
      <c r="G407" s="9"/>
      <c r="H407" s="9"/>
      <c r="I407" s="9"/>
      <c r="J407" s="7"/>
      <c r="K407" s="7"/>
    </row>
    <row r="408" customFormat="false" ht="15" hidden="false" customHeight="true" outlineLevel="0" collapsed="false">
      <c r="A408" s="14"/>
      <c r="B408" s="7"/>
      <c r="C408" s="7"/>
      <c r="D408" s="7"/>
      <c r="E408" s="7"/>
      <c r="F408" s="7"/>
      <c r="G408" s="9"/>
      <c r="H408" s="9"/>
      <c r="I408" s="9"/>
      <c r="J408" s="7"/>
      <c r="K408" s="7"/>
    </row>
    <row r="409" customFormat="false" ht="15" hidden="false" customHeight="true" outlineLevel="0" collapsed="false">
      <c r="A409" s="14"/>
      <c r="B409" s="7"/>
      <c r="C409" s="7"/>
      <c r="D409" s="7"/>
      <c r="E409" s="7"/>
      <c r="F409" s="7"/>
      <c r="G409" s="9"/>
      <c r="H409" s="9"/>
      <c r="I409" s="9"/>
      <c r="J409" s="7"/>
      <c r="K409" s="7"/>
    </row>
    <row r="410" customFormat="false" ht="15" hidden="false" customHeight="true" outlineLevel="0" collapsed="false">
      <c r="A410" s="14"/>
      <c r="B410" s="7"/>
      <c r="C410" s="7"/>
      <c r="D410" s="7"/>
      <c r="E410" s="7"/>
      <c r="F410" s="7"/>
      <c r="G410" s="9"/>
      <c r="H410" s="9"/>
      <c r="I410" s="9"/>
      <c r="J410" s="7"/>
      <c r="K410" s="7"/>
    </row>
    <row r="411" customFormat="false" ht="15" hidden="false" customHeight="true" outlineLevel="0" collapsed="false">
      <c r="A411" s="14"/>
      <c r="B411" s="7"/>
      <c r="C411" s="7"/>
      <c r="D411" s="7"/>
      <c r="E411" s="7"/>
      <c r="F411" s="7"/>
      <c r="G411" s="9"/>
      <c r="H411" s="9"/>
      <c r="I411" s="9"/>
      <c r="J411" s="7"/>
      <c r="K411" s="7"/>
    </row>
    <row r="412" customFormat="false" ht="15" hidden="false" customHeight="true" outlineLevel="0" collapsed="false">
      <c r="A412" s="14"/>
      <c r="B412" s="7"/>
      <c r="C412" s="7"/>
      <c r="D412" s="7"/>
      <c r="E412" s="7"/>
      <c r="F412" s="7"/>
      <c r="G412" s="9"/>
      <c r="H412" s="9"/>
      <c r="I412" s="9"/>
      <c r="J412" s="7"/>
      <c r="K412" s="7"/>
    </row>
    <row r="413" customFormat="false" ht="15" hidden="false" customHeight="true" outlineLevel="0" collapsed="false">
      <c r="A413" s="14"/>
      <c r="B413" s="7"/>
      <c r="C413" s="7"/>
      <c r="D413" s="7"/>
      <c r="E413" s="7"/>
      <c r="F413" s="7"/>
      <c r="G413" s="9"/>
      <c r="H413" s="9"/>
      <c r="I413" s="9"/>
      <c r="J413" s="7"/>
      <c r="K413" s="7"/>
    </row>
    <row r="414" customFormat="false" ht="15" hidden="false" customHeight="true" outlineLevel="0" collapsed="false">
      <c r="A414" s="14"/>
      <c r="B414" s="7"/>
      <c r="C414" s="7"/>
      <c r="D414" s="7"/>
      <c r="E414" s="7"/>
      <c r="F414" s="7"/>
      <c r="G414" s="9"/>
      <c r="H414" s="9"/>
      <c r="I414" s="9"/>
      <c r="J414" s="7"/>
      <c r="K414" s="7"/>
    </row>
    <row r="415" customFormat="false" ht="15" hidden="false" customHeight="true" outlineLevel="0" collapsed="false">
      <c r="A415" s="14"/>
      <c r="B415" s="7"/>
      <c r="C415" s="7"/>
      <c r="D415" s="7"/>
      <c r="E415" s="7"/>
      <c r="F415" s="7"/>
      <c r="G415" s="9"/>
      <c r="H415" s="9"/>
      <c r="I415" s="9"/>
      <c r="J415" s="7"/>
      <c r="K415" s="7"/>
    </row>
    <row r="416" customFormat="false" ht="15" hidden="false" customHeight="true" outlineLevel="0" collapsed="false">
      <c r="A416" s="14"/>
      <c r="B416" s="7"/>
      <c r="C416" s="7"/>
      <c r="D416" s="7"/>
      <c r="E416" s="7"/>
      <c r="F416" s="7"/>
      <c r="G416" s="9"/>
      <c r="H416" s="9"/>
      <c r="I416" s="9"/>
      <c r="J416" s="7"/>
      <c r="K416" s="7"/>
    </row>
    <row r="417" customFormat="false" ht="15" hidden="false" customHeight="true" outlineLevel="0" collapsed="false">
      <c r="A417" s="14"/>
      <c r="B417" s="7"/>
      <c r="C417" s="7"/>
      <c r="D417" s="7"/>
      <c r="E417" s="7"/>
      <c r="F417" s="7"/>
      <c r="G417" s="9"/>
      <c r="H417" s="9"/>
      <c r="I417" s="9"/>
      <c r="J417" s="7"/>
      <c r="K417" s="7"/>
    </row>
    <row r="418" customFormat="false" ht="15" hidden="false" customHeight="true" outlineLevel="0" collapsed="false">
      <c r="A418" s="14"/>
      <c r="B418" s="7"/>
      <c r="C418" s="7"/>
      <c r="D418" s="7"/>
      <c r="E418" s="7"/>
      <c r="F418" s="7"/>
      <c r="G418" s="9"/>
      <c r="H418" s="9"/>
      <c r="I418" s="9"/>
      <c r="J418" s="7"/>
      <c r="K418" s="7"/>
    </row>
    <row r="419" customFormat="false" ht="15" hidden="false" customHeight="true" outlineLevel="0" collapsed="false">
      <c r="A419" s="14"/>
      <c r="B419" s="7"/>
      <c r="C419" s="7"/>
      <c r="D419" s="7"/>
      <c r="E419" s="7"/>
      <c r="F419" s="7"/>
      <c r="G419" s="9"/>
      <c r="H419" s="9"/>
      <c r="I419" s="9"/>
      <c r="J419" s="7"/>
      <c r="K419" s="7"/>
    </row>
    <row r="420" customFormat="false" ht="15" hidden="false" customHeight="true" outlineLevel="0" collapsed="false">
      <c r="A420" s="14"/>
      <c r="B420" s="7"/>
      <c r="C420" s="7"/>
      <c r="D420" s="7"/>
      <c r="E420" s="7"/>
      <c r="F420" s="7"/>
      <c r="G420" s="9"/>
      <c r="H420" s="9"/>
      <c r="I420" s="9"/>
      <c r="J420" s="7"/>
      <c r="K420" s="7"/>
    </row>
    <row r="421" customFormat="false" ht="15" hidden="false" customHeight="true" outlineLevel="0" collapsed="false">
      <c r="A421" s="14"/>
      <c r="B421" s="7"/>
      <c r="C421" s="7"/>
      <c r="D421" s="7"/>
      <c r="E421" s="7"/>
      <c r="F421" s="7"/>
      <c r="G421" s="9"/>
      <c r="H421" s="9"/>
      <c r="I421" s="9"/>
      <c r="J421" s="7"/>
      <c r="K421" s="7"/>
    </row>
    <row r="422" customFormat="false" ht="15" hidden="false" customHeight="true" outlineLevel="0" collapsed="false">
      <c r="A422" s="14"/>
      <c r="B422" s="7"/>
      <c r="C422" s="7"/>
      <c r="D422" s="7"/>
      <c r="E422" s="7"/>
      <c r="F422" s="7"/>
      <c r="G422" s="9"/>
      <c r="H422" s="9"/>
      <c r="I422" s="9"/>
      <c r="J422" s="7"/>
      <c r="K422" s="7"/>
    </row>
    <row r="423" customFormat="false" ht="15" hidden="false" customHeight="true" outlineLevel="0" collapsed="false">
      <c r="A423" s="14"/>
      <c r="B423" s="7"/>
      <c r="C423" s="7"/>
      <c r="D423" s="7"/>
      <c r="E423" s="7"/>
      <c r="F423" s="7"/>
      <c r="G423" s="9"/>
      <c r="H423" s="9"/>
      <c r="I423" s="9"/>
      <c r="J423" s="7"/>
      <c r="K423" s="7"/>
    </row>
    <row r="424" customFormat="false" ht="15" hidden="false" customHeight="true" outlineLevel="0" collapsed="false">
      <c r="A424" s="14"/>
      <c r="B424" s="7"/>
      <c r="C424" s="7"/>
      <c r="D424" s="7"/>
      <c r="E424" s="7"/>
      <c r="F424" s="7"/>
      <c r="G424" s="9"/>
      <c r="H424" s="9"/>
      <c r="I424" s="9"/>
      <c r="J424" s="7"/>
      <c r="K424" s="7"/>
    </row>
    <row r="425" customFormat="false" ht="15" hidden="false" customHeight="true" outlineLevel="0" collapsed="false">
      <c r="A425" s="14"/>
      <c r="B425" s="7"/>
      <c r="C425" s="7"/>
      <c r="D425" s="7"/>
      <c r="E425" s="7"/>
      <c r="F425" s="7"/>
      <c r="G425" s="9"/>
      <c r="H425" s="9"/>
      <c r="I425" s="9"/>
      <c r="J425" s="7"/>
      <c r="K425" s="7"/>
    </row>
    <row r="426" customFormat="false" ht="15" hidden="false" customHeight="true" outlineLevel="0" collapsed="false">
      <c r="A426" s="14"/>
      <c r="B426" s="7"/>
      <c r="C426" s="7"/>
      <c r="D426" s="7"/>
      <c r="E426" s="7"/>
      <c r="F426" s="7"/>
      <c r="G426" s="9"/>
      <c r="H426" s="9"/>
      <c r="I426" s="9"/>
      <c r="J426" s="7"/>
      <c r="K426" s="7"/>
    </row>
    <row r="427" customFormat="false" ht="15" hidden="false" customHeight="true" outlineLevel="0" collapsed="false">
      <c r="A427" s="14"/>
      <c r="B427" s="7"/>
      <c r="C427" s="7"/>
      <c r="D427" s="7"/>
      <c r="E427" s="7"/>
      <c r="F427" s="7"/>
      <c r="G427" s="9"/>
      <c r="H427" s="9"/>
      <c r="I427" s="9"/>
      <c r="J427" s="7"/>
      <c r="K427" s="7"/>
    </row>
    <row r="428" customFormat="false" ht="15" hidden="false" customHeight="true" outlineLevel="0" collapsed="false">
      <c r="A428" s="14"/>
      <c r="B428" s="7"/>
      <c r="C428" s="7"/>
      <c r="D428" s="7"/>
      <c r="E428" s="7"/>
      <c r="F428" s="7"/>
      <c r="G428" s="9"/>
      <c r="H428" s="9"/>
      <c r="I428" s="9"/>
      <c r="J428" s="7"/>
      <c r="K428" s="7"/>
    </row>
    <row r="429" customFormat="false" ht="15" hidden="false" customHeight="true" outlineLevel="0" collapsed="false">
      <c r="A429" s="14"/>
      <c r="B429" s="7"/>
      <c r="C429" s="7"/>
      <c r="D429" s="7"/>
      <c r="E429" s="7"/>
      <c r="F429" s="7"/>
      <c r="G429" s="9"/>
      <c r="H429" s="9"/>
      <c r="I429" s="9"/>
      <c r="J429" s="7"/>
      <c r="K429" s="7"/>
    </row>
    <row r="430" customFormat="false" ht="15" hidden="false" customHeight="true" outlineLevel="0" collapsed="false">
      <c r="A430" s="14"/>
      <c r="B430" s="7"/>
      <c r="C430" s="7"/>
      <c r="D430" s="7"/>
      <c r="E430" s="7"/>
      <c r="F430" s="7"/>
      <c r="G430" s="9"/>
      <c r="H430" s="9"/>
      <c r="I430" s="9"/>
      <c r="J430" s="7"/>
      <c r="K430" s="7"/>
    </row>
    <row r="431" customFormat="false" ht="15" hidden="false" customHeight="true" outlineLevel="0" collapsed="false">
      <c r="A431" s="14"/>
      <c r="B431" s="7"/>
      <c r="C431" s="7"/>
      <c r="D431" s="7"/>
      <c r="E431" s="7"/>
      <c r="F431" s="7"/>
      <c r="G431" s="9"/>
      <c r="H431" s="9"/>
      <c r="I431" s="9"/>
      <c r="J431" s="7"/>
      <c r="K431" s="7"/>
    </row>
    <row r="432" customFormat="false" ht="15" hidden="false" customHeight="true" outlineLevel="0" collapsed="false">
      <c r="A432" s="14"/>
      <c r="B432" s="7"/>
      <c r="C432" s="7"/>
      <c r="D432" s="7"/>
      <c r="E432" s="7"/>
      <c r="F432" s="7"/>
      <c r="G432" s="9"/>
      <c r="H432" s="9"/>
      <c r="I432" s="9"/>
      <c r="J432" s="7"/>
      <c r="K432" s="7"/>
    </row>
    <row r="433" customFormat="false" ht="15" hidden="false" customHeight="true" outlineLevel="0" collapsed="false">
      <c r="A433" s="14"/>
      <c r="B433" s="7"/>
      <c r="C433" s="7"/>
      <c r="D433" s="7"/>
      <c r="E433" s="7"/>
      <c r="F433" s="7"/>
      <c r="G433" s="9"/>
      <c r="H433" s="9"/>
      <c r="I433" s="9"/>
      <c r="J433" s="7"/>
      <c r="K433" s="7"/>
    </row>
    <row r="434" customFormat="false" ht="15" hidden="false" customHeight="true" outlineLevel="0" collapsed="false">
      <c r="A434" s="14"/>
      <c r="B434" s="7"/>
      <c r="C434" s="7"/>
      <c r="D434" s="7"/>
      <c r="E434" s="7"/>
      <c r="F434" s="7"/>
      <c r="G434" s="9"/>
      <c r="H434" s="9"/>
      <c r="I434" s="9"/>
      <c r="J434" s="7"/>
      <c r="K434" s="7"/>
    </row>
    <row r="435" customFormat="false" ht="15" hidden="false" customHeight="true" outlineLevel="0" collapsed="false">
      <c r="A435" s="14"/>
      <c r="B435" s="7"/>
      <c r="C435" s="7"/>
      <c r="D435" s="7"/>
      <c r="E435" s="7"/>
      <c r="F435" s="7"/>
      <c r="G435" s="9"/>
      <c r="H435" s="9"/>
      <c r="I435" s="9"/>
      <c r="J435" s="7"/>
      <c r="K435" s="7"/>
    </row>
    <row r="436" customFormat="false" ht="15" hidden="false" customHeight="true" outlineLevel="0" collapsed="false">
      <c r="A436" s="14"/>
      <c r="B436" s="7"/>
      <c r="C436" s="7"/>
      <c r="D436" s="7"/>
      <c r="E436" s="7"/>
      <c r="F436" s="7"/>
      <c r="G436" s="9"/>
      <c r="H436" s="9"/>
      <c r="I436" s="9"/>
      <c r="J436" s="7"/>
      <c r="K436" s="7"/>
    </row>
    <row r="437" customFormat="false" ht="15" hidden="false" customHeight="true" outlineLevel="0" collapsed="false">
      <c r="A437" s="14"/>
      <c r="B437" s="7"/>
      <c r="C437" s="7"/>
      <c r="D437" s="7"/>
      <c r="E437" s="7"/>
      <c r="F437" s="7"/>
      <c r="G437" s="9"/>
      <c r="H437" s="9"/>
      <c r="I437" s="9"/>
      <c r="J437" s="7"/>
      <c r="K437" s="7"/>
    </row>
    <row r="438" customFormat="false" ht="15" hidden="false" customHeight="true" outlineLevel="0" collapsed="false">
      <c r="A438" s="14"/>
      <c r="B438" s="7"/>
      <c r="C438" s="7"/>
      <c r="D438" s="7"/>
      <c r="E438" s="7"/>
      <c r="F438" s="7"/>
      <c r="G438" s="9"/>
      <c r="H438" s="9"/>
      <c r="I438" s="9"/>
      <c r="J438" s="7"/>
      <c r="K438" s="7"/>
    </row>
    <row r="439" customFormat="false" ht="15" hidden="false" customHeight="true" outlineLevel="0" collapsed="false">
      <c r="A439" s="14"/>
      <c r="B439" s="7"/>
      <c r="C439" s="7"/>
      <c r="D439" s="7"/>
      <c r="E439" s="7"/>
      <c r="F439" s="7"/>
      <c r="G439" s="9"/>
      <c r="H439" s="9"/>
      <c r="I439" s="9"/>
      <c r="J439" s="7"/>
      <c r="K439" s="7"/>
    </row>
    <row r="440" customFormat="false" ht="15" hidden="false" customHeight="true" outlineLevel="0" collapsed="false">
      <c r="A440" s="14"/>
      <c r="B440" s="7"/>
      <c r="C440" s="7"/>
      <c r="D440" s="7"/>
      <c r="E440" s="7"/>
      <c r="F440" s="7"/>
      <c r="G440" s="9"/>
      <c r="H440" s="9"/>
      <c r="I440" s="9"/>
      <c r="J440" s="7"/>
      <c r="K440" s="7"/>
    </row>
    <row r="441" customFormat="false" ht="15" hidden="false" customHeight="true" outlineLevel="0" collapsed="false">
      <c r="A441" s="14"/>
      <c r="B441" s="7"/>
      <c r="C441" s="7"/>
      <c r="D441" s="7"/>
      <c r="E441" s="7"/>
      <c r="F441" s="7"/>
      <c r="G441" s="9"/>
      <c r="H441" s="9"/>
      <c r="I441" s="9"/>
      <c r="J441" s="7"/>
      <c r="K441" s="7"/>
    </row>
    <row r="442" customFormat="false" ht="15" hidden="false" customHeight="true" outlineLevel="0" collapsed="false">
      <c r="A442" s="14"/>
      <c r="B442" s="7"/>
      <c r="C442" s="7"/>
      <c r="D442" s="7"/>
      <c r="E442" s="7"/>
      <c r="F442" s="7"/>
      <c r="G442" s="9"/>
      <c r="H442" s="9"/>
      <c r="I442" s="9"/>
      <c r="J442" s="7"/>
      <c r="K442" s="7"/>
    </row>
    <row r="443" customFormat="false" ht="15" hidden="false" customHeight="true" outlineLevel="0" collapsed="false">
      <c r="A443" s="14"/>
      <c r="B443" s="7"/>
      <c r="C443" s="7"/>
      <c r="D443" s="7"/>
      <c r="E443" s="7"/>
      <c r="F443" s="7"/>
      <c r="G443" s="9"/>
      <c r="H443" s="9"/>
      <c r="I443" s="9"/>
      <c r="J443" s="7"/>
      <c r="K443" s="7"/>
    </row>
    <row r="444" customFormat="false" ht="15" hidden="false" customHeight="true" outlineLevel="0" collapsed="false">
      <c r="A444" s="14"/>
      <c r="B444" s="7"/>
      <c r="C444" s="7"/>
      <c r="D444" s="7"/>
      <c r="E444" s="7"/>
      <c r="F444" s="7"/>
      <c r="G444" s="9"/>
      <c r="H444" s="9"/>
      <c r="I444" s="9"/>
      <c r="J444" s="7"/>
      <c r="K444" s="7"/>
    </row>
    <row r="445" customFormat="false" ht="15" hidden="false" customHeight="true" outlineLevel="0" collapsed="false">
      <c r="A445" s="14"/>
      <c r="B445" s="7"/>
      <c r="C445" s="7"/>
      <c r="D445" s="7"/>
      <c r="E445" s="7"/>
      <c r="F445" s="7"/>
      <c r="G445" s="9"/>
      <c r="H445" s="9"/>
      <c r="I445" s="9"/>
      <c r="J445" s="7"/>
      <c r="K445" s="7"/>
    </row>
    <row r="446" customFormat="false" ht="15" hidden="false" customHeight="true" outlineLevel="0" collapsed="false">
      <c r="A446" s="14"/>
      <c r="B446" s="7"/>
      <c r="C446" s="7"/>
      <c r="D446" s="7"/>
      <c r="E446" s="7"/>
      <c r="F446" s="7"/>
      <c r="G446" s="9"/>
      <c r="H446" s="9"/>
      <c r="I446" s="9"/>
      <c r="J446" s="7"/>
      <c r="K446" s="7"/>
    </row>
    <row r="447" customFormat="false" ht="15" hidden="false" customHeight="true" outlineLevel="0" collapsed="false">
      <c r="A447" s="14"/>
      <c r="B447" s="7"/>
      <c r="C447" s="7"/>
      <c r="D447" s="7"/>
      <c r="E447" s="7"/>
      <c r="F447" s="7"/>
      <c r="G447" s="9"/>
      <c r="H447" s="9"/>
      <c r="I447" s="9"/>
      <c r="J447" s="7"/>
      <c r="K447" s="7"/>
    </row>
    <row r="448" customFormat="false" ht="15" hidden="false" customHeight="true" outlineLevel="0" collapsed="false">
      <c r="A448" s="14"/>
      <c r="B448" s="7"/>
      <c r="C448" s="7"/>
      <c r="D448" s="7"/>
      <c r="E448" s="7"/>
      <c r="F448" s="7"/>
      <c r="G448" s="9"/>
      <c r="H448" s="9"/>
      <c r="I448" s="9"/>
      <c r="J448" s="7"/>
      <c r="K448" s="7"/>
    </row>
    <row r="449" customFormat="false" ht="15" hidden="false" customHeight="true" outlineLevel="0" collapsed="false">
      <c r="A449" s="14"/>
      <c r="B449" s="7"/>
      <c r="C449" s="7"/>
      <c r="D449" s="7"/>
      <c r="E449" s="7"/>
      <c r="F449" s="7"/>
      <c r="G449" s="9"/>
      <c r="H449" s="9"/>
      <c r="I449" s="9"/>
      <c r="J449" s="7"/>
      <c r="K449" s="7"/>
    </row>
    <row r="450" customFormat="false" ht="15" hidden="false" customHeight="true" outlineLevel="0" collapsed="false">
      <c r="A450" s="14"/>
      <c r="B450" s="7"/>
      <c r="C450" s="7"/>
      <c r="D450" s="7"/>
      <c r="E450" s="7"/>
      <c r="F450" s="7"/>
      <c r="G450" s="9"/>
      <c r="H450" s="9"/>
      <c r="I450" s="9"/>
      <c r="J450" s="7"/>
      <c r="K450" s="7"/>
    </row>
    <row r="451" customFormat="false" ht="15" hidden="false" customHeight="true" outlineLevel="0" collapsed="false">
      <c r="A451" s="14"/>
      <c r="B451" s="7"/>
      <c r="C451" s="7"/>
      <c r="D451" s="7"/>
      <c r="E451" s="7"/>
      <c r="F451" s="7"/>
      <c r="G451" s="9"/>
      <c r="H451" s="9"/>
      <c r="I451" s="9"/>
      <c r="J451" s="7"/>
      <c r="K451" s="7"/>
    </row>
    <row r="452" customFormat="false" ht="15" hidden="false" customHeight="true" outlineLevel="0" collapsed="false">
      <c r="A452" s="14"/>
      <c r="B452" s="7"/>
      <c r="C452" s="7"/>
      <c r="D452" s="7"/>
      <c r="E452" s="7"/>
      <c r="F452" s="7"/>
      <c r="G452" s="9"/>
      <c r="H452" s="9"/>
      <c r="I452" s="9"/>
      <c r="J452" s="7"/>
      <c r="K452" s="7"/>
    </row>
    <row r="453" customFormat="false" ht="15" hidden="false" customHeight="true" outlineLevel="0" collapsed="false">
      <c r="A453" s="14"/>
      <c r="B453" s="7"/>
      <c r="C453" s="7"/>
      <c r="D453" s="7"/>
      <c r="E453" s="7"/>
      <c r="F453" s="7"/>
      <c r="G453" s="9"/>
      <c r="H453" s="9"/>
      <c r="I453" s="9"/>
      <c r="J453" s="7"/>
      <c r="K453" s="7"/>
    </row>
    <row r="454" customFormat="false" ht="15" hidden="false" customHeight="true" outlineLevel="0" collapsed="false">
      <c r="A454" s="14"/>
      <c r="B454" s="7"/>
      <c r="C454" s="7"/>
      <c r="D454" s="7"/>
      <c r="E454" s="7"/>
      <c r="F454" s="7"/>
      <c r="G454" s="9"/>
      <c r="H454" s="9"/>
      <c r="I454" s="9"/>
      <c r="J454" s="7"/>
      <c r="K454" s="7"/>
    </row>
    <row r="455" customFormat="false" ht="15" hidden="false" customHeight="true" outlineLevel="0" collapsed="false">
      <c r="A455" s="14"/>
      <c r="B455" s="7"/>
      <c r="C455" s="7"/>
      <c r="D455" s="7"/>
      <c r="E455" s="7"/>
      <c r="F455" s="7"/>
      <c r="G455" s="9"/>
      <c r="H455" s="9"/>
      <c r="I455" s="9"/>
      <c r="J455" s="7"/>
      <c r="K455" s="7"/>
    </row>
    <row r="456" customFormat="false" ht="15" hidden="false" customHeight="true" outlineLevel="0" collapsed="false">
      <c r="A456" s="14"/>
      <c r="B456" s="7"/>
      <c r="C456" s="7"/>
      <c r="D456" s="7"/>
      <c r="E456" s="7"/>
      <c r="F456" s="7"/>
      <c r="G456" s="9"/>
      <c r="H456" s="9"/>
      <c r="I456" s="9"/>
      <c r="J456" s="7"/>
      <c r="K456" s="7"/>
    </row>
    <row r="457" customFormat="false" ht="15" hidden="false" customHeight="true" outlineLevel="0" collapsed="false">
      <c r="A457" s="14"/>
      <c r="B457" s="7"/>
      <c r="C457" s="7"/>
      <c r="D457" s="7"/>
      <c r="E457" s="7"/>
      <c r="F457" s="7"/>
      <c r="G457" s="9"/>
      <c r="H457" s="9"/>
      <c r="I457" s="9"/>
      <c r="J457" s="7"/>
      <c r="K457" s="7"/>
    </row>
    <row r="458" customFormat="false" ht="15" hidden="false" customHeight="true" outlineLevel="0" collapsed="false">
      <c r="A458" s="14"/>
      <c r="B458" s="7"/>
      <c r="C458" s="7"/>
      <c r="D458" s="7"/>
      <c r="E458" s="7"/>
      <c r="F458" s="7"/>
      <c r="G458" s="9"/>
      <c r="H458" s="9"/>
      <c r="I458" s="9"/>
      <c r="J458" s="7"/>
      <c r="K458" s="7"/>
    </row>
    <row r="459" customFormat="false" ht="15" hidden="false" customHeight="true" outlineLevel="0" collapsed="false">
      <c r="A459" s="14"/>
      <c r="B459" s="7"/>
      <c r="C459" s="7"/>
      <c r="D459" s="7"/>
      <c r="E459" s="7"/>
      <c r="F459" s="7"/>
      <c r="G459" s="9"/>
      <c r="H459" s="9"/>
      <c r="I459" s="9"/>
      <c r="J459" s="7"/>
      <c r="K459" s="7"/>
    </row>
    <row r="460" customFormat="false" ht="15" hidden="false" customHeight="true" outlineLevel="0" collapsed="false">
      <c r="A460" s="14"/>
      <c r="B460" s="7"/>
      <c r="C460" s="7"/>
      <c r="D460" s="7"/>
      <c r="E460" s="7"/>
      <c r="F460" s="7"/>
      <c r="G460" s="9"/>
      <c r="H460" s="9"/>
      <c r="I460" s="9"/>
      <c r="J460" s="7"/>
      <c r="K460" s="7"/>
    </row>
    <row r="461" customFormat="false" ht="15" hidden="false" customHeight="true" outlineLevel="0" collapsed="false">
      <c r="A461" s="14"/>
      <c r="B461" s="7"/>
      <c r="C461" s="7"/>
      <c r="D461" s="7"/>
      <c r="E461" s="7"/>
      <c r="F461" s="7"/>
      <c r="G461" s="9"/>
      <c r="H461" s="9"/>
      <c r="I461" s="9"/>
      <c r="J461" s="7"/>
      <c r="K461" s="7"/>
    </row>
    <row r="462" customFormat="false" ht="15" hidden="false" customHeight="true" outlineLevel="0" collapsed="false">
      <c r="A462" s="14"/>
      <c r="B462" s="7"/>
      <c r="C462" s="7"/>
      <c r="D462" s="7"/>
      <c r="E462" s="7"/>
      <c r="F462" s="7"/>
      <c r="G462" s="9"/>
      <c r="H462" s="9"/>
      <c r="I462" s="9"/>
      <c r="J462" s="7"/>
      <c r="K462" s="7"/>
    </row>
    <row r="463" customFormat="false" ht="15" hidden="false" customHeight="true" outlineLevel="0" collapsed="false">
      <c r="A463" s="14"/>
      <c r="B463" s="7"/>
      <c r="C463" s="7"/>
      <c r="D463" s="7"/>
      <c r="E463" s="7"/>
      <c r="F463" s="7"/>
      <c r="G463" s="9"/>
      <c r="H463" s="9"/>
      <c r="I463" s="9"/>
      <c r="J463" s="7"/>
      <c r="K463" s="7"/>
    </row>
    <row r="464" customFormat="false" ht="15" hidden="false" customHeight="true" outlineLevel="0" collapsed="false">
      <c r="A464" s="14"/>
      <c r="B464" s="7"/>
      <c r="C464" s="7"/>
      <c r="D464" s="7"/>
      <c r="E464" s="7"/>
      <c r="F464" s="7"/>
      <c r="G464" s="9"/>
      <c r="H464" s="9"/>
      <c r="I464" s="9"/>
      <c r="J464" s="7"/>
      <c r="K464" s="7"/>
    </row>
    <row r="465" customFormat="false" ht="15" hidden="false" customHeight="true" outlineLevel="0" collapsed="false">
      <c r="A465" s="14"/>
      <c r="B465" s="7"/>
      <c r="C465" s="7"/>
      <c r="D465" s="7"/>
      <c r="E465" s="7"/>
      <c r="F465" s="7"/>
      <c r="G465" s="9"/>
      <c r="H465" s="9"/>
      <c r="I465" s="9"/>
      <c r="J465" s="7"/>
      <c r="K465" s="7"/>
    </row>
    <row r="466" customFormat="false" ht="15" hidden="false" customHeight="true" outlineLevel="0" collapsed="false">
      <c r="A466" s="14"/>
      <c r="B466" s="7"/>
      <c r="C466" s="7"/>
      <c r="D466" s="7"/>
      <c r="E466" s="7"/>
      <c r="F466" s="7"/>
      <c r="G466" s="9"/>
      <c r="H466" s="9"/>
      <c r="I466" s="9"/>
      <c r="J466" s="7"/>
      <c r="K466" s="7"/>
    </row>
    <row r="467" customFormat="false" ht="15" hidden="false" customHeight="true" outlineLevel="0" collapsed="false">
      <c r="A467" s="14"/>
      <c r="B467" s="7"/>
      <c r="C467" s="7"/>
      <c r="D467" s="7"/>
      <c r="E467" s="7"/>
      <c r="F467" s="7"/>
      <c r="G467" s="9"/>
      <c r="H467" s="9"/>
      <c r="I467" s="9"/>
      <c r="J467" s="7"/>
      <c r="K467" s="7"/>
    </row>
    <row r="468" customFormat="false" ht="15" hidden="false" customHeight="true" outlineLevel="0" collapsed="false">
      <c r="A468" s="14"/>
      <c r="B468" s="7"/>
      <c r="C468" s="7"/>
      <c r="D468" s="7"/>
      <c r="E468" s="7"/>
      <c r="F468" s="7"/>
      <c r="G468" s="9"/>
      <c r="H468" s="9"/>
      <c r="I468" s="9"/>
      <c r="J468" s="7"/>
      <c r="K468" s="7"/>
    </row>
    <row r="469" customFormat="false" ht="15" hidden="false" customHeight="true" outlineLevel="0" collapsed="false">
      <c r="A469" s="14"/>
      <c r="B469" s="7"/>
      <c r="C469" s="7"/>
      <c r="D469" s="7"/>
      <c r="E469" s="7"/>
      <c r="F469" s="7"/>
      <c r="G469" s="9"/>
      <c r="H469" s="9"/>
      <c r="I469" s="9"/>
      <c r="J469" s="7"/>
      <c r="K469" s="7"/>
    </row>
    <row r="470" customFormat="false" ht="15" hidden="false" customHeight="true" outlineLevel="0" collapsed="false">
      <c r="A470" s="14"/>
      <c r="B470" s="7"/>
      <c r="C470" s="7"/>
      <c r="D470" s="7"/>
      <c r="E470" s="7"/>
      <c r="F470" s="7"/>
      <c r="G470" s="9"/>
      <c r="H470" s="9"/>
      <c r="I470" s="9"/>
      <c r="J470" s="7"/>
      <c r="K470" s="7"/>
    </row>
    <row r="471" customFormat="false" ht="15" hidden="false" customHeight="true" outlineLevel="0" collapsed="false">
      <c r="A471" s="14"/>
      <c r="B471" s="7"/>
      <c r="C471" s="7"/>
      <c r="D471" s="7"/>
      <c r="E471" s="7"/>
      <c r="F471" s="7"/>
      <c r="G471" s="9"/>
      <c r="H471" s="9"/>
      <c r="I471" s="9"/>
      <c r="J471" s="7"/>
      <c r="K471" s="7"/>
    </row>
    <row r="472" customFormat="false" ht="15" hidden="false" customHeight="true" outlineLevel="0" collapsed="false">
      <c r="A472" s="14"/>
      <c r="B472" s="7"/>
      <c r="C472" s="7"/>
      <c r="D472" s="7"/>
      <c r="E472" s="7"/>
      <c r="F472" s="7"/>
      <c r="G472" s="9"/>
      <c r="H472" s="9"/>
      <c r="I472" s="9"/>
      <c r="J472" s="7"/>
      <c r="K472" s="7"/>
    </row>
    <row r="473" customFormat="false" ht="15" hidden="false" customHeight="true" outlineLevel="0" collapsed="false">
      <c r="A473" s="14"/>
      <c r="B473" s="7"/>
      <c r="C473" s="7"/>
      <c r="D473" s="7"/>
      <c r="E473" s="7"/>
      <c r="F473" s="7"/>
      <c r="G473" s="9"/>
      <c r="H473" s="9"/>
      <c r="I473" s="9"/>
      <c r="J473" s="7"/>
      <c r="K473" s="7"/>
    </row>
    <row r="474" customFormat="false" ht="15" hidden="false" customHeight="true" outlineLevel="0" collapsed="false">
      <c r="A474" s="14"/>
      <c r="B474" s="7"/>
      <c r="C474" s="7"/>
      <c r="D474" s="7"/>
      <c r="E474" s="7"/>
      <c r="F474" s="7"/>
      <c r="G474" s="9"/>
      <c r="H474" s="9"/>
      <c r="I474" s="9"/>
      <c r="J474" s="7"/>
      <c r="K474" s="7"/>
    </row>
    <row r="475" customFormat="false" ht="15" hidden="false" customHeight="true" outlineLevel="0" collapsed="false">
      <c r="A475" s="14"/>
      <c r="B475" s="7"/>
      <c r="C475" s="7"/>
      <c r="D475" s="7"/>
      <c r="E475" s="7"/>
      <c r="F475" s="7"/>
      <c r="G475" s="9"/>
      <c r="H475" s="9"/>
      <c r="I475" s="9"/>
      <c r="J475" s="7"/>
      <c r="K475" s="7"/>
    </row>
    <row r="476" customFormat="false" ht="15" hidden="false" customHeight="true" outlineLevel="0" collapsed="false">
      <c r="A476" s="14"/>
      <c r="B476" s="7"/>
      <c r="C476" s="7"/>
      <c r="D476" s="7"/>
      <c r="E476" s="7"/>
      <c r="F476" s="7"/>
      <c r="G476" s="9"/>
      <c r="H476" s="9"/>
      <c r="I476" s="9"/>
      <c r="J476" s="7"/>
      <c r="K476" s="7"/>
    </row>
    <row r="477" customFormat="false" ht="15" hidden="false" customHeight="true" outlineLevel="0" collapsed="false">
      <c r="A477" s="14"/>
      <c r="B477" s="7"/>
      <c r="C477" s="7"/>
      <c r="D477" s="7"/>
      <c r="E477" s="7"/>
      <c r="F477" s="7"/>
      <c r="G477" s="9"/>
      <c r="H477" s="9"/>
      <c r="I477" s="9"/>
      <c r="J477" s="7"/>
      <c r="K477" s="7"/>
    </row>
    <row r="478" customFormat="false" ht="15" hidden="false" customHeight="true" outlineLevel="0" collapsed="false">
      <c r="A478" s="14"/>
      <c r="B478" s="7"/>
      <c r="C478" s="7"/>
      <c r="D478" s="7"/>
      <c r="E478" s="7"/>
      <c r="F478" s="7"/>
      <c r="G478" s="9"/>
      <c r="H478" s="9"/>
      <c r="I478" s="9"/>
      <c r="J478" s="7"/>
      <c r="K478" s="7"/>
    </row>
    <row r="479" customFormat="false" ht="15" hidden="false" customHeight="true" outlineLevel="0" collapsed="false">
      <c r="A479" s="14"/>
      <c r="B479" s="7"/>
      <c r="C479" s="7"/>
      <c r="D479" s="7"/>
      <c r="E479" s="7"/>
      <c r="F479" s="7"/>
      <c r="G479" s="9"/>
      <c r="H479" s="9"/>
      <c r="I479" s="9"/>
      <c r="J479" s="7"/>
      <c r="K479" s="7"/>
    </row>
    <row r="480" customFormat="false" ht="15" hidden="false" customHeight="true" outlineLevel="0" collapsed="false">
      <c r="A480" s="14"/>
      <c r="B480" s="7"/>
      <c r="C480" s="7"/>
      <c r="D480" s="7"/>
      <c r="E480" s="7"/>
      <c r="F480" s="7"/>
      <c r="G480" s="9"/>
      <c r="H480" s="9"/>
      <c r="I480" s="9"/>
      <c r="J480" s="7"/>
      <c r="K480" s="7"/>
    </row>
    <row r="481" customFormat="false" ht="15" hidden="false" customHeight="true" outlineLevel="0" collapsed="false">
      <c r="A481" s="14"/>
      <c r="B481" s="7"/>
      <c r="C481" s="7"/>
      <c r="D481" s="7"/>
      <c r="E481" s="7"/>
      <c r="F481" s="7"/>
      <c r="G481" s="9"/>
      <c r="H481" s="9"/>
      <c r="I481" s="9"/>
      <c r="J481" s="7"/>
      <c r="K481" s="7"/>
    </row>
    <row r="482" customFormat="false" ht="15" hidden="false" customHeight="true" outlineLevel="0" collapsed="false">
      <c r="A482" s="14"/>
      <c r="B482" s="7"/>
      <c r="C482" s="7"/>
      <c r="D482" s="7"/>
      <c r="E482" s="7"/>
      <c r="F482" s="7"/>
      <c r="G482" s="9"/>
      <c r="H482" s="9"/>
      <c r="I482" s="9"/>
      <c r="J482" s="7"/>
      <c r="K482" s="7"/>
    </row>
    <row r="483" customFormat="false" ht="15" hidden="false" customHeight="true" outlineLevel="0" collapsed="false">
      <c r="A483" s="14"/>
      <c r="B483" s="7"/>
      <c r="C483" s="7"/>
      <c r="D483" s="7"/>
      <c r="E483" s="7"/>
      <c r="F483" s="7"/>
      <c r="G483" s="9"/>
      <c r="H483" s="9"/>
      <c r="I483" s="9"/>
      <c r="J483" s="7"/>
      <c r="K483" s="7"/>
    </row>
    <row r="484" customFormat="false" ht="15" hidden="false" customHeight="true" outlineLevel="0" collapsed="false">
      <c r="A484" s="14"/>
      <c r="B484" s="7"/>
      <c r="C484" s="7"/>
      <c r="D484" s="7"/>
      <c r="E484" s="7"/>
      <c r="F484" s="7"/>
      <c r="G484" s="9"/>
      <c r="H484" s="9"/>
      <c r="I484" s="9"/>
      <c r="J484" s="7"/>
      <c r="K484" s="7"/>
    </row>
    <row r="485" customFormat="false" ht="15" hidden="false" customHeight="true" outlineLevel="0" collapsed="false">
      <c r="A485" s="14"/>
      <c r="B485" s="7"/>
      <c r="C485" s="7"/>
      <c r="D485" s="7"/>
      <c r="E485" s="7"/>
      <c r="F485" s="7"/>
      <c r="G485" s="9"/>
      <c r="H485" s="9"/>
      <c r="I485" s="9"/>
      <c r="J485" s="7"/>
      <c r="K485" s="7"/>
    </row>
    <row r="486" customFormat="false" ht="15" hidden="false" customHeight="true" outlineLevel="0" collapsed="false">
      <c r="A486" s="14"/>
      <c r="B486" s="7"/>
      <c r="C486" s="7"/>
      <c r="D486" s="7"/>
      <c r="E486" s="7"/>
      <c r="F486" s="7"/>
      <c r="G486" s="9"/>
      <c r="H486" s="9"/>
      <c r="I486" s="9"/>
      <c r="J486" s="7"/>
      <c r="K486" s="7"/>
    </row>
    <row r="487" customFormat="false" ht="15" hidden="false" customHeight="true" outlineLevel="0" collapsed="false">
      <c r="A487" s="14"/>
      <c r="B487" s="7"/>
      <c r="C487" s="7"/>
      <c r="D487" s="7"/>
      <c r="E487" s="7"/>
      <c r="F487" s="7"/>
      <c r="G487" s="9"/>
      <c r="H487" s="9"/>
      <c r="I487" s="9"/>
      <c r="J487" s="7"/>
      <c r="K487" s="7"/>
    </row>
    <row r="488" customFormat="false" ht="15" hidden="false" customHeight="true" outlineLevel="0" collapsed="false">
      <c r="A488" s="14"/>
      <c r="B488" s="7"/>
      <c r="C488" s="7"/>
      <c r="D488" s="7"/>
      <c r="E488" s="7"/>
      <c r="F488" s="7"/>
      <c r="G488" s="9"/>
      <c r="H488" s="9"/>
      <c r="I488" s="9"/>
      <c r="J488" s="7"/>
      <c r="K488" s="7"/>
    </row>
    <row r="489" customFormat="false" ht="15" hidden="false" customHeight="true" outlineLevel="0" collapsed="false">
      <c r="A489" s="14"/>
      <c r="B489" s="7"/>
      <c r="C489" s="7"/>
      <c r="D489" s="7"/>
      <c r="E489" s="7"/>
      <c r="F489" s="7"/>
      <c r="G489" s="9"/>
      <c r="H489" s="9"/>
      <c r="I489" s="9"/>
      <c r="J489" s="7"/>
      <c r="K489" s="7"/>
    </row>
    <row r="490" customFormat="false" ht="15" hidden="false" customHeight="true" outlineLevel="0" collapsed="false">
      <c r="A490" s="14"/>
      <c r="B490" s="7"/>
      <c r="C490" s="7"/>
      <c r="D490" s="7"/>
      <c r="E490" s="7"/>
      <c r="F490" s="7"/>
      <c r="G490" s="9"/>
      <c r="H490" s="9"/>
      <c r="I490" s="9"/>
      <c r="J490" s="7"/>
      <c r="K490" s="7"/>
    </row>
    <row r="491" customFormat="false" ht="15" hidden="false" customHeight="true" outlineLevel="0" collapsed="false">
      <c r="A491" s="14"/>
      <c r="B491" s="7"/>
      <c r="C491" s="7"/>
      <c r="D491" s="7"/>
      <c r="E491" s="7"/>
      <c r="F491" s="7"/>
      <c r="G491" s="9"/>
      <c r="H491" s="9"/>
      <c r="I491" s="9"/>
      <c r="J491" s="7"/>
      <c r="K491" s="7"/>
    </row>
    <row r="492" customFormat="false" ht="15" hidden="false" customHeight="true" outlineLevel="0" collapsed="false">
      <c r="A492" s="14"/>
      <c r="B492" s="7"/>
      <c r="C492" s="7"/>
      <c r="D492" s="7"/>
      <c r="E492" s="7"/>
      <c r="F492" s="7"/>
      <c r="G492" s="9"/>
      <c r="H492" s="9"/>
      <c r="I492" s="9"/>
      <c r="J492" s="7"/>
      <c r="K492" s="7"/>
    </row>
    <row r="493" customFormat="false" ht="15" hidden="false" customHeight="true" outlineLevel="0" collapsed="false">
      <c r="A493" s="14"/>
      <c r="B493" s="7"/>
      <c r="C493" s="7"/>
      <c r="D493" s="7"/>
      <c r="E493" s="7"/>
      <c r="F493" s="7"/>
      <c r="G493" s="9"/>
      <c r="H493" s="9"/>
      <c r="I493" s="9"/>
      <c r="J493" s="7"/>
      <c r="K493" s="7"/>
    </row>
    <row r="494" customFormat="false" ht="15" hidden="false" customHeight="true" outlineLevel="0" collapsed="false">
      <c r="A494" s="14"/>
      <c r="B494" s="7"/>
      <c r="C494" s="7"/>
      <c r="D494" s="7"/>
      <c r="E494" s="7"/>
      <c r="F494" s="7"/>
      <c r="G494" s="9"/>
      <c r="H494" s="9"/>
      <c r="I494" s="9"/>
      <c r="J494" s="7"/>
      <c r="K494" s="7"/>
    </row>
    <row r="495" customFormat="false" ht="15" hidden="false" customHeight="true" outlineLevel="0" collapsed="false">
      <c r="A495" s="14"/>
      <c r="B495" s="7"/>
      <c r="C495" s="7"/>
      <c r="D495" s="7"/>
      <c r="E495" s="7"/>
      <c r="F495" s="7"/>
      <c r="G495" s="9"/>
      <c r="H495" s="9"/>
      <c r="I495" s="9"/>
      <c r="J495" s="7"/>
      <c r="K495" s="7"/>
    </row>
    <row r="496" customFormat="false" ht="15" hidden="false" customHeight="true" outlineLevel="0" collapsed="false">
      <c r="A496" s="14"/>
      <c r="B496" s="7"/>
      <c r="C496" s="7"/>
      <c r="D496" s="7"/>
      <c r="E496" s="7"/>
      <c r="F496" s="7"/>
      <c r="G496" s="9"/>
      <c r="H496" s="9"/>
      <c r="I496" s="9"/>
      <c r="J496" s="7"/>
      <c r="K496" s="7"/>
    </row>
    <row r="497" customFormat="false" ht="15" hidden="false" customHeight="true" outlineLevel="0" collapsed="false">
      <c r="A497" s="14"/>
      <c r="B497" s="7"/>
      <c r="C497" s="7"/>
      <c r="D497" s="7"/>
      <c r="E497" s="7"/>
      <c r="F497" s="7"/>
      <c r="G497" s="9"/>
      <c r="H497" s="9"/>
      <c r="I497" s="9"/>
      <c r="J497" s="7"/>
      <c r="K497" s="7"/>
    </row>
    <row r="498" customFormat="false" ht="15" hidden="false" customHeight="true" outlineLevel="0" collapsed="false">
      <c r="A498" s="14"/>
      <c r="B498" s="7"/>
      <c r="C498" s="7"/>
      <c r="D498" s="7"/>
      <c r="E498" s="7"/>
      <c r="F498" s="7"/>
      <c r="G498" s="9"/>
      <c r="H498" s="9"/>
      <c r="I498" s="9"/>
      <c r="J498" s="7"/>
      <c r="K498" s="7"/>
    </row>
    <row r="499" customFormat="false" ht="15" hidden="false" customHeight="true" outlineLevel="0" collapsed="false">
      <c r="A499" s="14"/>
      <c r="B499" s="7"/>
      <c r="C499" s="7"/>
      <c r="D499" s="7"/>
      <c r="E499" s="7"/>
      <c r="F499" s="7"/>
      <c r="G499" s="9"/>
      <c r="H499" s="9"/>
      <c r="I499" s="9"/>
      <c r="J499" s="7"/>
      <c r="K499" s="7"/>
    </row>
    <row r="500" customFormat="false" ht="15" hidden="false" customHeight="true" outlineLevel="0" collapsed="false">
      <c r="A500" s="14"/>
      <c r="B500" s="7"/>
      <c r="C500" s="7"/>
      <c r="D500" s="7"/>
      <c r="E500" s="7"/>
      <c r="F500" s="7"/>
      <c r="G500" s="9"/>
      <c r="H500" s="9"/>
      <c r="I500" s="9"/>
      <c r="J500" s="7"/>
      <c r="K500" s="7"/>
    </row>
    <row r="501" customFormat="false" ht="15" hidden="false" customHeight="true" outlineLevel="0" collapsed="false">
      <c r="A501" s="14"/>
      <c r="B501" s="7"/>
      <c r="C501" s="7"/>
      <c r="D501" s="7"/>
      <c r="E501" s="7"/>
      <c r="F501" s="7"/>
      <c r="G501" s="9"/>
      <c r="H501" s="9"/>
      <c r="I501" s="9"/>
      <c r="J501" s="7"/>
      <c r="K501" s="7"/>
    </row>
    <row r="502" customFormat="false" ht="15" hidden="false" customHeight="true" outlineLevel="0" collapsed="false">
      <c r="A502" s="14"/>
      <c r="B502" s="7"/>
      <c r="C502" s="7"/>
      <c r="D502" s="7"/>
      <c r="E502" s="7"/>
      <c r="F502" s="7"/>
      <c r="G502" s="9"/>
      <c r="H502" s="9"/>
      <c r="I502" s="9"/>
      <c r="J502" s="7"/>
      <c r="K502" s="7"/>
    </row>
    <row r="503" customFormat="false" ht="15" hidden="false" customHeight="true" outlineLevel="0" collapsed="false">
      <c r="A503" s="14"/>
      <c r="B503" s="7"/>
      <c r="C503" s="7"/>
      <c r="D503" s="7"/>
      <c r="E503" s="7"/>
      <c r="F503" s="7"/>
      <c r="G503" s="9"/>
      <c r="H503" s="9"/>
      <c r="I503" s="9"/>
      <c r="J503" s="7"/>
      <c r="K503" s="7"/>
    </row>
    <row r="504" customFormat="false" ht="15" hidden="false" customHeight="true" outlineLevel="0" collapsed="false">
      <c r="A504" s="14"/>
      <c r="B504" s="7"/>
      <c r="C504" s="7"/>
      <c r="D504" s="7"/>
      <c r="E504" s="7"/>
      <c r="F504" s="7"/>
      <c r="G504" s="9"/>
      <c r="H504" s="9"/>
      <c r="I504" s="9"/>
      <c r="J504" s="7"/>
      <c r="K504" s="7"/>
    </row>
    <row r="505" customFormat="false" ht="15" hidden="false" customHeight="true" outlineLevel="0" collapsed="false">
      <c r="A505" s="14"/>
      <c r="B505" s="7"/>
      <c r="C505" s="7"/>
      <c r="D505" s="7"/>
      <c r="E505" s="7"/>
      <c r="F505" s="7"/>
      <c r="G505" s="9"/>
      <c r="H505" s="9"/>
      <c r="I505" s="9"/>
      <c r="J505" s="7"/>
      <c r="K505" s="7"/>
    </row>
    <row r="506" customFormat="false" ht="15" hidden="false" customHeight="true" outlineLevel="0" collapsed="false">
      <c r="A506" s="14"/>
      <c r="B506" s="7"/>
      <c r="C506" s="7"/>
      <c r="D506" s="7"/>
      <c r="E506" s="7"/>
      <c r="F506" s="7"/>
      <c r="G506" s="9"/>
      <c r="H506" s="9"/>
      <c r="I506" s="9"/>
      <c r="J506" s="7"/>
      <c r="K506" s="7"/>
    </row>
    <row r="507" customFormat="false" ht="15" hidden="false" customHeight="true" outlineLevel="0" collapsed="false">
      <c r="A507" s="14"/>
      <c r="B507" s="7"/>
      <c r="C507" s="7"/>
      <c r="D507" s="7"/>
      <c r="E507" s="7"/>
      <c r="F507" s="7"/>
      <c r="G507" s="9"/>
      <c r="H507" s="9"/>
      <c r="I507" s="9"/>
      <c r="J507" s="7"/>
      <c r="K507" s="7"/>
    </row>
    <row r="508" customFormat="false" ht="15" hidden="false" customHeight="true" outlineLevel="0" collapsed="false">
      <c r="A508" s="14"/>
      <c r="B508" s="7"/>
      <c r="C508" s="7"/>
      <c r="D508" s="7"/>
      <c r="E508" s="7"/>
      <c r="F508" s="7"/>
      <c r="G508" s="9"/>
      <c r="H508" s="9"/>
      <c r="I508" s="9"/>
      <c r="J508" s="7"/>
      <c r="K508" s="7"/>
    </row>
    <row r="509" customFormat="false" ht="15" hidden="false" customHeight="true" outlineLevel="0" collapsed="false">
      <c r="A509" s="14"/>
      <c r="B509" s="7"/>
      <c r="C509" s="7"/>
      <c r="D509" s="7"/>
      <c r="E509" s="7"/>
      <c r="F509" s="7"/>
      <c r="G509" s="9"/>
      <c r="H509" s="9"/>
      <c r="I509" s="9"/>
      <c r="J509" s="7"/>
      <c r="K509" s="7"/>
    </row>
    <row r="510" customFormat="false" ht="15" hidden="false" customHeight="true" outlineLevel="0" collapsed="false">
      <c r="A510" s="14"/>
      <c r="B510" s="7"/>
      <c r="C510" s="7"/>
      <c r="D510" s="7"/>
      <c r="E510" s="7"/>
      <c r="F510" s="7"/>
      <c r="G510" s="9"/>
      <c r="H510" s="9"/>
      <c r="I510" s="9"/>
      <c r="J510" s="7"/>
      <c r="K510" s="7"/>
    </row>
    <row r="511" customFormat="false" ht="15" hidden="false" customHeight="true" outlineLevel="0" collapsed="false">
      <c r="A511" s="14"/>
      <c r="B511" s="7"/>
      <c r="C511" s="7"/>
      <c r="D511" s="7"/>
      <c r="E511" s="7"/>
      <c r="F511" s="7"/>
      <c r="G511" s="9"/>
      <c r="H511" s="9"/>
      <c r="I511" s="9"/>
      <c r="J511" s="7"/>
      <c r="K511" s="7"/>
    </row>
    <row r="512" customFormat="false" ht="15" hidden="false" customHeight="true" outlineLevel="0" collapsed="false">
      <c r="A512" s="14"/>
      <c r="B512" s="7"/>
      <c r="C512" s="7"/>
      <c r="D512" s="7"/>
      <c r="E512" s="7"/>
      <c r="F512" s="7"/>
      <c r="G512" s="9"/>
      <c r="H512" s="9"/>
      <c r="I512" s="9"/>
      <c r="J512" s="7"/>
      <c r="K512" s="7"/>
    </row>
    <row r="513" customFormat="false" ht="15" hidden="false" customHeight="true" outlineLevel="0" collapsed="false">
      <c r="A513" s="14"/>
      <c r="B513" s="7"/>
      <c r="C513" s="7"/>
      <c r="D513" s="7"/>
      <c r="E513" s="7"/>
      <c r="F513" s="7"/>
      <c r="G513" s="9"/>
      <c r="H513" s="9"/>
      <c r="I513" s="9"/>
      <c r="J513" s="7"/>
      <c r="K513" s="7"/>
    </row>
    <row r="514" customFormat="false" ht="15" hidden="false" customHeight="true" outlineLevel="0" collapsed="false">
      <c r="A514" s="14"/>
      <c r="B514" s="7"/>
      <c r="C514" s="7"/>
      <c r="D514" s="7"/>
      <c r="E514" s="7"/>
      <c r="F514" s="7"/>
      <c r="G514" s="9"/>
      <c r="H514" s="9"/>
      <c r="I514" s="9"/>
      <c r="J514" s="7"/>
      <c r="K514" s="7"/>
    </row>
    <row r="515" customFormat="false" ht="15" hidden="false" customHeight="true" outlineLevel="0" collapsed="false">
      <c r="A515" s="14"/>
      <c r="B515" s="7"/>
      <c r="C515" s="7"/>
      <c r="D515" s="7"/>
      <c r="E515" s="7"/>
      <c r="F515" s="7"/>
      <c r="G515" s="9"/>
      <c r="H515" s="9"/>
      <c r="I515" s="9"/>
      <c r="J515" s="7"/>
      <c r="K515" s="7"/>
    </row>
    <row r="516" customFormat="false" ht="15" hidden="false" customHeight="true" outlineLevel="0" collapsed="false">
      <c r="A516" s="14"/>
      <c r="B516" s="7"/>
      <c r="C516" s="7"/>
      <c r="D516" s="7"/>
      <c r="E516" s="7"/>
      <c r="F516" s="7"/>
      <c r="G516" s="9"/>
      <c r="H516" s="9"/>
      <c r="I516" s="9"/>
      <c r="J516" s="7"/>
      <c r="K516" s="7"/>
    </row>
    <row r="517" customFormat="false" ht="15" hidden="false" customHeight="true" outlineLevel="0" collapsed="false">
      <c r="A517" s="14"/>
      <c r="B517" s="7"/>
      <c r="C517" s="7"/>
      <c r="D517" s="7"/>
      <c r="E517" s="7"/>
      <c r="F517" s="7"/>
      <c r="G517" s="9"/>
      <c r="H517" s="9"/>
      <c r="I517" s="9"/>
      <c r="J517" s="7"/>
      <c r="K517" s="7"/>
    </row>
    <row r="518" customFormat="false" ht="15" hidden="false" customHeight="true" outlineLevel="0" collapsed="false">
      <c r="A518" s="14"/>
      <c r="B518" s="7"/>
      <c r="C518" s="7"/>
      <c r="D518" s="7"/>
      <c r="E518" s="7"/>
      <c r="F518" s="7"/>
      <c r="G518" s="9"/>
      <c r="H518" s="9"/>
      <c r="I518" s="9"/>
      <c r="J518" s="7"/>
      <c r="K518" s="7"/>
    </row>
    <row r="519" customFormat="false" ht="15" hidden="false" customHeight="true" outlineLevel="0" collapsed="false">
      <c r="A519" s="14"/>
      <c r="B519" s="7"/>
      <c r="C519" s="7"/>
      <c r="D519" s="7"/>
      <c r="E519" s="7"/>
      <c r="F519" s="7"/>
      <c r="G519" s="9"/>
      <c r="H519" s="9"/>
      <c r="I519" s="9"/>
      <c r="J519" s="7"/>
      <c r="K519" s="7"/>
    </row>
    <row r="520" customFormat="false" ht="15" hidden="false" customHeight="true" outlineLevel="0" collapsed="false">
      <c r="A520" s="14"/>
      <c r="B520" s="7"/>
      <c r="C520" s="7"/>
      <c r="D520" s="7"/>
      <c r="E520" s="7"/>
      <c r="F520" s="7"/>
      <c r="G520" s="9"/>
      <c r="H520" s="9"/>
      <c r="I520" s="9"/>
      <c r="J520" s="7"/>
      <c r="K520" s="7"/>
    </row>
    <row r="521" customFormat="false" ht="15" hidden="false" customHeight="true" outlineLevel="0" collapsed="false">
      <c r="A521" s="14"/>
      <c r="B521" s="7"/>
      <c r="C521" s="7"/>
      <c r="D521" s="7"/>
      <c r="E521" s="7"/>
      <c r="F521" s="7"/>
      <c r="G521" s="9"/>
      <c r="H521" s="9"/>
      <c r="I521" s="9"/>
      <c r="J521" s="7"/>
      <c r="K521" s="7"/>
    </row>
    <row r="522" customFormat="false" ht="15" hidden="false" customHeight="true" outlineLevel="0" collapsed="false">
      <c r="A522" s="14"/>
      <c r="B522" s="7"/>
      <c r="C522" s="7"/>
      <c r="D522" s="7"/>
      <c r="E522" s="7"/>
      <c r="F522" s="7"/>
      <c r="G522" s="9"/>
      <c r="H522" s="9"/>
      <c r="I522" s="9"/>
      <c r="J522" s="7"/>
      <c r="K522" s="7"/>
    </row>
    <row r="523" customFormat="false" ht="15" hidden="false" customHeight="true" outlineLevel="0" collapsed="false">
      <c r="A523" s="14"/>
      <c r="B523" s="7"/>
      <c r="C523" s="7"/>
      <c r="D523" s="7"/>
      <c r="E523" s="7"/>
      <c r="F523" s="7"/>
      <c r="G523" s="9"/>
      <c r="H523" s="9"/>
      <c r="I523" s="9"/>
      <c r="J523" s="7"/>
      <c r="K523" s="7"/>
    </row>
    <row r="524" customFormat="false" ht="15" hidden="false" customHeight="true" outlineLevel="0" collapsed="false">
      <c r="A524" s="14"/>
      <c r="B524" s="7"/>
      <c r="C524" s="7"/>
      <c r="D524" s="7"/>
      <c r="E524" s="7"/>
      <c r="F524" s="7"/>
      <c r="G524" s="9"/>
      <c r="H524" s="9"/>
      <c r="I524" s="9"/>
      <c r="J524" s="7"/>
      <c r="K524" s="7"/>
    </row>
    <row r="525" customFormat="false" ht="15" hidden="false" customHeight="true" outlineLevel="0" collapsed="false">
      <c r="A525" s="14"/>
      <c r="B525" s="7"/>
      <c r="C525" s="7"/>
      <c r="D525" s="7"/>
      <c r="E525" s="7"/>
      <c r="F525" s="7"/>
      <c r="G525" s="9"/>
      <c r="H525" s="9"/>
      <c r="I525" s="9"/>
      <c r="J525" s="7"/>
      <c r="K525" s="7"/>
    </row>
    <row r="526" customFormat="false" ht="15" hidden="false" customHeight="true" outlineLevel="0" collapsed="false">
      <c r="A526" s="14"/>
      <c r="B526" s="7"/>
      <c r="C526" s="7"/>
      <c r="D526" s="7"/>
      <c r="E526" s="7"/>
      <c r="F526" s="7"/>
      <c r="G526" s="9"/>
      <c r="H526" s="9"/>
      <c r="I526" s="9"/>
      <c r="J526" s="7"/>
      <c r="K526" s="7"/>
    </row>
    <row r="527" customFormat="false" ht="15" hidden="false" customHeight="true" outlineLevel="0" collapsed="false">
      <c r="A527" s="14"/>
      <c r="B527" s="7"/>
      <c r="C527" s="7"/>
      <c r="D527" s="7"/>
      <c r="E527" s="7"/>
      <c r="F527" s="7"/>
      <c r="G527" s="9"/>
      <c r="H527" s="9"/>
      <c r="I527" s="9"/>
      <c r="J527" s="7"/>
      <c r="K527" s="7"/>
    </row>
    <row r="528" customFormat="false" ht="15" hidden="false" customHeight="true" outlineLevel="0" collapsed="false">
      <c r="A528" s="14"/>
      <c r="B528" s="7"/>
      <c r="C528" s="7"/>
      <c r="D528" s="7"/>
      <c r="E528" s="7"/>
      <c r="F528" s="7"/>
      <c r="G528" s="9"/>
      <c r="H528" s="9"/>
      <c r="I528" s="9"/>
      <c r="J528" s="7"/>
      <c r="K528" s="7"/>
    </row>
    <row r="529" customFormat="false" ht="15" hidden="false" customHeight="true" outlineLevel="0" collapsed="false">
      <c r="A529" s="14"/>
      <c r="B529" s="7"/>
      <c r="C529" s="7"/>
      <c r="D529" s="7"/>
      <c r="E529" s="7"/>
      <c r="F529" s="7"/>
      <c r="G529" s="9"/>
      <c r="H529" s="9"/>
      <c r="I529" s="9"/>
      <c r="J529" s="7"/>
      <c r="K529" s="7"/>
    </row>
    <row r="530" customFormat="false" ht="15" hidden="false" customHeight="true" outlineLevel="0" collapsed="false">
      <c r="A530" s="14"/>
      <c r="B530" s="7"/>
      <c r="C530" s="7"/>
      <c r="D530" s="7"/>
      <c r="E530" s="7"/>
      <c r="F530" s="7"/>
      <c r="G530" s="9"/>
      <c r="H530" s="9"/>
      <c r="I530" s="9"/>
      <c r="J530" s="7"/>
      <c r="K530" s="7"/>
    </row>
    <row r="531" customFormat="false" ht="15" hidden="false" customHeight="true" outlineLevel="0" collapsed="false">
      <c r="A531" s="14"/>
      <c r="B531" s="7"/>
      <c r="C531" s="7"/>
      <c r="D531" s="7"/>
      <c r="E531" s="7"/>
      <c r="F531" s="7"/>
      <c r="G531" s="9"/>
      <c r="H531" s="9"/>
      <c r="I531" s="9"/>
      <c r="J531" s="7"/>
      <c r="K531" s="7"/>
    </row>
    <row r="532" customFormat="false" ht="15" hidden="false" customHeight="true" outlineLevel="0" collapsed="false">
      <c r="A532" s="14"/>
      <c r="B532" s="7"/>
      <c r="C532" s="7"/>
      <c r="D532" s="7"/>
      <c r="E532" s="7"/>
      <c r="F532" s="7"/>
      <c r="G532" s="9"/>
      <c r="H532" s="9"/>
      <c r="I532" s="9"/>
      <c r="J532" s="7"/>
      <c r="K532" s="7"/>
    </row>
    <row r="533" customFormat="false" ht="15" hidden="false" customHeight="true" outlineLevel="0" collapsed="false">
      <c r="A533" s="14"/>
      <c r="B533" s="7"/>
      <c r="C533" s="7"/>
      <c r="D533" s="7"/>
      <c r="E533" s="7"/>
      <c r="F533" s="7"/>
      <c r="G533" s="9"/>
      <c r="H533" s="9"/>
      <c r="I533" s="9"/>
      <c r="J533" s="7"/>
      <c r="K533" s="7"/>
    </row>
    <row r="534" customFormat="false" ht="15" hidden="false" customHeight="true" outlineLevel="0" collapsed="false">
      <c r="A534" s="14"/>
      <c r="B534" s="7"/>
      <c r="C534" s="7"/>
      <c r="D534" s="7"/>
      <c r="E534" s="7"/>
      <c r="F534" s="7"/>
      <c r="G534" s="9"/>
      <c r="H534" s="9"/>
      <c r="I534" s="9"/>
      <c r="J534" s="7"/>
      <c r="K534" s="7"/>
    </row>
    <row r="535" customFormat="false" ht="15" hidden="false" customHeight="true" outlineLevel="0" collapsed="false">
      <c r="A535" s="14"/>
      <c r="B535" s="7"/>
      <c r="C535" s="7"/>
      <c r="D535" s="7"/>
      <c r="E535" s="7"/>
      <c r="F535" s="7"/>
      <c r="G535" s="9"/>
      <c r="H535" s="9"/>
      <c r="I535" s="9"/>
      <c r="J535" s="7"/>
      <c r="K535" s="7"/>
    </row>
    <row r="536" customFormat="false" ht="15" hidden="false" customHeight="true" outlineLevel="0" collapsed="false">
      <c r="A536" s="14"/>
      <c r="B536" s="7"/>
      <c r="C536" s="7"/>
      <c r="D536" s="7"/>
      <c r="E536" s="7"/>
      <c r="F536" s="7"/>
      <c r="G536" s="9"/>
      <c r="H536" s="9"/>
      <c r="I536" s="9"/>
      <c r="J536" s="7"/>
      <c r="K536" s="7"/>
    </row>
    <row r="537" customFormat="false" ht="15" hidden="false" customHeight="true" outlineLevel="0" collapsed="false">
      <c r="A537" s="14"/>
      <c r="B537" s="7"/>
      <c r="C537" s="7"/>
      <c r="D537" s="7"/>
      <c r="E537" s="7"/>
      <c r="F537" s="7"/>
      <c r="G537" s="9"/>
      <c r="H537" s="9"/>
      <c r="I537" s="9"/>
      <c r="J537" s="7"/>
      <c r="K537" s="7"/>
    </row>
    <row r="538" customFormat="false" ht="15" hidden="false" customHeight="true" outlineLevel="0" collapsed="false">
      <c r="A538" s="14"/>
      <c r="B538" s="7"/>
      <c r="C538" s="7"/>
      <c r="D538" s="7"/>
      <c r="E538" s="7"/>
      <c r="F538" s="7"/>
      <c r="G538" s="9"/>
      <c r="H538" s="9"/>
      <c r="I538" s="9"/>
      <c r="J538" s="7"/>
      <c r="K538" s="7"/>
    </row>
    <row r="539" customFormat="false" ht="15" hidden="false" customHeight="true" outlineLevel="0" collapsed="false">
      <c r="A539" s="14"/>
      <c r="B539" s="7"/>
      <c r="C539" s="7"/>
      <c r="D539" s="7"/>
      <c r="E539" s="7"/>
      <c r="F539" s="7"/>
      <c r="G539" s="9"/>
      <c r="H539" s="9"/>
      <c r="I539" s="9"/>
      <c r="J539" s="7"/>
      <c r="K539" s="7"/>
    </row>
    <row r="540" customFormat="false" ht="15" hidden="false" customHeight="true" outlineLevel="0" collapsed="false">
      <c r="A540" s="14"/>
      <c r="B540" s="7"/>
      <c r="C540" s="7"/>
      <c r="D540" s="7"/>
      <c r="E540" s="7"/>
      <c r="F540" s="7"/>
      <c r="G540" s="9"/>
      <c r="H540" s="9"/>
      <c r="I540" s="9"/>
      <c r="J540" s="7"/>
      <c r="K540" s="7"/>
    </row>
    <row r="541" customFormat="false" ht="15" hidden="false" customHeight="true" outlineLevel="0" collapsed="false">
      <c r="A541" s="14"/>
      <c r="B541" s="7"/>
      <c r="C541" s="7"/>
      <c r="D541" s="7"/>
      <c r="E541" s="7"/>
      <c r="F541" s="7"/>
      <c r="G541" s="9"/>
      <c r="H541" s="9"/>
      <c r="I541" s="9"/>
      <c r="J541" s="7"/>
      <c r="K541" s="7"/>
    </row>
    <row r="542" customFormat="false" ht="15" hidden="false" customHeight="true" outlineLevel="0" collapsed="false">
      <c r="A542" s="14"/>
      <c r="B542" s="7"/>
      <c r="C542" s="7"/>
      <c r="D542" s="7"/>
      <c r="E542" s="7"/>
      <c r="F542" s="7"/>
      <c r="G542" s="9"/>
      <c r="H542" s="9"/>
      <c r="I542" s="9"/>
      <c r="J542" s="7"/>
      <c r="K542" s="7"/>
    </row>
    <row r="543" customFormat="false" ht="15" hidden="false" customHeight="true" outlineLevel="0" collapsed="false">
      <c r="A543" s="14"/>
      <c r="B543" s="7"/>
      <c r="C543" s="7"/>
      <c r="D543" s="7"/>
      <c r="E543" s="7"/>
      <c r="F543" s="7"/>
      <c r="G543" s="9"/>
      <c r="H543" s="9"/>
      <c r="I543" s="9"/>
      <c r="J543" s="7"/>
      <c r="K543" s="7"/>
    </row>
    <row r="544" customFormat="false" ht="15" hidden="false" customHeight="true" outlineLevel="0" collapsed="false">
      <c r="A544" s="14"/>
      <c r="B544" s="7"/>
      <c r="C544" s="7"/>
      <c r="D544" s="7"/>
      <c r="E544" s="7"/>
      <c r="F544" s="7"/>
      <c r="G544" s="9"/>
      <c r="H544" s="9"/>
      <c r="I544" s="9"/>
      <c r="J544" s="7"/>
      <c r="K544" s="7"/>
    </row>
    <row r="545" customFormat="false" ht="15" hidden="false" customHeight="true" outlineLevel="0" collapsed="false">
      <c r="A545" s="14"/>
      <c r="B545" s="7"/>
      <c r="C545" s="7"/>
      <c r="D545" s="7"/>
      <c r="E545" s="7"/>
      <c r="F545" s="7"/>
      <c r="G545" s="9"/>
      <c r="H545" s="9"/>
      <c r="I545" s="9"/>
      <c r="J545" s="7"/>
      <c r="K545" s="7"/>
    </row>
    <row r="546" customFormat="false" ht="15" hidden="false" customHeight="true" outlineLevel="0" collapsed="false">
      <c r="A546" s="14"/>
      <c r="B546" s="7"/>
      <c r="C546" s="7"/>
      <c r="D546" s="7"/>
      <c r="E546" s="7"/>
      <c r="F546" s="7"/>
      <c r="G546" s="9"/>
      <c r="H546" s="9"/>
      <c r="I546" s="9"/>
      <c r="J546" s="7"/>
      <c r="K546" s="7"/>
    </row>
    <row r="547" customFormat="false" ht="15" hidden="false" customHeight="true" outlineLevel="0" collapsed="false">
      <c r="A547" s="14"/>
      <c r="B547" s="7"/>
      <c r="C547" s="7"/>
      <c r="D547" s="7"/>
      <c r="E547" s="7"/>
      <c r="F547" s="7"/>
      <c r="G547" s="9"/>
      <c r="H547" s="9"/>
      <c r="I547" s="9"/>
      <c r="J547" s="7"/>
      <c r="K547" s="7"/>
    </row>
    <row r="548" customFormat="false" ht="15" hidden="false" customHeight="true" outlineLevel="0" collapsed="false">
      <c r="A548" s="14"/>
      <c r="B548" s="7"/>
      <c r="C548" s="7"/>
      <c r="D548" s="7"/>
      <c r="E548" s="7"/>
      <c r="F548" s="7"/>
      <c r="G548" s="9"/>
      <c r="H548" s="9"/>
      <c r="I548" s="9"/>
      <c r="J548" s="7"/>
      <c r="K548" s="7"/>
    </row>
    <row r="549" customFormat="false" ht="15" hidden="false" customHeight="true" outlineLevel="0" collapsed="false">
      <c r="A549" s="14"/>
      <c r="B549" s="7"/>
      <c r="C549" s="7"/>
      <c r="D549" s="7"/>
      <c r="E549" s="7"/>
      <c r="F549" s="7"/>
      <c r="G549" s="9"/>
      <c r="H549" s="9"/>
      <c r="I549" s="9"/>
      <c r="J549" s="7"/>
      <c r="K549" s="7"/>
    </row>
    <row r="550" customFormat="false" ht="15" hidden="false" customHeight="true" outlineLevel="0" collapsed="false">
      <c r="A550" s="14"/>
      <c r="B550" s="7"/>
      <c r="C550" s="7"/>
      <c r="D550" s="7"/>
      <c r="E550" s="7"/>
      <c r="F550" s="7"/>
      <c r="G550" s="9"/>
      <c r="H550" s="9"/>
      <c r="I550" s="9"/>
      <c r="J550" s="7"/>
      <c r="K550" s="7"/>
    </row>
    <row r="551" customFormat="false" ht="15" hidden="false" customHeight="true" outlineLevel="0" collapsed="false">
      <c r="A551" s="14"/>
      <c r="B551" s="7"/>
      <c r="C551" s="7"/>
      <c r="D551" s="7"/>
      <c r="E551" s="7"/>
      <c r="F551" s="7"/>
      <c r="G551" s="9"/>
      <c r="H551" s="9"/>
      <c r="I551" s="9"/>
      <c r="J551" s="7"/>
      <c r="K551" s="7"/>
    </row>
    <row r="552" customFormat="false" ht="15" hidden="false" customHeight="true" outlineLevel="0" collapsed="false">
      <c r="A552" s="14"/>
      <c r="B552" s="7"/>
      <c r="C552" s="7"/>
      <c r="D552" s="7"/>
      <c r="E552" s="7"/>
      <c r="F552" s="7"/>
      <c r="G552" s="9"/>
      <c r="H552" s="9"/>
      <c r="I552" s="9"/>
      <c r="J552" s="7"/>
      <c r="K552" s="7"/>
    </row>
    <row r="553" customFormat="false" ht="15" hidden="false" customHeight="true" outlineLevel="0" collapsed="false">
      <c r="A553" s="14"/>
      <c r="B553" s="7"/>
      <c r="C553" s="7"/>
      <c r="D553" s="7"/>
      <c r="E553" s="7"/>
      <c r="F553" s="7"/>
      <c r="G553" s="9"/>
      <c r="H553" s="9"/>
      <c r="I553" s="9"/>
      <c r="J553" s="7"/>
      <c r="K553" s="7"/>
    </row>
    <row r="554" customFormat="false" ht="15" hidden="false" customHeight="true" outlineLevel="0" collapsed="false">
      <c r="A554" s="14"/>
      <c r="B554" s="7"/>
      <c r="C554" s="7"/>
      <c r="D554" s="7"/>
      <c r="E554" s="7"/>
      <c r="F554" s="7"/>
      <c r="G554" s="9"/>
      <c r="H554" s="9"/>
      <c r="I554" s="9"/>
      <c r="J554" s="7"/>
      <c r="K554" s="7"/>
    </row>
    <row r="555" customFormat="false" ht="15" hidden="false" customHeight="true" outlineLevel="0" collapsed="false">
      <c r="A555" s="14"/>
      <c r="B555" s="7"/>
      <c r="C555" s="7"/>
      <c r="D555" s="7"/>
      <c r="E555" s="7"/>
      <c r="F555" s="7"/>
      <c r="G555" s="9"/>
      <c r="H555" s="9"/>
      <c r="I555" s="9"/>
      <c r="J555" s="7"/>
      <c r="K555" s="7"/>
    </row>
    <row r="556" customFormat="false" ht="15" hidden="false" customHeight="true" outlineLevel="0" collapsed="false">
      <c r="A556" s="14"/>
      <c r="B556" s="7"/>
      <c r="C556" s="7"/>
      <c r="D556" s="7"/>
      <c r="E556" s="7"/>
      <c r="F556" s="7"/>
      <c r="G556" s="9"/>
      <c r="H556" s="9"/>
      <c r="I556" s="9"/>
      <c r="J556" s="7"/>
      <c r="K556" s="7"/>
    </row>
    <row r="557" customFormat="false" ht="15" hidden="false" customHeight="true" outlineLevel="0" collapsed="false">
      <c r="A557" s="14"/>
      <c r="B557" s="7"/>
      <c r="C557" s="7"/>
      <c r="D557" s="7"/>
      <c r="E557" s="7"/>
      <c r="F557" s="7"/>
      <c r="G557" s="9"/>
      <c r="H557" s="9"/>
      <c r="I557" s="9"/>
      <c r="J557" s="7"/>
      <c r="K557" s="7"/>
    </row>
    <row r="558" customFormat="false" ht="15" hidden="false" customHeight="true" outlineLevel="0" collapsed="false">
      <c r="A558" s="14"/>
      <c r="B558" s="7"/>
      <c r="C558" s="7"/>
      <c r="D558" s="7"/>
      <c r="E558" s="7"/>
      <c r="F558" s="7"/>
      <c r="G558" s="9"/>
      <c r="H558" s="9"/>
      <c r="I558" s="9"/>
      <c r="J558" s="7"/>
      <c r="K558" s="7"/>
    </row>
    <row r="559" customFormat="false" ht="15" hidden="false" customHeight="true" outlineLevel="0" collapsed="false">
      <c r="A559" s="14"/>
      <c r="B559" s="7"/>
      <c r="C559" s="7"/>
      <c r="D559" s="7"/>
      <c r="E559" s="7"/>
      <c r="F559" s="7"/>
      <c r="G559" s="9"/>
      <c r="H559" s="9"/>
      <c r="I559" s="9"/>
      <c r="J559" s="7"/>
      <c r="K559" s="7"/>
    </row>
    <row r="560" customFormat="false" ht="15" hidden="false" customHeight="true" outlineLevel="0" collapsed="false">
      <c r="A560" s="14"/>
      <c r="B560" s="7"/>
      <c r="C560" s="7"/>
      <c r="D560" s="7"/>
      <c r="E560" s="7"/>
      <c r="F560" s="7"/>
      <c r="G560" s="9"/>
      <c r="H560" s="9"/>
      <c r="I560" s="9"/>
      <c r="J560" s="7"/>
      <c r="K560" s="7"/>
    </row>
    <row r="561" customFormat="false" ht="15" hidden="false" customHeight="true" outlineLevel="0" collapsed="false">
      <c r="A561" s="14"/>
      <c r="B561" s="7"/>
      <c r="C561" s="7"/>
      <c r="D561" s="7"/>
      <c r="E561" s="7"/>
      <c r="F561" s="7"/>
      <c r="G561" s="9"/>
      <c r="H561" s="9"/>
      <c r="I561" s="9"/>
      <c r="J561" s="7"/>
      <c r="K561" s="7"/>
    </row>
    <row r="562" customFormat="false" ht="15" hidden="false" customHeight="true" outlineLevel="0" collapsed="false">
      <c r="A562" s="14"/>
      <c r="B562" s="7"/>
      <c r="C562" s="7"/>
      <c r="D562" s="7"/>
      <c r="E562" s="7"/>
      <c r="F562" s="7"/>
      <c r="G562" s="9"/>
      <c r="H562" s="9"/>
      <c r="I562" s="9"/>
      <c r="J562" s="7"/>
      <c r="K562" s="7"/>
    </row>
    <row r="563" customFormat="false" ht="15" hidden="false" customHeight="true" outlineLevel="0" collapsed="false">
      <c r="A563" s="14"/>
      <c r="B563" s="7"/>
      <c r="C563" s="7"/>
      <c r="D563" s="7"/>
      <c r="E563" s="7"/>
      <c r="F563" s="7"/>
      <c r="G563" s="9"/>
      <c r="H563" s="9"/>
      <c r="I563" s="9"/>
      <c r="J563" s="7"/>
      <c r="K563" s="7"/>
    </row>
    <row r="564" customFormat="false" ht="15" hidden="false" customHeight="true" outlineLevel="0" collapsed="false">
      <c r="A564" s="14"/>
      <c r="B564" s="7"/>
      <c r="C564" s="7"/>
      <c r="D564" s="7"/>
      <c r="E564" s="7"/>
      <c r="F564" s="7"/>
      <c r="G564" s="9"/>
      <c r="H564" s="9"/>
      <c r="I564" s="9"/>
      <c r="J564" s="7"/>
      <c r="K564" s="7"/>
    </row>
    <row r="565" customFormat="false" ht="15" hidden="false" customHeight="true" outlineLevel="0" collapsed="false">
      <c r="A565" s="14"/>
      <c r="B565" s="7"/>
      <c r="C565" s="7"/>
      <c r="D565" s="7"/>
      <c r="E565" s="7"/>
      <c r="F565" s="7"/>
      <c r="G565" s="9"/>
      <c r="H565" s="9"/>
      <c r="I565" s="9"/>
      <c r="J565" s="7"/>
      <c r="K565" s="7"/>
    </row>
    <row r="566" customFormat="false" ht="15" hidden="false" customHeight="true" outlineLevel="0" collapsed="false">
      <c r="A566" s="14"/>
      <c r="B566" s="7"/>
      <c r="C566" s="7"/>
      <c r="D566" s="7"/>
      <c r="E566" s="7"/>
      <c r="F566" s="7"/>
      <c r="G566" s="9"/>
      <c r="H566" s="9"/>
      <c r="I566" s="9"/>
      <c r="J566" s="7"/>
      <c r="K566" s="7"/>
    </row>
    <row r="567" customFormat="false" ht="15" hidden="false" customHeight="true" outlineLevel="0" collapsed="false">
      <c r="A567" s="14"/>
      <c r="B567" s="7"/>
      <c r="C567" s="7"/>
      <c r="D567" s="7"/>
      <c r="E567" s="7"/>
      <c r="F567" s="7"/>
      <c r="G567" s="9"/>
      <c r="H567" s="9"/>
      <c r="I567" s="9"/>
      <c r="J567" s="7"/>
      <c r="K567" s="7"/>
    </row>
    <row r="568" customFormat="false" ht="15" hidden="false" customHeight="true" outlineLevel="0" collapsed="false">
      <c r="A568" s="14"/>
      <c r="B568" s="7"/>
      <c r="C568" s="7"/>
      <c r="D568" s="7"/>
      <c r="E568" s="7"/>
      <c r="F568" s="7"/>
      <c r="G568" s="9"/>
      <c r="H568" s="9"/>
      <c r="I568" s="9"/>
      <c r="J568" s="7"/>
      <c r="K568" s="7"/>
    </row>
    <row r="569" customFormat="false" ht="15" hidden="false" customHeight="true" outlineLevel="0" collapsed="false">
      <c r="A569" s="14"/>
      <c r="B569" s="7"/>
      <c r="C569" s="7"/>
      <c r="D569" s="7"/>
      <c r="E569" s="7"/>
      <c r="F569" s="7"/>
      <c r="G569" s="9"/>
      <c r="H569" s="9"/>
      <c r="I569" s="9"/>
      <c r="J569" s="7"/>
      <c r="K569" s="7"/>
    </row>
    <row r="570" customFormat="false" ht="15" hidden="false" customHeight="true" outlineLevel="0" collapsed="false">
      <c r="A570" s="14"/>
      <c r="B570" s="7"/>
      <c r="C570" s="7"/>
      <c r="D570" s="7"/>
      <c r="E570" s="7"/>
      <c r="F570" s="7"/>
      <c r="G570" s="9"/>
      <c r="H570" s="9"/>
      <c r="I570" s="9"/>
      <c r="J570" s="7"/>
      <c r="K570" s="7"/>
    </row>
    <row r="571" customFormat="false" ht="15" hidden="false" customHeight="true" outlineLevel="0" collapsed="false">
      <c r="A571" s="14"/>
      <c r="B571" s="7"/>
      <c r="C571" s="7"/>
      <c r="D571" s="7"/>
      <c r="E571" s="7"/>
      <c r="F571" s="7"/>
      <c r="G571" s="9"/>
      <c r="H571" s="9"/>
      <c r="I571" s="9"/>
      <c r="J571" s="7"/>
      <c r="K571" s="7"/>
    </row>
    <row r="572" customFormat="false" ht="15" hidden="false" customHeight="true" outlineLevel="0" collapsed="false">
      <c r="A572" s="14"/>
      <c r="B572" s="7"/>
      <c r="C572" s="7"/>
      <c r="D572" s="7"/>
      <c r="E572" s="7"/>
      <c r="F572" s="7"/>
      <c r="G572" s="9"/>
      <c r="H572" s="9"/>
      <c r="I572" s="9"/>
      <c r="J572" s="7"/>
      <c r="K572" s="7"/>
    </row>
    <row r="573" customFormat="false" ht="15" hidden="false" customHeight="true" outlineLevel="0" collapsed="false">
      <c r="A573" s="14"/>
      <c r="B573" s="7"/>
      <c r="C573" s="7"/>
      <c r="D573" s="7"/>
      <c r="E573" s="7"/>
      <c r="F573" s="7"/>
      <c r="G573" s="9"/>
      <c r="H573" s="9"/>
      <c r="I573" s="9"/>
      <c r="J573" s="7"/>
      <c r="K573" s="7"/>
    </row>
    <row r="574" customFormat="false" ht="15" hidden="false" customHeight="true" outlineLevel="0" collapsed="false">
      <c r="A574" s="14"/>
      <c r="B574" s="7"/>
      <c r="C574" s="7"/>
      <c r="D574" s="7"/>
      <c r="E574" s="7"/>
      <c r="F574" s="7"/>
      <c r="G574" s="9"/>
      <c r="H574" s="9"/>
      <c r="I574" s="9"/>
      <c r="J574" s="7"/>
      <c r="K574" s="7"/>
    </row>
    <row r="575" customFormat="false" ht="15" hidden="false" customHeight="true" outlineLevel="0" collapsed="false">
      <c r="A575" s="14"/>
      <c r="B575" s="7"/>
      <c r="C575" s="7"/>
      <c r="D575" s="7"/>
      <c r="E575" s="7"/>
      <c r="F575" s="7"/>
      <c r="G575" s="9"/>
      <c r="H575" s="9"/>
      <c r="I575" s="9"/>
      <c r="J575" s="7"/>
      <c r="K575" s="7"/>
    </row>
    <row r="576" customFormat="false" ht="15" hidden="false" customHeight="true" outlineLevel="0" collapsed="false">
      <c r="A576" s="14"/>
      <c r="B576" s="7"/>
      <c r="C576" s="7"/>
      <c r="D576" s="7"/>
      <c r="E576" s="7"/>
      <c r="F576" s="7"/>
      <c r="G576" s="9"/>
      <c r="H576" s="9"/>
      <c r="I576" s="9"/>
      <c r="J576" s="7"/>
      <c r="K576" s="7"/>
    </row>
    <row r="577" customFormat="false" ht="15" hidden="false" customHeight="true" outlineLevel="0" collapsed="false">
      <c r="A577" s="14"/>
      <c r="B577" s="7"/>
      <c r="C577" s="7"/>
      <c r="D577" s="7"/>
      <c r="E577" s="7"/>
      <c r="F577" s="7"/>
      <c r="G577" s="9"/>
      <c r="H577" s="9"/>
      <c r="I577" s="9"/>
      <c r="J577" s="7"/>
      <c r="K577" s="7"/>
    </row>
    <row r="578" customFormat="false" ht="15" hidden="false" customHeight="true" outlineLevel="0" collapsed="false">
      <c r="A578" s="14"/>
      <c r="B578" s="7"/>
      <c r="C578" s="7"/>
      <c r="D578" s="7"/>
      <c r="E578" s="7"/>
      <c r="F578" s="7"/>
      <c r="G578" s="9"/>
      <c r="H578" s="9"/>
      <c r="I578" s="9"/>
      <c r="J578" s="7"/>
      <c r="K578" s="7"/>
    </row>
    <row r="579" customFormat="false" ht="15" hidden="false" customHeight="true" outlineLevel="0" collapsed="false">
      <c r="A579" s="14"/>
      <c r="B579" s="7"/>
      <c r="C579" s="7"/>
      <c r="D579" s="7"/>
      <c r="E579" s="7"/>
      <c r="F579" s="7"/>
      <c r="G579" s="9"/>
      <c r="H579" s="9"/>
      <c r="I579" s="9"/>
      <c r="J579" s="7"/>
      <c r="K579" s="7"/>
    </row>
    <row r="580" customFormat="false" ht="15" hidden="false" customHeight="true" outlineLevel="0" collapsed="false">
      <c r="A580" s="14"/>
      <c r="B580" s="7"/>
      <c r="C580" s="7"/>
      <c r="D580" s="7"/>
      <c r="E580" s="7"/>
      <c r="F580" s="7"/>
      <c r="G580" s="9"/>
      <c r="H580" s="9"/>
      <c r="I580" s="9"/>
      <c r="J580" s="7"/>
      <c r="K580" s="7"/>
    </row>
    <row r="581" customFormat="false" ht="15" hidden="false" customHeight="true" outlineLevel="0" collapsed="false">
      <c r="A581" s="14"/>
      <c r="B581" s="7"/>
      <c r="C581" s="7"/>
      <c r="D581" s="7"/>
      <c r="E581" s="7"/>
      <c r="F581" s="7"/>
      <c r="G581" s="9"/>
      <c r="H581" s="9"/>
      <c r="I581" s="9"/>
      <c r="J581" s="7"/>
      <c r="K581" s="7"/>
    </row>
    <row r="582" customFormat="false" ht="15" hidden="false" customHeight="true" outlineLevel="0" collapsed="false">
      <c r="A582" s="14"/>
      <c r="B582" s="7"/>
      <c r="C582" s="7"/>
      <c r="D582" s="7"/>
      <c r="E582" s="7"/>
      <c r="F582" s="7"/>
      <c r="G582" s="9"/>
      <c r="H582" s="9"/>
      <c r="I582" s="9"/>
      <c r="J582" s="7"/>
      <c r="K582" s="7"/>
    </row>
    <row r="583" customFormat="false" ht="15" hidden="false" customHeight="true" outlineLevel="0" collapsed="false">
      <c r="A583" s="14"/>
      <c r="B583" s="7"/>
      <c r="C583" s="7"/>
      <c r="D583" s="7"/>
      <c r="E583" s="7"/>
      <c r="F583" s="7"/>
      <c r="G583" s="9"/>
      <c r="H583" s="9"/>
      <c r="I583" s="9"/>
      <c r="J583" s="7"/>
      <c r="K583" s="7"/>
    </row>
    <row r="584" customFormat="false" ht="15" hidden="false" customHeight="true" outlineLevel="0" collapsed="false">
      <c r="A584" s="14"/>
      <c r="B584" s="7"/>
      <c r="C584" s="7"/>
      <c r="D584" s="7"/>
      <c r="E584" s="7"/>
      <c r="F584" s="7"/>
      <c r="G584" s="9"/>
      <c r="H584" s="9"/>
      <c r="I584" s="9"/>
      <c r="J584" s="7"/>
      <c r="K584" s="7"/>
    </row>
    <row r="585" customFormat="false" ht="15" hidden="false" customHeight="true" outlineLevel="0" collapsed="false">
      <c r="A585" s="14"/>
      <c r="B585" s="7"/>
      <c r="C585" s="7"/>
      <c r="D585" s="7"/>
      <c r="E585" s="7"/>
      <c r="F585" s="7"/>
      <c r="G585" s="9"/>
      <c r="H585" s="9"/>
      <c r="I585" s="9"/>
      <c r="J585" s="7"/>
      <c r="K585" s="7"/>
    </row>
    <row r="586" customFormat="false" ht="15" hidden="false" customHeight="true" outlineLevel="0" collapsed="false">
      <c r="A586" s="14"/>
      <c r="B586" s="7"/>
      <c r="C586" s="7"/>
      <c r="D586" s="7"/>
      <c r="E586" s="7"/>
      <c r="F586" s="7"/>
      <c r="G586" s="9"/>
      <c r="H586" s="9"/>
      <c r="I586" s="9"/>
      <c r="J586" s="7"/>
      <c r="K586" s="7"/>
    </row>
    <row r="587" customFormat="false" ht="15" hidden="false" customHeight="true" outlineLevel="0" collapsed="false">
      <c r="A587" s="14"/>
      <c r="B587" s="7"/>
      <c r="C587" s="7"/>
      <c r="D587" s="7"/>
      <c r="E587" s="7"/>
      <c r="F587" s="7"/>
      <c r="G587" s="9"/>
      <c r="H587" s="9"/>
      <c r="I587" s="9"/>
      <c r="J587" s="7"/>
      <c r="K587" s="7"/>
    </row>
    <row r="588" customFormat="false" ht="15" hidden="false" customHeight="true" outlineLevel="0" collapsed="false">
      <c r="A588" s="14"/>
      <c r="B588" s="7"/>
      <c r="C588" s="7"/>
      <c r="D588" s="7"/>
      <c r="E588" s="7"/>
      <c r="F588" s="7"/>
      <c r="G588" s="9"/>
      <c r="H588" s="9"/>
      <c r="I588" s="9"/>
      <c r="J588" s="7"/>
      <c r="K588" s="7"/>
    </row>
    <row r="589" customFormat="false" ht="15" hidden="false" customHeight="true" outlineLevel="0" collapsed="false">
      <c r="A589" s="14"/>
      <c r="B589" s="7"/>
      <c r="C589" s="7"/>
      <c r="D589" s="7"/>
      <c r="E589" s="7"/>
      <c r="F589" s="7"/>
      <c r="G589" s="9"/>
      <c r="H589" s="9"/>
      <c r="I589" s="9"/>
      <c r="J589" s="7"/>
      <c r="K589" s="7"/>
    </row>
    <row r="590" customFormat="false" ht="15" hidden="false" customHeight="true" outlineLevel="0" collapsed="false">
      <c r="A590" s="14"/>
      <c r="B590" s="7"/>
      <c r="C590" s="7"/>
      <c r="D590" s="7"/>
      <c r="E590" s="7"/>
      <c r="F590" s="7"/>
      <c r="G590" s="9"/>
      <c r="H590" s="9"/>
      <c r="I590" s="9"/>
      <c r="J590" s="7"/>
      <c r="K590" s="7"/>
    </row>
    <row r="591" customFormat="false" ht="15" hidden="false" customHeight="true" outlineLevel="0" collapsed="false">
      <c r="A591" s="14"/>
      <c r="B591" s="7"/>
      <c r="C591" s="7"/>
      <c r="D591" s="7"/>
      <c r="E591" s="7"/>
      <c r="F591" s="7"/>
      <c r="G591" s="9"/>
      <c r="H591" s="9"/>
      <c r="I591" s="9"/>
      <c r="J591" s="7"/>
      <c r="K591" s="7"/>
    </row>
    <row r="592" customFormat="false" ht="15" hidden="false" customHeight="true" outlineLevel="0" collapsed="false">
      <c r="A592" s="14"/>
      <c r="B592" s="7"/>
      <c r="C592" s="7"/>
      <c r="D592" s="7"/>
      <c r="E592" s="7"/>
      <c r="F592" s="7"/>
      <c r="G592" s="9"/>
      <c r="H592" s="9"/>
      <c r="I592" s="9"/>
      <c r="J592" s="7"/>
      <c r="K592" s="7"/>
    </row>
    <row r="593" customFormat="false" ht="15" hidden="false" customHeight="true" outlineLevel="0" collapsed="false">
      <c r="A593" s="14"/>
      <c r="B593" s="7"/>
      <c r="C593" s="7"/>
      <c r="D593" s="7"/>
      <c r="E593" s="7"/>
      <c r="F593" s="7"/>
      <c r="G593" s="9"/>
      <c r="H593" s="9"/>
      <c r="I593" s="9"/>
      <c r="J593" s="7"/>
      <c r="K593" s="7"/>
    </row>
    <row r="594" customFormat="false" ht="15" hidden="false" customHeight="true" outlineLevel="0" collapsed="false">
      <c r="A594" s="14"/>
      <c r="B594" s="7"/>
      <c r="C594" s="7"/>
      <c r="D594" s="7"/>
      <c r="E594" s="7"/>
      <c r="F594" s="7"/>
      <c r="G594" s="9"/>
      <c r="H594" s="9"/>
      <c r="I594" s="9"/>
      <c r="J594" s="7"/>
      <c r="K594" s="7"/>
    </row>
    <row r="595" customFormat="false" ht="15" hidden="false" customHeight="true" outlineLevel="0" collapsed="false">
      <c r="A595" s="14"/>
      <c r="B595" s="7"/>
      <c r="C595" s="7"/>
      <c r="D595" s="7"/>
      <c r="E595" s="7"/>
      <c r="F595" s="7"/>
      <c r="G595" s="9"/>
      <c r="H595" s="9"/>
      <c r="I595" s="9"/>
      <c r="J595" s="7"/>
      <c r="K595" s="7"/>
    </row>
    <row r="596" customFormat="false" ht="15" hidden="false" customHeight="true" outlineLevel="0" collapsed="false">
      <c r="A596" s="14"/>
      <c r="B596" s="7"/>
      <c r="C596" s="7"/>
      <c r="D596" s="7"/>
      <c r="E596" s="7"/>
      <c r="F596" s="7"/>
      <c r="G596" s="9"/>
      <c r="H596" s="9"/>
      <c r="I596" s="9"/>
      <c r="J596" s="7"/>
      <c r="K596" s="7"/>
    </row>
    <row r="597" customFormat="false" ht="15" hidden="false" customHeight="true" outlineLevel="0" collapsed="false">
      <c r="A597" s="14"/>
      <c r="B597" s="7"/>
      <c r="C597" s="7"/>
      <c r="D597" s="7"/>
      <c r="E597" s="7"/>
      <c r="F597" s="7"/>
      <c r="G597" s="9"/>
      <c r="H597" s="9"/>
      <c r="I597" s="9"/>
      <c r="J597" s="7"/>
      <c r="K597" s="7"/>
    </row>
    <row r="598" customFormat="false" ht="15" hidden="false" customHeight="true" outlineLevel="0" collapsed="false">
      <c r="A598" s="14"/>
      <c r="B598" s="7"/>
      <c r="C598" s="7"/>
      <c r="D598" s="7"/>
      <c r="E598" s="7"/>
      <c r="F598" s="7"/>
      <c r="G598" s="9"/>
      <c r="H598" s="9"/>
      <c r="I598" s="9"/>
      <c r="J598" s="7"/>
      <c r="K598" s="7"/>
    </row>
    <row r="599" customFormat="false" ht="15" hidden="false" customHeight="true" outlineLevel="0" collapsed="false">
      <c r="A599" s="14"/>
      <c r="B599" s="7"/>
      <c r="C599" s="7"/>
      <c r="D599" s="7"/>
      <c r="E599" s="7"/>
      <c r="F599" s="7"/>
      <c r="G599" s="9"/>
      <c r="H599" s="9"/>
      <c r="I599" s="9"/>
      <c r="J599" s="7"/>
      <c r="K599" s="7"/>
    </row>
    <row r="600" customFormat="false" ht="15" hidden="false" customHeight="true" outlineLevel="0" collapsed="false">
      <c r="A600" s="14"/>
      <c r="B600" s="7"/>
      <c r="C600" s="7"/>
      <c r="D600" s="7"/>
      <c r="E600" s="7"/>
      <c r="F600" s="7"/>
      <c r="G600" s="9"/>
      <c r="H600" s="9"/>
      <c r="I600" s="9"/>
      <c r="J600" s="7"/>
      <c r="K600" s="7"/>
    </row>
    <row r="601" customFormat="false" ht="15" hidden="false" customHeight="true" outlineLevel="0" collapsed="false">
      <c r="A601" s="14"/>
      <c r="B601" s="7"/>
      <c r="C601" s="7"/>
      <c r="D601" s="7"/>
      <c r="E601" s="7"/>
      <c r="F601" s="7"/>
      <c r="G601" s="9"/>
      <c r="H601" s="9"/>
      <c r="I601" s="9"/>
      <c r="J601" s="7"/>
      <c r="K601" s="7"/>
    </row>
    <row r="602" customFormat="false" ht="15" hidden="false" customHeight="true" outlineLevel="0" collapsed="false">
      <c r="A602" s="14"/>
      <c r="B602" s="7"/>
      <c r="C602" s="7"/>
      <c r="D602" s="7"/>
      <c r="E602" s="7"/>
      <c r="F602" s="7"/>
      <c r="G602" s="9"/>
      <c r="H602" s="9"/>
      <c r="I602" s="9"/>
      <c r="J602" s="7"/>
      <c r="K602" s="7"/>
    </row>
    <row r="603" customFormat="false" ht="15" hidden="false" customHeight="true" outlineLevel="0" collapsed="false">
      <c r="A603" s="14"/>
      <c r="B603" s="7"/>
      <c r="C603" s="7"/>
      <c r="D603" s="7"/>
      <c r="E603" s="7"/>
      <c r="F603" s="7"/>
      <c r="G603" s="9"/>
      <c r="H603" s="9"/>
      <c r="I603" s="9"/>
      <c r="J603" s="7"/>
      <c r="K603" s="7"/>
    </row>
    <row r="604" customFormat="false" ht="15" hidden="false" customHeight="true" outlineLevel="0" collapsed="false">
      <c r="A604" s="14"/>
      <c r="B604" s="7"/>
      <c r="C604" s="7"/>
      <c r="D604" s="7"/>
      <c r="E604" s="7"/>
      <c r="F604" s="7"/>
      <c r="G604" s="9"/>
      <c r="H604" s="9"/>
      <c r="I604" s="9"/>
      <c r="J604" s="7"/>
      <c r="K604" s="7"/>
    </row>
    <row r="605" customFormat="false" ht="15" hidden="false" customHeight="true" outlineLevel="0" collapsed="false">
      <c r="A605" s="14"/>
      <c r="B605" s="7"/>
      <c r="C605" s="7"/>
      <c r="D605" s="7"/>
      <c r="E605" s="7"/>
      <c r="F605" s="7"/>
      <c r="G605" s="9"/>
      <c r="H605" s="9"/>
      <c r="I605" s="9"/>
      <c r="J605" s="7"/>
      <c r="K605" s="7"/>
    </row>
    <row r="606" customFormat="false" ht="15" hidden="false" customHeight="true" outlineLevel="0" collapsed="false">
      <c r="A606" s="14"/>
      <c r="B606" s="7"/>
      <c r="C606" s="7"/>
      <c r="D606" s="7"/>
      <c r="E606" s="7"/>
      <c r="F606" s="7"/>
      <c r="G606" s="9"/>
      <c r="H606" s="9"/>
      <c r="I606" s="9"/>
      <c r="J606" s="7"/>
      <c r="K606" s="7"/>
    </row>
    <row r="607" customFormat="false" ht="15" hidden="false" customHeight="true" outlineLevel="0" collapsed="false">
      <c r="A607" s="14"/>
      <c r="B607" s="7"/>
      <c r="C607" s="7"/>
      <c r="D607" s="7"/>
      <c r="E607" s="7"/>
      <c r="F607" s="7"/>
      <c r="G607" s="9"/>
      <c r="H607" s="9"/>
      <c r="I607" s="9"/>
      <c r="J607" s="7"/>
      <c r="K607" s="7"/>
    </row>
    <row r="608" customFormat="false" ht="15" hidden="false" customHeight="true" outlineLevel="0" collapsed="false">
      <c r="A608" s="14"/>
      <c r="B608" s="7"/>
      <c r="C608" s="7"/>
      <c r="D608" s="7"/>
      <c r="E608" s="7"/>
      <c r="F608" s="7"/>
      <c r="G608" s="9"/>
      <c r="H608" s="9"/>
      <c r="I608" s="9"/>
      <c r="J608" s="7"/>
      <c r="K608" s="7"/>
    </row>
    <row r="609" customFormat="false" ht="15" hidden="false" customHeight="true" outlineLevel="0" collapsed="false">
      <c r="A609" s="14"/>
      <c r="B609" s="7"/>
      <c r="C609" s="7"/>
      <c r="D609" s="7"/>
      <c r="E609" s="7"/>
      <c r="F609" s="7"/>
      <c r="G609" s="9"/>
      <c r="H609" s="9"/>
      <c r="I609" s="9"/>
      <c r="J609" s="7"/>
      <c r="K609" s="7"/>
    </row>
    <row r="610" customFormat="false" ht="15" hidden="false" customHeight="true" outlineLevel="0" collapsed="false">
      <c r="A610" s="14"/>
      <c r="B610" s="7"/>
      <c r="C610" s="7"/>
      <c r="D610" s="7"/>
      <c r="E610" s="7"/>
      <c r="F610" s="7"/>
      <c r="G610" s="9"/>
      <c r="H610" s="9"/>
      <c r="I610" s="9"/>
      <c r="J610" s="7"/>
      <c r="K610" s="7"/>
    </row>
    <row r="611" customFormat="false" ht="15" hidden="false" customHeight="true" outlineLevel="0" collapsed="false">
      <c r="A611" s="14"/>
      <c r="B611" s="7"/>
      <c r="C611" s="7"/>
      <c r="D611" s="7"/>
      <c r="E611" s="7"/>
      <c r="F611" s="7"/>
      <c r="G611" s="9"/>
      <c r="H611" s="9"/>
      <c r="I611" s="9"/>
      <c r="J611" s="7"/>
      <c r="K611" s="7"/>
    </row>
    <row r="612" customFormat="false" ht="15" hidden="false" customHeight="true" outlineLevel="0" collapsed="false">
      <c r="A612" s="14"/>
      <c r="B612" s="7"/>
      <c r="C612" s="7"/>
      <c r="D612" s="7"/>
      <c r="E612" s="7"/>
      <c r="F612" s="7"/>
      <c r="G612" s="9"/>
      <c r="H612" s="9"/>
      <c r="I612" s="9"/>
      <c r="J612" s="7"/>
      <c r="K612" s="7"/>
    </row>
    <row r="613" customFormat="false" ht="15" hidden="false" customHeight="true" outlineLevel="0" collapsed="false">
      <c r="A613" s="14"/>
      <c r="B613" s="7"/>
      <c r="C613" s="7"/>
      <c r="D613" s="7"/>
      <c r="E613" s="7"/>
      <c r="F613" s="7"/>
      <c r="G613" s="9"/>
      <c r="H613" s="9"/>
      <c r="I613" s="9"/>
      <c r="J613" s="7"/>
      <c r="K613" s="7"/>
    </row>
    <row r="614" customFormat="false" ht="15" hidden="false" customHeight="true" outlineLevel="0" collapsed="false">
      <c r="A614" s="14"/>
      <c r="B614" s="7"/>
      <c r="C614" s="7"/>
      <c r="D614" s="7"/>
      <c r="E614" s="7"/>
      <c r="F614" s="7"/>
      <c r="G614" s="9"/>
      <c r="H614" s="9"/>
      <c r="I614" s="9"/>
      <c r="J614" s="7"/>
      <c r="K614" s="7"/>
    </row>
    <row r="615" customFormat="false" ht="15" hidden="false" customHeight="true" outlineLevel="0" collapsed="false">
      <c r="A615" s="14"/>
      <c r="B615" s="7"/>
      <c r="C615" s="7"/>
      <c r="D615" s="7"/>
      <c r="E615" s="7"/>
      <c r="F615" s="7"/>
      <c r="G615" s="9"/>
      <c r="H615" s="9"/>
      <c r="I615" s="9"/>
      <c r="J615" s="7"/>
      <c r="K615" s="7"/>
    </row>
    <row r="616" customFormat="false" ht="15" hidden="false" customHeight="true" outlineLevel="0" collapsed="false">
      <c r="A616" s="14"/>
      <c r="B616" s="7"/>
      <c r="C616" s="7"/>
      <c r="D616" s="7"/>
      <c r="E616" s="7"/>
      <c r="F616" s="7"/>
      <c r="G616" s="9"/>
      <c r="H616" s="9"/>
      <c r="I616" s="9"/>
      <c r="J616" s="7"/>
      <c r="K616" s="7"/>
    </row>
    <row r="617" customFormat="false" ht="15" hidden="false" customHeight="true" outlineLevel="0" collapsed="false">
      <c r="A617" s="14"/>
      <c r="B617" s="7"/>
      <c r="C617" s="7"/>
      <c r="D617" s="7"/>
      <c r="E617" s="7"/>
      <c r="F617" s="7"/>
      <c r="G617" s="9"/>
      <c r="H617" s="9"/>
      <c r="I617" s="9"/>
      <c r="J617" s="7"/>
      <c r="K617" s="7"/>
    </row>
    <row r="618" customFormat="false" ht="15" hidden="false" customHeight="true" outlineLevel="0" collapsed="false">
      <c r="A618" s="14"/>
      <c r="B618" s="7"/>
      <c r="C618" s="7"/>
      <c r="D618" s="7"/>
      <c r="E618" s="7"/>
      <c r="F618" s="7"/>
      <c r="G618" s="9"/>
      <c r="H618" s="9"/>
      <c r="I618" s="9"/>
      <c r="J618" s="7"/>
      <c r="K618" s="7"/>
    </row>
    <row r="619" customFormat="false" ht="15" hidden="false" customHeight="true" outlineLevel="0" collapsed="false">
      <c r="A619" s="14"/>
      <c r="B619" s="7"/>
      <c r="C619" s="7"/>
      <c r="D619" s="7"/>
      <c r="E619" s="7"/>
      <c r="F619" s="7"/>
      <c r="G619" s="9"/>
      <c r="H619" s="9"/>
      <c r="I619" s="9"/>
      <c r="J619" s="7"/>
      <c r="K619" s="7"/>
    </row>
    <row r="620" customFormat="false" ht="15" hidden="false" customHeight="true" outlineLevel="0" collapsed="false">
      <c r="A620" s="14"/>
      <c r="B620" s="7"/>
      <c r="C620" s="7"/>
      <c r="D620" s="7"/>
      <c r="E620" s="7"/>
      <c r="F620" s="7"/>
      <c r="G620" s="9"/>
      <c r="H620" s="9"/>
      <c r="I620" s="9"/>
      <c r="J620" s="7"/>
      <c r="K620" s="7"/>
    </row>
    <row r="621" customFormat="false" ht="15" hidden="false" customHeight="true" outlineLevel="0" collapsed="false">
      <c r="A621" s="14"/>
      <c r="B621" s="7"/>
      <c r="C621" s="7"/>
      <c r="D621" s="7"/>
      <c r="E621" s="7"/>
      <c r="F621" s="7"/>
      <c r="G621" s="9"/>
      <c r="H621" s="9"/>
      <c r="I621" s="9"/>
      <c r="J621" s="7"/>
      <c r="K621" s="7"/>
    </row>
    <row r="622" customFormat="false" ht="15" hidden="false" customHeight="true" outlineLevel="0" collapsed="false">
      <c r="A622" s="14"/>
      <c r="B622" s="7"/>
      <c r="C622" s="7"/>
      <c r="D622" s="7"/>
      <c r="E622" s="7"/>
      <c r="F622" s="7"/>
      <c r="G622" s="9"/>
      <c r="H622" s="9"/>
      <c r="I622" s="9"/>
      <c r="J622" s="7"/>
      <c r="K622" s="7"/>
    </row>
    <row r="623" customFormat="false" ht="15" hidden="false" customHeight="true" outlineLevel="0" collapsed="false">
      <c r="A623" s="14"/>
      <c r="B623" s="7"/>
      <c r="C623" s="7"/>
      <c r="D623" s="7"/>
      <c r="E623" s="7"/>
      <c r="F623" s="7"/>
      <c r="G623" s="9"/>
      <c r="H623" s="9"/>
      <c r="I623" s="9"/>
      <c r="J623" s="7"/>
      <c r="K623" s="7"/>
    </row>
    <row r="624" customFormat="false" ht="15" hidden="false" customHeight="true" outlineLevel="0" collapsed="false">
      <c r="A624" s="14"/>
      <c r="B624" s="7"/>
      <c r="C624" s="7"/>
      <c r="D624" s="7"/>
      <c r="E624" s="7"/>
      <c r="F624" s="7"/>
      <c r="G624" s="9"/>
      <c r="H624" s="9"/>
      <c r="I624" s="9"/>
      <c r="J624" s="7"/>
      <c r="K624" s="7"/>
    </row>
    <row r="625" customFormat="false" ht="15" hidden="false" customHeight="true" outlineLevel="0" collapsed="false">
      <c r="A625" s="14"/>
      <c r="B625" s="7"/>
      <c r="C625" s="7"/>
      <c r="D625" s="7"/>
      <c r="E625" s="7"/>
      <c r="F625" s="7"/>
      <c r="G625" s="9"/>
      <c r="H625" s="9"/>
      <c r="I625" s="9"/>
      <c r="J625" s="7"/>
      <c r="K625" s="7"/>
    </row>
    <row r="626" customFormat="false" ht="15" hidden="false" customHeight="true" outlineLevel="0" collapsed="false">
      <c r="A626" s="14"/>
      <c r="B626" s="7"/>
      <c r="C626" s="7"/>
      <c r="D626" s="7"/>
      <c r="E626" s="7"/>
      <c r="F626" s="7"/>
      <c r="G626" s="9"/>
      <c r="H626" s="9"/>
      <c r="I626" s="9"/>
      <c r="J626" s="7"/>
      <c r="K626" s="7"/>
    </row>
    <row r="627" customFormat="false" ht="15" hidden="false" customHeight="true" outlineLevel="0" collapsed="false">
      <c r="A627" s="14"/>
      <c r="B627" s="7"/>
      <c r="C627" s="7"/>
      <c r="D627" s="7"/>
      <c r="E627" s="7"/>
      <c r="F627" s="7"/>
      <c r="G627" s="9"/>
      <c r="H627" s="9"/>
      <c r="I627" s="9"/>
      <c r="J627" s="7"/>
      <c r="K627" s="7"/>
    </row>
    <row r="628" customFormat="false" ht="15" hidden="false" customHeight="true" outlineLevel="0" collapsed="false">
      <c r="A628" s="14"/>
      <c r="B628" s="7"/>
      <c r="C628" s="7"/>
      <c r="D628" s="7"/>
      <c r="E628" s="7"/>
      <c r="F628" s="7"/>
      <c r="G628" s="9"/>
      <c r="H628" s="9"/>
      <c r="I628" s="9"/>
      <c r="J628" s="7"/>
      <c r="K628" s="7"/>
    </row>
    <row r="629" customFormat="false" ht="15" hidden="false" customHeight="true" outlineLevel="0" collapsed="false">
      <c r="A629" s="14"/>
      <c r="B629" s="7"/>
      <c r="C629" s="7"/>
      <c r="D629" s="7"/>
      <c r="E629" s="7"/>
      <c r="F629" s="7"/>
      <c r="G629" s="9"/>
      <c r="H629" s="9"/>
      <c r="I629" s="9"/>
      <c r="J629" s="7"/>
      <c r="K629" s="7"/>
    </row>
    <row r="630" customFormat="false" ht="15" hidden="false" customHeight="true" outlineLevel="0" collapsed="false">
      <c r="A630" s="14"/>
      <c r="B630" s="7"/>
      <c r="C630" s="7"/>
      <c r="D630" s="7"/>
      <c r="E630" s="7"/>
      <c r="F630" s="7"/>
      <c r="G630" s="9"/>
      <c r="H630" s="9"/>
      <c r="I630" s="9"/>
      <c r="J630" s="7"/>
      <c r="K630" s="7"/>
    </row>
    <row r="631" customFormat="false" ht="15" hidden="false" customHeight="true" outlineLevel="0" collapsed="false">
      <c r="A631" s="14"/>
      <c r="B631" s="7"/>
      <c r="C631" s="7"/>
      <c r="D631" s="7"/>
      <c r="E631" s="7"/>
      <c r="F631" s="7"/>
      <c r="G631" s="9"/>
      <c r="H631" s="9"/>
      <c r="I631" s="9"/>
      <c r="J631" s="7"/>
      <c r="K631" s="7"/>
    </row>
    <row r="632" customFormat="false" ht="15" hidden="false" customHeight="true" outlineLevel="0" collapsed="false">
      <c r="A632" s="14"/>
      <c r="B632" s="7"/>
      <c r="C632" s="7"/>
      <c r="D632" s="7"/>
      <c r="E632" s="7"/>
      <c r="F632" s="7"/>
      <c r="G632" s="9"/>
      <c r="H632" s="9"/>
      <c r="I632" s="9"/>
      <c r="J632" s="7"/>
      <c r="K632" s="7"/>
    </row>
    <row r="633" customFormat="false" ht="15" hidden="false" customHeight="true" outlineLevel="0" collapsed="false">
      <c r="A633" s="14"/>
      <c r="B633" s="7"/>
      <c r="C633" s="7"/>
      <c r="D633" s="7"/>
      <c r="E633" s="7"/>
      <c r="F633" s="7"/>
      <c r="G633" s="9"/>
      <c r="H633" s="9"/>
      <c r="I633" s="9"/>
      <c r="J633" s="7"/>
      <c r="K633" s="7"/>
    </row>
    <row r="634" customFormat="false" ht="15" hidden="false" customHeight="true" outlineLevel="0" collapsed="false">
      <c r="A634" s="14"/>
      <c r="B634" s="7"/>
      <c r="C634" s="7"/>
      <c r="D634" s="7"/>
      <c r="E634" s="7"/>
      <c r="F634" s="7"/>
      <c r="G634" s="9"/>
      <c r="H634" s="9"/>
      <c r="I634" s="9"/>
      <c r="J634" s="7"/>
      <c r="K634" s="7"/>
    </row>
    <row r="635" customFormat="false" ht="15" hidden="false" customHeight="true" outlineLevel="0" collapsed="false">
      <c r="A635" s="14"/>
      <c r="B635" s="7"/>
      <c r="C635" s="7"/>
      <c r="D635" s="7"/>
      <c r="E635" s="7"/>
      <c r="F635" s="7"/>
      <c r="G635" s="9"/>
      <c r="H635" s="9"/>
      <c r="I635" s="9"/>
      <c r="J635" s="7"/>
      <c r="K635" s="7"/>
    </row>
    <row r="636" customFormat="false" ht="15" hidden="false" customHeight="true" outlineLevel="0" collapsed="false">
      <c r="A636" s="14"/>
      <c r="B636" s="7"/>
      <c r="C636" s="7"/>
      <c r="D636" s="7"/>
      <c r="E636" s="7"/>
      <c r="F636" s="7"/>
      <c r="G636" s="9"/>
      <c r="H636" s="9"/>
      <c r="I636" s="9"/>
      <c r="J636" s="7"/>
      <c r="K636" s="7"/>
    </row>
    <row r="637" customFormat="false" ht="15" hidden="false" customHeight="true" outlineLevel="0" collapsed="false">
      <c r="A637" s="14"/>
      <c r="B637" s="7"/>
      <c r="C637" s="7"/>
      <c r="D637" s="7"/>
      <c r="E637" s="7"/>
      <c r="F637" s="7"/>
      <c r="G637" s="9"/>
      <c r="H637" s="9"/>
      <c r="I637" s="9"/>
      <c r="J637" s="7"/>
      <c r="K637" s="7"/>
    </row>
    <row r="638" customFormat="false" ht="15" hidden="false" customHeight="true" outlineLevel="0" collapsed="false">
      <c r="A638" s="14"/>
      <c r="B638" s="7"/>
      <c r="C638" s="7"/>
      <c r="D638" s="7"/>
      <c r="E638" s="7"/>
      <c r="F638" s="7"/>
      <c r="G638" s="9"/>
      <c r="H638" s="9"/>
      <c r="I638" s="9"/>
      <c r="J638" s="7"/>
      <c r="K638" s="7"/>
    </row>
    <row r="639" customFormat="false" ht="15" hidden="false" customHeight="true" outlineLevel="0" collapsed="false">
      <c r="A639" s="14"/>
      <c r="B639" s="7"/>
      <c r="C639" s="7"/>
      <c r="D639" s="7"/>
      <c r="E639" s="7"/>
      <c r="F639" s="7"/>
      <c r="G639" s="9"/>
      <c r="H639" s="9"/>
      <c r="I639" s="9"/>
      <c r="J639" s="7"/>
      <c r="K639" s="7"/>
    </row>
    <row r="640" customFormat="false" ht="15" hidden="false" customHeight="true" outlineLevel="0" collapsed="false">
      <c r="A640" s="14"/>
      <c r="B640" s="7"/>
      <c r="C640" s="7"/>
      <c r="D640" s="7"/>
      <c r="E640" s="7"/>
      <c r="F640" s="7"/>
      <c r="G640" s="9"/>
      <c r="H640" s="9"/>
      <c r="I640" s="9"/>
      <c r="J640" s="7"/>
      <c r="K640" s="7"/>
    </row>
    <row r="641" customFormat="false" ht="15" hidden="false" customHeight="true" outlineLevel="0" collapsed="false">
      <c r="A641" s="14"/>
      <c r="B641" s="7"/>
      <c r="C641" s="7"/>
      <c r="D641" s="7"/>
      <c r="E641" s="7"/>
      <c r="F641" s="7"/>
      <c r="G641" s="9"/>
      <c r="H641" s="9"/>
      <c r="I641" s="9"/>
      <c r="J641" s="7"/>
      <c r="K641" s="7"/>
    </row>
    <row r="642" customFormat="false" ht="15" hidden="false" customHeight="true" outlineLevel="0" collapsed="false">
      <c r="A642" s="14"/>
      <c r="B642" s="7"/>
      <c r="C642" s="7"/>
      <c r="D642" s="7"/>
      <c r="E642" s="7"/>
      <c r="F642" s="7"/>
      <c r="G642" s="9"/>
      <c r="H642" s="9"/>
      <c r="I642" s="9"/>
      <c r="J642" s="7"/>
      <c r="K642" s="7"/>
    </row>
    <row r="643" customFormat="false" ht="15" hidden="false" customHeight="true" outlineLevel="0" collapsed="false">
      <c r="A643" s="14"/>
      <c r="B643" s="7"/>
      <c r="C643" s="7"/>
      <c r="D643" s="7"/>
      <c r="E643" s="7"/>
      <c r="F643" s="7"/>
      <c r="G643" s="9"/>
      <c r="H643" s="9"/>
      <c r="I643" s="9"/>
      <c r="J643" s="7"/>
      <c r="K643" s="7"/>
    </row>
    <row r="644" customFormat="false" ht="15" hidden="false" customHeight="true" outlineLevel="0" collapsed="false">
      <c r="A644" s="14"/>
      <c r="B644" s="7"/>
      <c r="C644" s="7"/>
      <c r="D644" s="7"/>
      <c r="E644" s="7"/>
      <c r="F644" s="7"/>
      <c r="G644" s="9"/>
      <c r="H644" s="9"/>
      <c r="I644" s="9"/>
      <c r="J644" s="7"/>
      <c r="K644" s="7"/>
    </row>
    <row r="645" customFormat="false" ht="15" hidden="false" customHeight="true" outlineLevel="0" collapsed="false">
      <c r="A645" s="14"/>
      <c r="B645" s="7"/>
      <c r="C645" s="7"/>
      <c r="D645" s="7"/>
      <c r="E645" s="7"/>
      <c r="F645" s="7"/>
      <c r="G645" s="9"/>
      <c r="H645" s="9"/>
      <c r="I645" s="9"/>
      <c r="J645" s="7"/>
      <c r="K645" s="7"/>
    </row>
    <row r="646" customFormat="false" ht="15" hidden="false" customHeight="true" outlineLevel="0" collapsed="false">
      <c r="A646" s="14"/>
      <c r="B646" s="7"/>
      <c r="C646" s="7"/>
      <c r="D646" s="7"/>
      <c r="E646" s="7"/>
      <c r="F646" s="7"/>
      <c r="G646" s="9"/>
      <c r="H646" s="9"/>
      <c r="I646" s="9"/>
      <c r="J646" s="7"/>
      <c r="K646" s="7"/>
    </row>
    <row r="647" customFormat="false" ht="15" hidden="false" customHeight="true" outlineLevel="0" collapsed="false">
      <c r="A647" s="14"/>
      <c r="B647" s="7"/>
      <c r="C647" s="7"/>
      <c r="D647" s="7"/>
      <c r="E647" s="7"/>
      <c r="F647" s="7"/>
      <c r="G647" s="9"/>
      <c r="H647" s="9"/>
      <c r="I647" s="9"/>
      <c r="J647" s="7"/>
      <c r="K647" s="7"/>
    </row>
    <row r="648" customFormat="false" ht="15" hidden="false" customHeight="true" outlineLevel="0" collapsed="false">
      <c r="A648" s="14"/>
      <c r="B648" s="7"/>
      <c r="C648" s="7"/>
      <c r="D648" s="7"/>
      <c r="E648" s="7"/>
      <c r="F648" s="7"/>
      <c r="G648" s="9"/>
      <c r="H648" s="9"/>
      <c r="I648" s="9"/>
      <c r="J648" s="7"/>
      <c r="K648" s="7"/>
    </row>
    <row r="649" customFormat="false" ht="15" hidden="false" customHeight="true" outlineLevel="0" collapsed="false">
      <c r="A649" s="14"/>
      <c r="B649" s="7"/>
      <c r="C649" s="7"/>
      <c r="D649" s="7"/>
      <c r="E649" s="7"/>
      <c r="F649" s="7"/>
      <c r="G649" s="9"/>
      <c r="H649" s="9"/>
      <c r="I649" s="9"/>
      <c r="J649" s="7"/>
      <c r="K649" s="7"/>
    </row>
    <row r="650" customFormat="false" ht="15" hidden="false" customHeight="true" outlineLevel="0" collapsed="false">
      <c r="A650" s="14"/>
      <c r="B650" s="7"/>
      <c r="C650" s="7"/>
      <c r="D650" s="7"/>
      <c r="E650" s="7"/>
      <c r="F650" s="7"/>
      <c r="G650" s="9"/>
      <c r="H650" s="9"/>
      <c r="I650" s="9"/>
      <c r="J650" s="7"/>
      <c r="K650" s="7"/>
    </row>
    <row r="651" customFormat="false" ht="15" hidden="false" customHeight="true" outlineLevel="0" collapsed="false">
      <c r="A651" s="14"/>
      <c r="B651" s="7"/>
      <c r="C651" s="7"/>
      <c r="D651" s="7"/>
      <c r="E651" s="7"/>
      <c r="F651" s="7"/>
      <c r="G651" s="9"/>
      <c r="H651" s="9"/>
      <c r="I651" s="9"/>
      <c r="J651" s="7"/>
      <c r="K651" s="7"/>
    </row>
    <row r="652" customFormat="false" ht="15" hidden="false" customHeight="true" outlineLevel="0" collapsed="false">
      <c r="A652" s="14"/>
      <c r="B652" s="7"/>
      <c r="C652" s="7"/>
      <c r="D652" s="7"/>
      <c r="E652" s="7"/>
      <c r="F652" s="7"/>
      <c r="G652" s="9"/>
      <c r="H652" s="9"/>
      <c r="I652" s="9"/>
      <c r="J652" s="7"/>
      <c r="K652" s="7"/>
    </row>
    <row r="653" customFormat="false" ht="15" hidden="false" customHeight="true" outlineLevel="0" collapsed="false">
      <c r="A653" s="14"/>
      <c r="B653" s="7"/>
      <c r="C653" s="7"/>
      <c r="D653" s="7"/>
      <c r="E653" s="7"/>
      <c r="F653" s="7"/>
      <c r="G653" s="9"/>
      <c r="H653" s="9"/>
      <c r="I653" s="9"/>
      <c r="J653" s="7"/>
      <c r="K653" s="7"/>
    </row>
    <row r="654" customFormat="false" ht="15" hidden="false" customHeight="true" outlineLevel="0" collapsed="false">
      <c r="A654" s="14"/>
      <c r="B654" s="7"/>
      <c r="C654" s="7"/>
      <c r="D654" s="7"/>
      <c r="E654" s="7"/>
      <c r="F654" s="7"/>
      <c r="G654" s="9"/>
      <c r="H654" s="9"/>
      <c r="I654" s="9"/>
      <c r="J654" s="7"/>
      <c r="K654" s="7"/>
    </row>
    <row r="655" customFormat="false" ht="15" hidden="false" customHeight="true" outlineLevel="0" collapsed="false">
      <c r="A655" s="14"/>
      <c r="B655" s="7"/>
      <c r="C655" s="7"/>
      <c r="D655" s="7"/>
      <c r="E655" s="7"/>
      <c r="F655" s="7"/>
      <c r="G655" s="9"/>
      <c r="H655" s="9"/>
      <c r="I655" s="9"/>
      <c r="J655" s="7"/>
      <c r="K655" s="7"/>
    </row>
    <row r="656" customFormat="false" ht="15" hidden="false" customHeight="true" outlineLevel="0" collapsed="false">
      <c r="A656" s="14"/>
      <c r="B656" s="7"/>
      <c r="C656" s="7"/>
      <c r="D656" s="7"/>
      <c r="E656" s="7"/>
      <c r="F656" s="7"/>
      <c r="G656" s="9"/>
      <c r="H656" s="9"/>
      <c r="I656" s="9"/>
      <c r="J656" s="7"/>
      <c r="K656" s="7"/>
    </row>
    <row r="657" customFormat="false" ht="15" hidden="false" customHeight="true" outlineLevel="0" collapsed="false">
      <c r="A657" s="14"/>
      <c r="B657" s="7"/>
      <c r="C657" s="7"/>
      <c r="D657" s="7"/>
      <c r="E657" s="7"/>
      <c r="F657" s="7"/>
      <c r="G657" s="9"/>
      <c r="H657" s="9"/>
      <c r="I657" s="9"/>
      <c r="J657" s="7"/>
      <c r="K657" s="7"/>
    </row>
    <row r="658" customFormat="false" ht="15" hidden="false" customHeight="true" outlineLevel="0" collapsed="false">
      <c r="A658" s="14"/>
      <c r="B658" s="7"/>
      <c r="C658" s="7"/>
      <c r="D658" s="7"/>
      <c r="E658" s="7"/>
      <c r="F658" s="7"/>
      <c r="G658" s="9"/>
      <c r="H658" s="9"/>
      <c r="I658" s="9"/>
      <c r="J658" s="7"/>
      <c r="K658" s="7"/>
    </row>
    <row r="659" customFormat="false" ht="15" hidden="false" customHeight="true" outlineLevel="0" collapsed="false">
      <c r="A659" s="14"/>
      <c r="B659" s="7"/>
      <c r="C659" s="7"/>
      <c r="D659" s="7"/>
      <c r="E659" s="7"/>
      <c r="F659" s="7"/>
      <c r="G659" s="9"/>
      <c r="H659" s="9"/>
      <c r="I659" s="9"/>
      <c r="J659" s="7"/>
      <c r="K659" s="7"/>
    </row>
    <row r="660" customFormat="false" ht="15" hidden="false" customHeight="true" outlineLevel="0" collapsed="false">
      <c r="A660" s="14"/>
      <c r="B660" s="7"/>
      <c r="C660" s="7"/>
      <c r="D660" s="7"/>
      <c r="E660" s="7"/>
      <c r="F660" s="7"/>
      <c r="G660" s="9"/>
      <c r="H660" s="9"/>
      <c r="I660" s="9"/>
      <c r="J660" s="7"/>
      <c r="K660" s="7"/>
    </row>
    <row r="661" customFormat="false" ht="15" hidden="false" customHeight="true" outlineLevel="0" collapsed="false">
      <c r="A661" s="14"/>
      <c r="B661" s="7"/>
      <c r="C661" s="7"/>
      <c r="D661" s="7"/>
      <c r="E661" s="7"/>
      <c r="F661" s="7"/>
      <c r="G661" s="9"/>
      <c r="H661" s="9"/>
      <c r="I661" s="9"/>
      <c r="J661" s="7"/>
      <c r="K661" s="7"/>
    </row>
    <row r="662" customFormat="false" ht="15" hidden="false" customHeight="true" outlineLevel="0" collapsed="false">
      <c r="A662" s="14"/>
      <c r="B662" s="7"/>
      <c r="C662" s="7"/>
      <c r="D662" s="7"/>
      <c r="E662" s="7"/>
      <c r="F662" s="7"/>
      <c r="G662" s="9"/>
      <c r="H662" s="9"/>
      <c r="I662" s="9"/>
      <c r="J662" s="7"/>
      <c r="K662" s="7"/>
    </row>
    <row r="663" customFormat="false" ht="15" hidden="false" customHeight="true" outlineLevel="0" collapsed="false">
      <c r="A663" s="14"/>
      <c r="B663" s="7"/>
      <c r="C663" s="7"/>
      <c r="D663" s="7"/>
      <c r="E663" s="7"/>
      <c r="F663" s="7"/>
      <c r="G663" s="9"/>
      <c r="H663" s="9"/>
      <c r="I663" s="9"/>
      <c r="J663" s="7"/>
      <c r="K663" s="7"/>
    </row>
    <row r="664" customFormat="false" ht="15" hidden="false" customHeight="true" outlineLevel="0" collapsed="false">
      <c r="A664" s="14"/>
      <c r="B664" s="7"/>
      <c r="C664" s="7"/>
      <c r="D664" s="7"/>
      <c r="E664" s="7"/>
      <c r="F664" s="7"/>
      <c r="G664" s="9"/>
      <c r="H664" s="9"/>
      <c r="I664" s="9"/>
      <c r="J664" s="7"/>
      <c r="K664" s="7"/>
    </row>
    <row r="665" customFormat="false" ht="15" hidden="false" customHeight="true" outlineLevel="0" collapsed="false">
      <c r="A665" s="14"/>
      <c r="B665" s="7"/>
      <c r="C665" s="7"/>
      <c r="D665" s="7"/>
      <c r="E665" s="7"/>
      <c r="F665" s="7"/>
      <c r="G665" s="9"/>
      <c r="H665" s="9"/>
      <c r="I665" s="9"/>
      <c r="J665" s="7"/>
      <c r="K665" s="7"/>
    </row>
    <row r="666" customFormat="false" ht="15" hidden="false" customHeight="true" outlineLevel="0" collapsed="false">
      <c r="A666" s="14"/>
      <c r="B666" s="7"/>
      <c r="C666" s="7"/>
      <c r="D666" s="7"/>
      <c r="E666" s="7"/>
      <c r="F666" s="7"/>
      <c r="G666" s="9"/>
      <c r="H666" s="9"/>
      <c r="I666" s="9"/>
      <c r="J666" s="7"/>
      <c r="K666" s="7"/>
    </row>
    <row r="667" customFormat="false" ht="15" hidden="false" customHeight="true" outlineLevel="0" collapsed="false">
      <c r="A667" s="14"/>
      <c r="B667" s="7"/>
      <c r="C667" s="7"/>
      <c r="D667" s="7"/>
      <c r="E667" s="7"/>
      <c r="F667" s="7"/>
      <c r="G667" s="9"/>
      <c r="H667" s="9"/>
      <c r="I667" s="9"/>
      <c r="J667" s="7"/>
      <c r="K667" s="7"/>
    </row>
    <row r="668" customFormat="false" ht="15" hidden="false" customHeight="true" outlineLevel="0" collapsed="false">
      <c r="A668" s="14"/>
      <c r="B668" s="7"/>
      <c r="C668" s="7"/>
      <c r="D668" s="7"/>
      <c r="E668" s="7"/>
      <c r="F668" s="7"/>
      <c r="G668" s="9"/>
      <c r="H668" s="9"/>
      <c r="I668" s="9"/>
      <c r="J668" s="7"/>
      <c r="K668" s="7"/>
    </row>
    <row r="669" customFormat="false" ht="15" hidden="false" customHeight="true" outlineLevel="0" collapsed="false">
      <c r="A669" s="14"/>
      <c r="B669" s="7"/>
      <c r="C669" s="7"/>
      <c r="D669" s="7"/>
      <c r="E669" s="7"/>
      <c r="F669" s="7"/>
      <c r="G669" s="9"/>
      <c r="H669" s="9"/>
      <c r="I669" s="9"/>
      <c r="J669" s="7"/>
      <c r="K669" s="7"/>
    </row>
    <row r="670" customFormat="false" ht="15" hidden="false" customHeight="true" outlineLevel="0" collapsed="false">
      <c r="A670" s="14"/>
      <c r="B670" s="7"/>
      <c r="C670" s="7"/>
      <c r="D670" s="7"/>
      <c r="E670" s="7"/>
      <c r="F670" s="7"/>
      <c r="G670" s="9"/>
      <c r="H670" s="9"/>
      <c r="I670" s="9"/>
      <c r="J670" s="7"/>
      <c r="K670" s="7"/>
    </row>
    <row r="671" customFormat="false" ht="15" hidden="false" customHeight="true" outlineLevel="0" collapsed="false">
      <c r="A671" s="14"/>
      <c r="B671" s="7"/>
      <c r="C671" s="7"/>
      <c r="D671" s="7"/>
      <c r="E671" s="7"/>
      <c r="F671" s="7"/>
      <c r="G671" s="9"/>
      <c r="H671" s="9"/>
      <c r="I671" s="9"/>
      <c r="J671" s="7"/>
      <c r="K671" s="7"/>
    </row>
    <row r="672" customFormat="false" ht="15" hidden="false" customHeight="true" outlineLevel="0" collapsed="false">
      <c r="A672" s="14"/>
      <c r="B672" s="7"/>
      <c r="C672" s="7"/>
      <c r="D672" s="7"/>
      <c r="E672" s="7"/>
      <c r="F672" s="7"/>
      <c r="G672" s="9"/>
      <c r="H672" s="9"/>
      <c r="I672" s="9"/>
      <c r="J672" s="7"/>
      <c r="K672" s="7"/>
    </row>
    <row r="673" customFormat="false" ht="15" hidden="false" customHeight="true" outlineLevel="0" collapsed="false">
      <c r="A673" s="14"/>
      <c r="B673" s="7"/>
      <c r="C673" s="7"/>
      <c r="D673" s="7"/>
      <c r="E673" s="7"/>
      <c r="F673" s="7"/>
      <c r="G673" s="9"/>
      <c r="H673" s="9"/>
      <c r="I673" s="9"/>
      <c r="J673" s="7"/>
      <c r="K673" s="7"/>
    </row>
    <row r="674" customFormat="false" ht="15" hidden="false" customHeight="true" outlineLevel="0" collapsed="false">
      <c r="A674" s="14"/>
      <c r="B674" s="7"/>
      <c r="C674" s="7"/>
      <c r="D674" s="7"/>
      <c r="E674" s="7"/>
      <c r="F674" s="7"/>
      <c r="G674" s="9"/>
      <c r="H674" s="9"/>
      <c r="I674" s="9"/>
      <c r="J674" s="7"/>
      <c r="K674" s="7"/>
    </row>
    <row r="675" customFormat="false" ht="15" hidden="false" customHeight="true" outlineLevel="0" collapsed="false">
      <c r="A675" s="14"/>
      <c r="B675" s="7"/>
      <c r="C675" s="7"/>
      <c r="D675" s="7"/>
      <c r="E675" s="7"/>
      <c r="F675" s="7"/>
      <c r="G675" s="9"/>
      <c r="H675" s="9"/>
      <c r="I675" s="9"/>
      <c r="J675" s="7"/>
      <c r="K675" s="7"/>
    </row>
    <row r="676" customFormat="false" ht="15" hidden="false" customHeight="true" outlineLevel="0" collapsed="false">
      <c r="A676" s="14"/>
      <c r="B676" s="7"/>
      <c r="C676" s="7"/>
      <c r="D676" s="7"/>
      <c r="E676" s="7"/>
      <c r="F676" s="7"/>
      <c r="G676" s="9"/>
      <c r="H676" s="9"/>
      <c r="I676" s="9"/>
      <c r="J676" s="7"/>
      <c r="K676" s="7"/>
    </row>
    <row r="677" customFormat="false" ht="15" hidden="false" customHeight="true" outlineLevel="0" collapsed="false">
      <c r="A677" s="14"/>
      <c r="B677" s="7"/>
      <c r="C677" s="7"/>
      <c r="D677" s="7"/>
      <c r="E677" s="7"/>
      <c r="F677" s="7"/>
      <c r="G677" s="9"/>
      <c r="H677" s="9"/>
      <c r="I677" s="9"/>
      <c r="J677" s="7"/>
      <c r="K677" s="7"/>
    </row>
    <row r="678" customFormat="false" ht="15" hidden="false" customHeight="true" outlineLevel="0" collapsed="false">
      <c r="A678" s="14"/>
      <c r="B678" s="7"/>
      <c r="C678" s="7"/>
      <c r="D678" s="7"/>
      <c r="E678" s="7"/>
      <c r="F678" s="7"/>
      <c r="G678" s="9"/>
      <c r="H678" s="9"/>
      <c r="I678" s="9"/>
      <c r="J678" s="7"/>
      <c r="K678" s="7"/>
    </row>
    <row r="679" customFormat="false" ht="15" hidden="false" customHeight="true" outlineLevel="0" collapsed="false">
      <c r="A679" s="14"/>
      <c r="B679" s="7"/>
      <c r="C679" s="7"/>
      <c r="D679" s="7"/>
      <c r="E679" s="7"/>
      <c r="F679" s="7"/>
      <c r="G679" s="9"/>
      <c r="H679" s="9"/>
      <c r="I679" s="9"/>
      <c r="J679" s="7"/>
      <c r="K679" s="7"/>
    </row>
    <row r="680" customFormat="false" ht="15" hidden="false" customHeight="true" outlineLevel="0" collapsed="false">
      <c r="A680" s="14"/>
      <c r="B680" s="7"/>
      <c r="C680" s="7"/>
      <c r="D680" s="7"/>
      <c r="E680" s="7"/>
      <c r="F680" s="7"/>
      <c r="G680" s="9"/>
      <c r="H680" s="9"/>
      <c r="I680" s="9"/>
      <c r="J680" s="7"/>
      <c r="K680" s="7"/>
    </row>
    <row r="681" customFormat="false" ht="15" hidden="false" customHeight="true" outlineLevel="0" collapsed="false">
      <c r="A681" s="14"/>
      <c r="B681" s="7"/>
      <c r="C681" s="7"/>
      <c r="D681" s="7"/>
      <c r="E681" s="7"/>
      <c r="F681" s="7"/>
      <c r="G681" s="9"/>
      <c r="H681" s="9"/>
      <c r="I681" s="9"/>
      <c r="J681" s="7"/>
      <c r="K681" s="7"/>
    </row>
    <row r="682" customFormat="false" ht="15" hidden="false" customHeight="true" outlineLevel="0" collapsed="false">
      <c r="A682" s="14"/>
      <c r="B682" s="7"/>
      <c r="C682" s="7"/>
      <c r="D682" s="7"/>
      <c r="E682" s="7"/>
      <c r="F682" s="7"/>
      <c r="G682" s="9"/>
      <c r="H682" s="9"/>
      <c r="I682" s="9"/>
      <c r="J682" s="7"/>
      <c r="K682" s="7"/>
    </row>
    <row r="683" customFormat="false" ht="15" hidden="false" customHeight="true" outlineLevel="0" collapsed="false">
      <c r="A683" s="14"/>
      <c r="B683" s="7"/>
      <c r="C683" s="7"/>
      <c r="D683" s="7"/>
      <c r="E683" s="7"/>
      <c r="F683" s="7"/>
      <c r="G683" s="9"/>
      <c r="H683" s="9"/>
      <c r="I683" s="9"/>
      <c r="J683" s="7"/>
      <c r="K683" s="7"/>
    </row>
    <row r="684" customFormat="false" ht="15" hidden="false" customHeight="true" outlineLevel="0" collapsed="false">
      <c r="A684" s="14"/>
      <c r="B684" s="7"/>
      <c r="C684" s="7"/>
      <c r="D684" s="7"/>
      <c r="E684" s="7"/>
      <c r="F684" s="7"/>
      <c r="G684" s="9"/>
      <c r="H684" s="9"/>
      <c r="I684" s="9"/>
      <c r="J684" s="7"/>
      <c r="K684" s="7"/>
    </row>
    <row r="685" customFormat="false" ht="15" hidden="false" customHeight="true" outlineLevel="0" collapsed="false">
      <c r="A685" s="14"/>
      <c r="B685" s="7"/>
      <c r="C685" s="7"/>
      <c r="D685" s="7"/>
      <c r="E685" s="7"/>
      <c r="F685" s="7"/>
      <c r="G685" s="9"/>
      <c r="H685" s="9"/>
      <c r="I685" s="9"/>
      <c r="J685" s="7"/>
      <c r="K685" s="7"/>
    </row>
    <row r="686" customFormat="false" ht="15" hidden="false" customHeight="true" outlineLevel="0" collapsed="false">
      <c r="A686" s="14"/>
      <c r="B686" s="7"/>
      <c r="C686" s="7"/>
      <c r="D686" s="7"/>
      <c r="E686" s="7"/>
      <c r="F686" s="7"/>
      <c r="G686" s="9"/>
      <c r="H686" s="9"/>
      <c r="I686" s="9"/>
      <c r="J686" s="7"/>
      <c r="K686" s="7"/>
    </row>
    <row r="687" customFormat="false" ht="15" hidden="false" customHeight="true" outlineLevel="0" collapsed="false">
      <c r="A687" s="14"/>
      <c r="B687" s="7"/>
      <c r="C687" s="7"/>
      <c r="D687" s="7"/>
      <c r="E687" s="7"/>
      <c r="F687" s="7"/>
      <c r="G687" s="9"/>
      <c r="H687" s="9"/>
      <c r="I687" s="9"/>
      <c r="J687" s="7"/>
      <c r="K687" s="7"/>
    </row>
    <row r="688" customFormat="false" ht="15" hidden="false" customHeight="true" outlineLevel="0" collapsed="false">
      <c r="A688" s="14"/>
      <c r="B688" s="7"/>
      <c r="C688" s="7"/>
      <c r="D688" s="7"/>
      <c r="E688" s="7"/>
      <c r="F688" s="7"/>
      <c r="G688" s="9"/>
      <c r="H688" s="9"/>
      <c r="I688" s="9"/>
      <c r="J688" s="7"/>
      <c r="K688" s="7"/>
    </row>
    <row r="689" customFormat="false" ht="15" hidden="false" customHeight="true" outlineLevel="0" collapsed="false">
      <c r="A689" s="14"/>
      <c r="B689" s="7"/>
      <c r="C689" s="7"/>
      <c r="D689" s="7"/>
      <c r="E689" s="7"/>
      <c r="F689" s="7"/>
      <c r="G689" s="9"/>
      <c r="H689" s="9"/>
      <c r="I689" s="9"/>
      <c r="J689" s="7"/>
      <c r="K689" s="7"/>
    </row>
    <row r="690" customFormat="false" ht="15" hidden="false" customHeight="true" outlineLevel="0" collapsed="false">
      <c r="A690" s="14"/>
      <c r="B690" s="7"/>
      <c r="C690" s="7"/>
      <c r="D690" s="7"/>
      <c r="E690" s="7"/>
      <c r="F690" s="7"/>
      <c r="G690" s="9"/>
      <c r="H690" s="9"/>
      <c r="I690" s="9"/>
      <c r="J690" s="7"/>
      <c r="K690" s="7"/>
    </row>
    <row r="691" customFormat="false" ht="15" hidden="false" customHeight="true" outlineLevel="0" collapsed="false">
      <c r="A691" s="14"/>
      <c r="B691" s="7"/>
      <c r="C691" s="7"/>
      <c r="D691" s="7"/>
      <c r="E691" s="7"/>
      <c r="F691" s="7"/>
      <c r="G691" s="9"/>
      <c r="H691" s="9"/>
      <c r="I691" s="9"/>
      <c r="J691" s="7"/>
      <c r="K691" s="7"/>
    </row>
    <row r="692" customFormat="false" ht="15" hidden="false" customHeight="true" outlineLevel="0" collapsed="false">
      <c r="A692" s="14"/>
      <c r="B692" s="7"/>
      <c r="C692" s="7"/>
      <c r="D692" s="7"/>
      <c r="E692" s="7"/>
      <c r="F692" s="7"/>
      <c r="G692" s="9"/>
      <c r="H692" s="9"/>
      <c r="I692" s="9"/>
      <c r="J692" s="7"/>
      <c r="K692" s="7"/>
    </row>
    <row r="693" customFormat="false" ht="15" hidden="false" customHeight="true" outlineLevel="0" collapsed="false">
      <c r="A693" s="14"/>
      <c r="B693" s="7"/>
      <c r="C693" s="7"/>
      <c r="D693" s="7"/>
      <c r="E693" s="7"/>
      <c r="F693" s="7"/>
      <c r="G693" s="9"/>
      <c r="H693" s="9"/>
      <c r="I693" s="9"/>
      <c r="J693" s="7"/>
      <c r="K693" s="7"/>
    </row>
    <row r="694" customFormat="false" ht="15" hidden="false" customHeight="true" outlineLevel="0" collapsed="false">
      <c r="A694" s="14"/>
      <c r="B694" s="7"/>
      <c r="C694" s="7"/>
      <c r="D694" s="7"/>
      <c r="E694" s="7"/>
      <c r="F694" s="7"/>
      <c r="G694" s="9"/>
      <c r="H694" s="9"/>
      <c r="I694" s="9"/>
      <c r="J694" s="7"/>
      <c r="K694" s="7"/>
    </row>
    <row r="695" customFormat="false" ht="15" hidden="false" customHeight="true" outlineLevel="0" collapsed="false">
      <c r="A695" s="14"/>
      <c r="B695" s="7"/>
      <c r="C695" s="7"/>
      <c r="D695" s="7"/>
      <c r="E695" s="7"/>
      <c r="F695" s="7"/>
      <c r="G695" s="9"/>
      <c r="H695" s="9"/>
      <c r="I695" s="9"/>
      <c r="J695" s="7"/>
      <c r="K695" s="7"/>
    </row>
    <row r="696" customFormat="false" ht="15" hidden="false" customHeight="true" outlineLevel="0" collapsed="false">
      <c r="A696" s="14"/>
      <c r="B696" s="7"/>
      <c r="C696" s="7"/>
      <c r="D696" s="7"/>
      <c r="E696" s="7"/>
      <c r="F696" s="7"/>
      <c r="G696" s="9"/>
      <c r="H696" s="9"/>
      <c r="I696" s="9"/>
      <c r="J696" s="7"/>
      <c r="K696" s="7"/>
    </row>
    <row r="697" customFormat="false" ht="15" hidden="false" customHeight="true" outlineLevel="0" collapsed="false">
      <c r="A697" s="14"/>
      <c r="B697" s="7"/>
      <c r="C697" s="7"/>
      <c r="D697" s="7"/>
      <c r="E697" s="7"/>
      <c r="F697" s="7"/>
      <c r="G697" s="9"/>
      <c r="H697" s="9"/>
      <c r="I697" s="9"/>
      <c r="J697" s="7"/>
      <c r="K697" s="7"/>
    </row>
    <row r="698" customFormat="false" ht="15" hidden="false" customHeight="true" outlineLevel="0" collapsed="false">
      <c r="A698" s="14"/>
      <c r="B698" s="7"/>
      <c r="C698" s="7"/>
      <c r="D698" s="7"/>
      <c r="E698" s="7"/>
      <c r="F698" s="7"/>
      <c r="G698" s="9"/>
      <c r="H698" s="9"/>
      <c r="I698" s="9"/>
      <c r="J698" s="7"/>
      <c r="K698" s="7"/>
    </row>
    <row r="699" customFormat="false" ht="15" hidden="false" customHeight="true" outlineLevel="0" collapsed="false">
      <c r="A699" s="14"/>
      <c r="B699" s="7"/>
      <c r="C699" s="7"/>
      <c r="D699" s="7"/>
      <c r="E699" s="7"/>
      <c r="F699" s="7"/>
      <c r="G699" s="9"/>
      <c r="H699" s="9"/>
      <c r="I699" s="9"/>
      <c r="J699" s="7"/>
      <c r="K699" s="7"/>
    </row>
    <row r="700" customFormat="false" ht="15" hidden="false" customHeight="true" outlineLevel="0" collapsed="false">
      <c r="A700" s="14"/>
      <c r="B700" s="7"/>
      <c r="C700" s="7"/>
      <c r="D700" s="7"/>
      <c r="E700" s="7"/>
      <c r="F700" s="7"/>
      <c r="G700" s="9"/>
      <c r="H700" s="9"/>
      <c r="I700" s="9"/>
      <c r="J700" s="7"/>
      <c r="K700" s="7"/>
    </row>
    <row r="701" customFormat="false" ht="15" hidden="false" customHeight="true" outlineLevel="0" collapsed="false">
      <c r="A701" s="14"/>
      <c r="B701" s="7"/>
      <c r="C701" s="7"/>
      <c r="D701" s="7"/>
      <c r="E701" s="7"/>
      <c r="F701" s="7"/>
      <c r="G701" s="9"/>
      <c r="H701" s="9"/>
      <c r="I701" s="9"/>
      <c r="J701" s="7"/>
      <c r="K701" s="7"/>
    </row>
    <row r="702" customFormat="false" ht="15" hidden="false" customHeight="true" outlineLevel="0" collapsed="false">
      <c r="A702" s="14"/>
      <c r="B702" s="7"/>
      <c r="C702" s="7"/>
      <c r="D702" s="7"/>
      <c r="E702" s="7"/>
      <c r="F702" s="7"/>
      <c r="G702" s="9"/>
      <c r="H702" s="9"/>
      <c r="I702" s="9"/>
      <c r="J702" s="7"/>
      <c r="K702" s="7"/>
    </row>
    <row r="703" customFormat="false" ht="15" hidden="false" customHeight="true" outlineLevel="0" collapsed="false">
      <c r="A703" s="14"/>
      <c r="B703" s="7"/>
      <c r="C703" s="7"/>
      <c r="D703" s="7"/>
      <c r="E703" s="7"/>
      <c r="F703" s="7"/>
      <c r="G703" s="9"/>
      <c r="H703" s="9"/>
      <c r="I703" s="9"/>
      <c r="J703" s="7"/>
      <c r="K703" s="7"/>
    </row>
    <row r="704" customFormat="false" ht="15" hidden="false" customHeight="true" outlineLevel="0" collapsed="false">
      <c r="A704" s="14"/>
      <c r="B704" s="7"/>
      <c r="C704" s="7"/>
      <c r="D704" s="7"/>
      <c r="E704" s="7"/>
      <c r="F704" s="7"/>
      <c r="G704" s="9"/>
      <c r="H704" s="9"/>
      <c r="I704" s="9"/>
      <c r="J704" s="7"/>
      <c r="K704" s="7"/>
    </row>
    <row r="705" customFormat="false" ht="15" hidden="false" customHeight="true" outlineLevel="0" collapsed="false">
      <c r="A705" s="14"/>
      <c r="B705" s="7"/>
      <c r="C705" s="7"/>
      <c r="D705" s="7"/>
      <c r="E705" s="7"/>
      <c r="F705" s="7"/>
      <c r="G705" s="9"/>
      <c r="H705" s="9"/>
      <c r="I705" s="9"/>
      <c r="J705" s="7"/>
      <c r="K705" s="7"/>
    </row>
    <row r="706" customFormat="false" ht="15" hidden="false" customHeight="true" outlineLevel="0" collapsed="false">
      <c r="A706" s="14"/>
      <c r="B706" s="7"/>
      <c r="C706" s="7"/>
      <c r="D706" s="7"/>
      <c r="E706" s="7"/>
      <c r="F706" s="7"/>
      <c r="G706" s="9"/>
      <c r="H706" s="9"/>
      <c r="I706" s="9"/>
      <c r="J706" s="7"/>
      <c r="K706" s="7"/>
    </row>
    <row r="707" customFormat="false" ht="15" hidden="false" customHeight="true" outlineLevel="0" collapsed="false">
      <c r="A707" s="14"/>
      <c r="B707" s="7"/>
      <c r="C707" s="7"/>
      <c r="D707" s="7"/>
      <c r="E707" s="7"/>
      <c r="F707" s="7"/>
      <c r="G707" s="9"/>
      <c r="H707" s="9"/>
      <c r="I707" s="9"/>
      <c r="J707" s="7"/>
      <c r="K707" s="7"/>
    </row>
    <row r="708" customFormat="false" ht="15" hidden="false" customHeight="true" outlineLevel="0" collapsed="false">
      <c r="A708" s="14"/>
      <c r="B708" s="7"/>
      <c r="C708" s="7"/>
      <c r="D708" s="7"/>
      <c r="E708" s="7"/>
      <c r="F708" s="7"/>
      <c r="G708" s="9"/>
      <c r="H708" s="9"/>
      <c r="I708" s="9"/>
      <c r="J708" s="7"/>
      <c r="K708" s="7"/>
    </row>
    <row r="709" customFormat="false" ht="15" hidden="false" customHeight="true" outlineLevel="0" collapsed="false">
      <c r="A709" s="14"/>
      <c r="B709" s="7"/>
      <c r="C709" s="7"/>
      <c r="D709" s="7"/>
      <c r="E709" s="7"/>
      <c r="F709" s="7"/>
      <c r="G709" s="9"/>
      <c r="H709" s="9"/>
      <c r="I709" s="9"/>
      <c r="J709" s="7"/>
      <c r="K709" s="7"/>
    </row>
    <row r="710" customFormat="false" ht="15" hidden="false" customHeight="true" outlineLevel="0" collapsed="false">
      <c r="A710" s="14"/>
      <c r="B710" s="7"/>
      <c r="C710" s="7"/>
      <c r="D710" s="7"/>
      <c r="E710" s="7"/>
      <c r="F710" s="7"/>
      <c r="G710" s="9"/>
      <c r="H710" s="9"/>
      <c r="I710" s="9"/>
      <c r="J710" s="7"/>
      <c r="K710" s="7"/>
    </row>
    <row r="711" customFormat="false" ht="15" hidden="false" customHeight="true" outlineLevel="0" collapsed="false">
      <c r="A711" s="14"/>
      <c r="B711" s="7"/>
      <c r="C711" s="7"/>
      <c r="D711" s="7"/>
      <c r="E711" s="7"/>
      <c r="F711" s="7"/>
      <c r="G711" s="9"/>
      <c r="H711" s="9"/>
      <c r="I711" s="9"/>
      <c r="J711" s="7"/>
      <c r="K711" s="7"/>
    </row>
    <row r="712" customFormat="false" ht="15" hidden="false" customHeight="true" outlineLevel="0" collapsed="false">
      <c r="A712" s="14"/>
      <c r="B712" s="7"/>
      <c r="C712" s="7"/>
      <c r="D712" s="7"/>
      <c r="E712" s="7"/>
      <c r="F712" s="7"/>
      <c r="G712" s="9"/>
      <c r="H712" s="9"/>
      <c r="I712" s="9"/>
      <c r="J712" s="7"/>
      <c r="K712" s="7"/>
    </row>
    <row r="713" customFormat="false" ht="15" hidden="false" customHeight="true" outlineLevel="0" collapsed="false">
      <c r="A713" s="14"/>
      <c r="B713" s="7"/>
      <c r="C713" s="7"/>
      <c r="D713" s="7"/>
      <c r="E713" s="7"/>
      <c r="F713" s="7"/>
      <c r="G713" s="9"/>
      <c r="H713" s="9"/>
      <c r="I713" s="9"/>
      <c r="J713" s="7"/>
      <c r="K713" s="7"/>
    </row>
    <row r="714" customFormat="false" ht="15" hidden="false" customHeight="true" outlineLevel="0" collapsed="false">
      <c r="A714" s="14"/>
      <c r="B714" s="7"/>
      <c r="C714" s="7"/>
      <c r="D714" s="7"/>
      <c r="E714" s="7"/>
      <c r="F714" s="7"/>
      <c r="G714" s="9"/>
      <c r="H714" s="9"/>
      <c r="I714" s="9"/>
      <c r="J714" s="7"/>
      <c r="K714" s="7"/>
    </row>
    <row r="715" customFormat="false" ht="15" hidden="false" customHeight="true" outlineLevel="0" collapsed="false">
      <c r="A715" s="14"/>
      <c r="B715" s="7"/>
      <c r="C715" s="7"/>
      <c r="D715" s="7"/>
      <c r="E715" s="7"/>
      <c r="F715" s="7"/>
      <c r="G715" s="9"/>
      <c r="H715" s="9"/>
      <c r="I715" s="9"/>
      <c r="J715" s="7"/>
      <c r="K715" s="7"/>
    </row>
    <row r="716" customFormat="false" ht="15" hidden="false" customHeight="true" outlineLevel="0" collapsed="false">
      <c r="A716" s="14"/>
      <c r="B716" s="7"/>
      <c r="C716" s="7"/>
      <c r="D716" s="7"/>
      <c r="E716" s="7"/>
      <c r="F716" s="7"/>
      <c r="G716" s="9"/>
      <c r="H716" s="9"/>
      <c r="I716" s="9"/>
      <c r="J716" s="7"/>
      <c r="K716" s="7"/>
    </row>
    <row r="717" customFormat="false" ht="15" hidden="false" customHeight="true" outlineLevel="0" collapsed="false">
      <c r="A717" s="14"/>
      <c r="B717" s="7"/>
      <c r="C717" s="7"/>
      <c r="D717" s="7"/>
      <c r="E717" s="7"/>
      <c r="F717" s="7"/>
      <c r="G717" s="9"/>
      <c r="H717" s="9"/>
      <c r="I717" s="9"/>
      <c r="J717" s="7"/>
      <c r="K717" s="7"/>
    </row>
    <row r="718" customFormat="false" ht="15" hidden="false" customHeight="true" outlineLevel="0" collapsed="false">
      <c r="A718" s="14"/>
      <c r="B718" s="7"/>
      <c r="C718" s="7"/>
      <c r="D718" s="7"/>
      <c r="E718" s="7"/>
      <c r="F718" s="7"/>
      <c r="G718" s="9"/>
      <c r="H718" s="9"/>
      <c r="I718" s="9"/>
      <c r="J718" s="7"/>
      <c r="K718" s="7"/>
    </row>
    <row r="719" customFormat="false" ht="15" hidden="false" customHeight="true" outlineLevel="0" collapsed="false">
      <c r="A719" s="14"/>
      <c r="B719" s="7"/>
      <c r="C719" s="7"/>
      <c r="D719" s="7"/>
      <c r="E719" s="7"/>
      <c r="F719" s="7"/>
      <c r="G719" s="9"/>
      <c r="H719" s="9"/>
      <c r="I719" s="9"/>
      <c r="J719" s="7"/>
      <c r="K719" s="7"/>
    </row>
    <row r="720" customFormat="false" ht="15" hidden="false" customHeight="true" outlineLevel="0" collapsed="false">
      <c r="A720" s="14"/>
      <c r="B720" s="7"/>
      <c r="C720" s="7"/>
      <c r="D720" s="7"/>
      <c r="E720" s="7"/>
      <c r="F720" s="7"/>
      <c r="G720" s="9"/>
      <c r="H720" s="9"/>
      <c r="I720" s="9"/>
      <c r="J720" s="7"/>
      <c r="K720" s="7"/>
    </row>
    <row r="721" customFormat="false" ht="15" hidden="false" customHeight="true" outlineLevel="0" collapsed="false">
      <c r="A721" s="14"/>
      <c r="B721" s="7"/>
      <c r="C721" s="7"/>
      <c r="D721" s="7"/>
      <c r="E721" s="7"/>
      <c r="F721" s="7"/>
      <c r="G721" s="9"/>
      <c r="H721" s="9"/>
      <c r="I721" s="9"/>
      <c r="J721" s="7"/>
      <c r="K721" s="7"/>
    </row>
    <row r="722" customFormat="false" ht="15" hidden="false" customHeight="true" outlineLevel="0" collapsed="false">
      <c r="A722" s="14"/>
      <c r="B722" s="7"/>
      <c r="C722" s="7"/>
      <c r="D722" s="7"/>
      <c r="E722" s="7"/>
      <c r="F722" s="7"/>
      <c r="G722" s="9"/>
      <c r="H722" s="9"/>
      <c r="I722" s="9"/>
      <c r="J722" s="7"/>
      <c r="K722" s="7"/>
    </row>
    <row r="723" customFormat="false" ht="15" hidden="false" customHeight="true" outlineLevel="0" collapsed="false">
      <c r="A723" s="14"/>
      <c r="B723" s="7"/>
      <c r="C723" s="7"/>
      <c r="D723" s="7"/>
      <c r="E723" s="7"/>
      <c r="F723" s="7"/>
      <c r="G723" s="9"/>
      <c r="H723" s="9"/>
      <c r="I723" s="9"/>
      <c r="J723" s="7"/>
      <c r="K723" s="7"/>
    </row>
    <row r="724" customFormat="false" ht="15" hidden="false" customHeight="true" outlineLevel="0" collapsed="false">
      <c r="A724" s="14"/>
      <c r="B724" s="7"/>
      <c r="C724" s="7"/>
      <c r="D724" s="7"/>
      <c r="E724" s="7"/>
      <c r="F724" s="7"/>
      <c r="G724" s="9"/>
      <c r="H724" s="9"/>
      <c r="I724" s="9"/>
      <c r="J724" s="7"/>
      <c r="K724" s="7"/>
    </row>
    <row r="725" customFormat="false" ht="15" hidden="false" customHeight="true" outlineLevel="0" collapsed="false">
      <c r="A725" s="14"/>
      <c r="B725" s="7"/>
      <c r="C725" s="7"/>
      <c r="D725" s="7"/>
      <c r="E725" s="7"/>
      <c r="F725" s="7"/>
      <c r="G725" s="9"/>
      <c r="H725" s="9"/>
      <c r="I725" s="9"/>
      <c r="J725" s="7"/>
      <c r="K725" s="7"/>
    </row>
    <row r="726" customFormat="false" ht="15" hidden="false" customHeight="true" outlineLevel="0" collapsed="false">
      <c r="A726" s="14"/>
      <c r="B726" s="7"/>
      <c r="C726" s="7"/>
      <c r="D726" s="7"/>
      <c r="E726" s="7"/>
      <c r="F726" s="7"/>
      <c r="G726" s="9"/>
      <c r="H726" s="9"/>
      <c r="I726" s="9"/>
      <c r="J726" s="7"/>
      <c r="K726" s="7"/>
    </row>
    <row r="727" customFormat="false" ht="15" hidden="false" customHeight="true" outlineLevel="0" collapsed="false">
      <c r="A727" s="14"/>
      <c r="B727" s="7"/>
      <c r="C727" s="7"/>
      <c r="D727" s="7"/>
      <c r="E727" s="7"/>
      <c r="F727" s="7"/>
      <c r="G727" s="9"/>
      <c r="H727" s="9"/>
      <c r="I727" s="9"/>
      <c r="J727" s="7"/>
      <c r="K727" s="7"/>
    </row>
    <row r="728" customFormat="false" ht="15" hidden="false" customHeight="true" outlineLevel="0" collapsed="false">
      <c r="A728" s="14"/>
      <c r="B728" s="7"/>
      <c r="C728" s="7"/>
      <c r="D728" s="7"/>
      <c r="E728" s="7"/>
      <c r="F728" s="7"/>
      <c r="G728" s="9"/>
      <c r="H728" s="9"/>
      <c r="I728" s="9"/>
      <c r="J728" s="7"/>
      <c r="K728" s="7"/>
    </row>
    <row r="729" customFormat="false" ht="15" hidden="false" customHeight="true" outlineLevel="0" collapsed="false">
      <c r="A729" s="14"/>
      <c r="B729" s="7"/>
      <c r="C729" s="7"/>
      <c r="D729" s="7"/>
      <c r="E729" s="7"/>
      <c r="F729" s="7"/>
      <c r="G729" s="9"/>
      <c r="H729" s="9"/>
      <c r="I729" s="9"/>
      <c r="J729" s="7"/>
      <c r="K729" s="7"/>
    </row>
    <row r="730" customFormat="false" ht="15" hidden="false" customHeight="true" outlineLevel="0" collapsed="false">
      <c r="A730" s="14"/>
      <c r="B730" s="7"/>
      <c r="C730" s="7"/>
      <c r="D730" s="7"/>
      <c r="E730" s="7"/>
      <c r="F730" s="7"/>
      <c r="G730" s="9"/>
      <c r="H730" s="9"/>
      <c r="I730" s="9"/>
      <c r="J730" s="7"/>
      <c r="K730" s="7"/>
    </row>
    <row r="731" customFormat="false" ht="15" hidden="false" customHeight="true" outlineLevel="0" collapsed="false">
      <c r="A731" s="14"/>
      <c r="B731" s="7"/>
      <c r="C731" s="7"/>
      <c r="D731" s="7"/>
      <c r="E731" s="7"/>
      <c r="F731" s="7"/>
      <c r="G731" s="9"/>
      <c r="H731" s="9"/>
      <c r="I731" s="9"/>
      <c r="J731" s="7"/>
      <c r="K731" s="7"/>
    </row>
    <row r="732" customFormat="false" ht="15" hidden="false" customHeight="true" outlineLevel="0" collapsed="false">
      <c r="A732" s="14"/>
      <c r="B732" s="7"/>
      <c r="C732" s="7"/>
      <c r="D732" s="7"/>
      <c r="E732" s="7"/>
      <c r="F732" s="7"/>
      <c r="G732" s="9"/>
      <c r="H732" s="9"/>
      <c r="I732" s="9"/>
      <c r="J732" s="7"/>
      <c r="K732" s="7"/>
    </row>
    <row r="733" customFormat="false" ht="15" hidden="false" customHeight="true" outlineLevel="0" collapsed="false">
      <c r="A733" s="14"/>
      <c r="B733" s="7"/>
      <c r="C733" s="7"/>
      <c r="D733" s="7"/>
      <c r="E733" s="7"/>
      <c r="F733" s="7"/>
      <c r="G733" s="9"/>
      <c r="H733" s="9"/>
      <c r="I733" s="9"/>
      <c r="J733" s="7"/>
      <c r="K733" s="7"/>
    </row>
    <row r="734" customFormat="false" ht="15" hidden="false" customHeight="true" outlineLevel="0" collapsed="false">
      <c r="A734" s="14"/>
      <c r="B734" s="7"/>
      <c r="C734" s="7"/>
      <c r="D734" s="7"/>
      <c r="E734" s="7"/>
      <c r="F734" s="7"/>
      <c r="G734" s="9"/>
      <c r="H734" s="9"/>
      <c r="I734" s="9"/>
      <c r="J734" s="7"/>
      <c r="K734" s="7"/>
    </row>
    <row r="735" customFormat="false" ht="15" hidden="false" customHeight="true" outlineLevel="0" collapsed="false">
      <c r="A735" s="14"/>
      <c r="B735" s="7"/>
      <c r="C735" s="7"/>
      <c r="D735" s="7"/>
      <c r="E735" s="7"/>
      <c r="F735" s="7"/>
      <c r="G735" s="9"/>
      <c r="H735" s="9"/>
      <c r="I735" s="9"/>
      <c r="J735" s="7"/>
      <c r="K735" s="7"/>
    </row>
    <row r="736" customFormat="false" ht="15" hidden="false" customHeight="true" outlineLevel="0" collapsed="false">
      <c r="A736" s="14"/>
      <c r="B736" s="7"/>
      <c r="C736" s="7"/>
      <c r="D736" s="7"/>
      <c r="E736" s="7"/>
      <c r="F736" s="7"/>
      <c r="G736" s="9"/>
      <c r="H736" s="9"/>
      <c r="I736" s="9"/>
      <c r="J736" s="7"/>
      <c r="K736" s="7"/>
    </row>
    <row r="737" customFormat="false" ht="15" hidden="false" customHeight="true" outlineLevel="0" collapsed="false">
      <c r="A737" s="14"/>
      <c r="B737" s="7"/>
      <c r="C737" s="7"/>
      <c r="D737" s="7"/>
      <c r="E737" s="7"/>
      <c r="F737" s="7"/>
      <c r="G737" s="9"/>
      <c r="H737" s="9"/>
      <c r="I737" s="9"/>
      <c r="J737" s="7"/>
      <c r="K737" s="7"/>
    </row>
    <row r="738" customFormat="false" ht="15" hidden="false" customHeight="true" outlineLevel="0" collapsed="false">
      <c r="A738" s="14"/>
      <c r="B738" s="7"/>
      <c r="C738" s="7"/>
      <c r="D738" s="7"/>
      <c r="E738" s="7"/>
      <c r="F738" s="7"/>
      <c r="G738" s="9"/>
      <c r="H738" s="9"/>
      <c r="I738" s="9"/>
      <c r="J738" s="7"/>
      <c r="K738" s="7"/>
    </row>
    <row r="739" customFormat="false" ht="15" hidden="false" customHeight="true" outlineLevel="0" collapsed="false">
      <c r="A739" s="14"/>
      <c r="B739" s="7"/>
      <c r="C739" s="7"/>
      <c r="D739" s="7"/>
      <c r="E739" s="7"/>
      <c r="F739" s="7"/>
      <c r="G739" s="9"/>
      <c r="H739" s="9"/>
      <c r="I739" s="9"/>
      <c r="J739" s="7"/>
      <c r="K739" s="7"/>
    </row>
    <row r="740" customFormat="false" ht="15" hidden="false" customHeight="true" outlineLevel="0" collapsed="false">
      <c r="A740" s="14"/>
      <c r="B740" s="7"/>
      <c r="C740" s="7"/>
      <c r="D740" s="7"/>
      <c r="E740" s="7"/>
      <c r="F740" s="7"/>
      <c r="G740" s="9"/>
      <c r="H740" s="9"/>
      <c r="I740" s="9"/>
      <c r="J740" s="7"/>
      <c r="K740" s="7"/>
    </row>
    <row r="741" customFormat="false" ht="15" hidden="false" customHeight="true" outlineLevel="0" collapsed="false">
      <c r="A741" s="14"/>
      <c r="B741" s="7"/>
      <c r="C741" s="7"/>
      <c r="D741" s="7"/>
      <c r="E741" s="7"/>
      <c r="F741" s="7"/>
      <c r="G741" s="9"/>
      <c r="H741" s="9"/>
      <c r="I741" s="9"/>
      <c r="J741" s="7"/>
      <c r="K741" s="7"/>
    </row>
    <row r="742" customFormat="false" ht="15" hidden="false" customHeight="true" outlineLevel="0" collapsed="false">
      <c r="A742" s="14"/>
      <c r="B742" s="7"/>
      <c r="C742" s="7"/>
      <c r="D742" s="7"/>
      <c r="E742" s="7"/>
      <c r="F742" s="7"/>
      <c r="G742" s="9"/>
      <c r="H742" s="9"/>
      <c r="I742" s="9"/>
      <c r="J742" s="7"/>
      <c r="K742" s="7"/>
    </row>
    <row r="743" customFormat="false" ht="15" hidden="false" customHeight="true" outlineLevel="0" collapsed="false">
      <c r="A743" s="14"/>
      <c r="B743" s="7"/>
      <c r="C743" s="7"/>
      <c r="D743" s="7"/>
      <c r="E743" s="7"/>
      <c r="F743" s="7"/>
      <c r="G743" s="9"/>
      <c r="H743" s="9"/>
      <c r="I743" s="9"/>
      <c r="J743" s="7"/>
      <c r="K743" s="7"/>
    </row>
    <row r="744" customFormat="false" ht="15" hidden="false" customHeight="true" outlineLevel="0" collapsed="false">
      <c r="A744" s="14"/>
      <c r="B744" s="7"/>
      <c r="C744" s="7"/>
      <c r="D744" s="7"/>
      <c r="E744" s="7"/>
      <c r="F744" s="7"/>
      <c r="G744" s="9"/>
      <c r="H744" s="9"/>
      <c r="I744" s="9"/>
      <c r="J744" s="7"/>
      <c r="K744" s="7"/>
    </row>
    <row r="745" customFormat="false" ht="15" hidden="false" customHeight="true" outlineLevel="0" collapsed="false">
      <c r="A745" s="14"/>
      <c r="B745" s="7"/>
      <c r="C745" s="7"/>
      <c r="D745" s="7"/>
      <c r="E745" s="7"/>
      <c r="F745" s="7"/>
      <c r="G745" s="9"/>
      <c r="H745" s="9"/>
      <c r="I745" s="9"/>
      <c r="J745" s="7"/>
      <c r="K745" s="7"/>
    </row>
    <row r="746" customFormat="false" ht="15" hidden="false" customHeight="true" outlineLevel="0" collapsed="false">
      <c r="A746" s="14"/>
      <c r="B746" s="7"/>
      <c r="C746" s="7"/>
      <c r="D746" s="7"/>
      <c r="E746" s="7"/>
      <c r="F746" s="7"/>
      <c r="G746" s="9"/>
      <c r="H746" s="9"/>
      <c r="I746" s="9"/>
      <c r="J746" s="7"/>
      <c r="K746" s="7"/>
    </row>
    <row r="747" customFormat="false" ht="15" hidden="false" customHeight="true" outlineLevel="0" collapsed="false">
      <c r="A747" s="14"/>
      <c r="B747" s="7"/>
      <c r="C747" s="7"/>
      <c r="D747" s="7"/>
      <c r="E747" s="7"/>
      <c r="F747" s="7"/>
      <c r="G747" s="9"/>
      <c r="H747" s="9"/>
      <c r="I747" s="9"/>
      <c r="J747" s="7"/>
      <c r="K747" s="7"/>
    </row>
    <row r="748" customFormat="false" ht="15" hidden="false" customHeight="true" outlineLevel="0" collapsed="false">
      <c r="A748" s="14"/>
      <c r="B748" s="7"/>
      <c r="C748" s="7"/>
      <c r="D748" s="7"/>
      <c r="E748" s="7"/>
      <c r="F748" s="7"/>
      <c r="G748" s="9"/>
      <c r="H748" s="9"/>
      <c r="I748" s="9"/>
      <c r="J748" s="7"/>
      <c r="K748" s="7"/>
    </row>
    <row r="749" customFormat="false" ht="15" hidden="false" customHeight="true" outlineLevel="0" collapsed="false">
      <c r="A749" s="14"/>
      <c r="B749" s="7"/>
      <c r="C749" s="7"/>
      <c r="D749" s="7"/>
      <c r="E749" s="7"/>
      <c r="F749" s="7"/>
      <c r="G749" s="9"/>
      <c r="H749" s="9"/>
      <c r="I749" s="9"/>
      <c r="J749" s="7"/>
      <c r="K749" s="7"/>
    </row>
    <row r="750" customFormat="false" ht="15" hidden="false" customHeight="true" outlineLevel="0" collapsed="false">
      <c r="A750" s="14"/>
      <c r="B750" s="7"/>
      <c r="C750" s="7"/>
      <c r="D750" s="7"/>
      <c r="E750" s="7"/>
      <c r="F750" s="7"/>
      <c r="G750" s="9"/>
      <c r="H750" s="9"/>
      <c r="I750" s="9"/>
      <c r="J750" s="7"/>
      <c r="K750" s="7"/>
    </row>
    <row r="751" customFormat="false" ht="15" hidden="false" customHeight="true" outlineLevel="0" collapsed="false">
      <c r="A751" s="14"/>
      <c r="B751" s="7"/>
      <c r="C751" s="7"/>
      <c r="D751" s="7"/>
      <c r="E751" s="7"/>
      <c r="F751" s="7"/>
      <c r="G751" s="9"/>
      <c r="H751" s="9"/>
      <c r="I751" s="9"/>
      <c r="J751" s="7"/>
      <c r="K751" s="7"/>
    </row>
    <row r="752" customFormat="false" ht="15" hidden="false" customHeight="true" outlineLevel="0" collapsed="false">
      <c r="A752" s="14"/>
      <c r="B752" s="7"/>
      <c r="C752" s="7"/>
      <c r="D752" s="7"/>
      <c r="E752" s="7"/>
      <c r="F752" s="7"/>
      <c r="G752" s="9"/>
      <c r="H752" s="9"/>
      <c r="I752" s="9"/>
      <c r="J752" s="7"/>
      <c r="K752" s="7"/>
    </row>
    <row r="753" customFormat="false" ht="15" hidden="false" customHeight="true" outlineLevel="0" collapsed="false">
      <c r="A753" s="14"/>
      <c r="B753" s="7"/>
      <c r="C753" s="7"/>
      <c r="D753" s="7"/>
      <c r="E753" s="7"/>
      <c r="F753" s="7"/>
      <c r="G753" s="9"/>
      <c r="H753" s="9"/>
      <c r="I753" s="9"/>
      <c r="J753" s="7"/>
      <c r="K753" s="7"/>
    </row>
    <row r="754" customFormat="false" ht="15" hidden="false" customHeight="true" outlineLevel="0" collapsed="false">
      <c r="A754" s="14"/>
      <c r="B754" s="7"/>
      <c r="C754" s="7"/>
      <c r="D754" s="7"/>
      <c r="E754" s="7"/>
      <c r="F754" s="7"/>
      <c r="G754" s="9"/>
      <c r="H754" s="9"/>
      <c r="I754" s="9"/>
      <c r="J754" s="7"/>
      <c r="K754" s="7"/>
    </row>
    <row r="755" customFormat="false" ht="15" hidden="false" customHeight="true" outlineLevel="0" collapsed="false">
      <c r="A755" s="14"/>
      <c r="B755" s="7"/>
      <c r="C755" s="7"/>
      <c r="D755" s="7"/>
      <c r="E755" s="7"/>
      <c r="F755" s="7"/>
      <c r="G755" s="9"/>
      <c r="H755" s="9"/>
      <c r="I755" s="9"/>
      <c r="J755" s="7"/>
      <c r="K755" s="7"/>
    </row>
    <row r="756" customFormat="false" ht="15" hidden="false" customHeight="true" outlineLevel="0" collapsed="false">
      <c r="A756" s="14"/>
      <c r="B756" s="7"/>
      <c r="C756" s="7"/>
      <c r="D756" s="7"/>
      <c r="E756" s="7"/>
      <c r="F756" s="7"/>
      <c r="G756" s="9"/>
      <c r="H756" s="9"/>
      <c r="I756" s="9"/>
      <c r="J756" s="7"/>
      <c r="K756" s="7"/>
    </row>
    <row r="757" customFormat="false" ht="15" hidden="false" customHeight="true" outlineLevel="0" collapsed="false">
      <c r="A757" s="14"/>
      <c r="B757" s="7"/>
      <c r="C757" s="7"/>
      <c r="D757" s="7"/>
      <c r="E757" s="7"/>
      <c r="F757" s="7"/>
      <c r="G757" s="9"/>
      <c r="H757" s="9"/>
      <c r="I757" s="9"/>
      <c r="J757" s="7"/>
      <c r="K757" s="7"/>
    </row>
    <row r="758" customFormat="false" ht="15" hidden="false" customHeight="true" outlineLevel="0" collapsed="false">
      <c r="A758" s="14"/>
      <c r="B758" s="7"/>
      <c r="C758" s="7"/>
      <c r="D758" s="7"/>
      <c r="E758" s="7"/>
      <c r="F758" s="7"/>
      <c r="G758" s="9"/>
      <c r="H758" s="9"/>
      <c r="I758" s="9"/>
      <c r="J758" s="7"/>
      <c r="K758" s="7"/>
    </row>
    <row r="759" customFormat="false" ht="15" hidden="false" customHeight="true" outlineLevel="0" collapsed="false">
      <c r="A759" s="14"/>
      <c r="B759" s="7"/>
      <c r="C759" s="7"/>
      <c r="D759" s="7"/>
      <c r="E759" s="7"/>
      <c r="F759" s="7"/>
      <c r="G759" s="9"/>
      <c r="H759" s="9"/>
      <c r="I759" s="9"/>
      <c r="J759" s="7"/>
      <c r="K759" s="7"/>
    </row>
    <row r="760" customFormat="false" ht="15" hidden="false" customHeight="true" outlineLevel="0" collapsed="false">
      <c r="A760" s="14"/>
      <c r="B760" s="7"/>
      <c r="C760" s="7"/>
      <c r="D760" s="7"/>
      <c r="E760" s="7"/>
      <c r="F760" s="7"/>
      <c r="G760" s="9"/>
      <c r="H760" s="9"/>
      <c r="I760" s="9"/>
      <c r="J760" s="7"/>
      <c r="K760" s="7"/>
    </row>
    <row r="761" customFormat="false" ht="15" hidden="false" customHeight="true" outlineLevel="0" collapsed="false">
      <c r="A761" s="14"/>
      <c r="B761" s="7"/>
      <c r="C761" s="7"/>
      <c r="D761" s="7"/>
      <c r="E761" s="7"/>
      <c r="F761" s="7"/>
      <c r="G761" s="9"/>
      <c r="H761" s="9"/>
      <c r="I761" s="9"/>
      <c r="J761" s="7"/>
      <c r="K761" s="7"/>
    </row>
    <row r="762" customFormat="false" ht="15" hidden="false" customHeight="true" outlineLevel="0" collapsed="false">
      <c r="A762" s="14"/>
      <c r="B762" s="7"/>
      <c r="C762" s="7"/>
      <c r="D762" s="7"/>
      <c r="E762" s="7"/>
      <c r="F762" s="7"/>
      <c r="G762" s="9"/>
      <c r="H762" s="9"/>
      <c r="I762" s="9"/>
      <c r="J762" s="7"/>
      <c r="K762" s="7"/>
    </row>
    <row r="763" customFormat="false" ht="15" hidden="false" customHeight="true" outlineLevel="0" collapsed="false">
      <c r="A763" s="14"/>
      <c r="B763" s="7"/>
      <c r="C763" s="7"/>
      <c r="D763" s="7"/>
      <c r="E763" s="7"/>
      <c r="F763" s="7"/>
      <c r="G763" s="9"/>
      <c r="H763" s="9"/>
      <c r="I763" s="9"/>
      <c r="J763" s="7"/>
      <c r="K763" s="7"/>
    </row>
    <row r="764" customFormat="false" ht="15" hidden="false" customHeight="true" outlineLevel="0" collapsed="false">
      <c r="A764" s="14"/>
      <c r="B764" s="7"/>
      <c r="C764" s="7"/>
      <c r="D764" s="7"/>
      <c r="E764" s="7"/>
      <c r="F764" s="7"/>
      <c r="G764" s="9"/>
      <c r="H764" s="9"/>
      <c r="I764" s="9"/>
      <c r="J764" s="7"/>
      <c r="K764" s="7"/>
    </row>
    <row r="765" customFormat="false" ht="15" hidden="false" customHeight="true" outlineLevel="0" collapsed="false">
      <c r="A765" s="14"/>
      <c r="B765" s="7"/>
      <c r="C765" s="7"/>
      <c r="D765" s="7"/>
      <c r="E765" s="7"/>
      <c r="F765" s="7"/>
      <c r="G765" s="9"/>
      <c r="H765" s="9"/>
      <c r="I765" s="9"/>
      <c r="J765" s="7"/>
      <c r="K765" s="7"/>
    </row>
    <row r="766" customFormat="false" ht="15" hidden="false" customHeight="true" outlineLevel="0" collapsed="false">
      <c r="A766" s="14"/>
      <c r="B766" s="7"/>
      <c r="C766" s="7"/>
      <c r="D766" s="7"/>
      <c r="E766" s="7"/>
      <c r="F766" s="7"/>
      <c r="G766" s="9"/>
      <c r="H766" s="9"/>
      <c r="I766" s="9"/>
      <c r="J766" s="7"/>
      <c r="K766" s="7"/>
    </row>
    <row r="767" customFormat="false" ht="15" hidden="false" customHeight="true" outlineLevel="0" collapsed="false">
      <c r="A767" s="14"/>
      <c r="B767" s="7"/>
      <c r="C767" s="7"/>
      <c r="D767" s="7"/>
      <c r="E767" s="7"/>
      <c r="F767" s="7"/>
      <c r="G767" s="9"/>
      <c r="H767" s="9"/>
      <c r="I767" s="9"/>
      <c r="J767" s="7"/>
      <c r="K767" s="7"/>
    </row>
    <row r="768" customFormat="false" ht="15" hidden="false" customHeight="true" outlineLevel="0" collapsed="false">
      <c r="A768" s="14"/>
      <c r="B768" s="7"/>
      <c r="C768" s="7"/>
      <c r="D768" s="7"/>
      <c r="E768" s="7"/>
      <c r="F768" s="7"/>
      <c r="G768" s="9"/>
      <c r="H768" s="9"/>
      <c r="I768" s="9"/>
      <c r="J768" s="7"/>
      <c r="K768" s="7"/>
    </row>
    <row r="769" customFormat="false" ht="15" hidden="false" customHeight="true" outlineLevel="0" collapsed="false">
      <c r="A769" s="14"/>
      <c r="B769" s="7"/>
      <c r="C769" s="7"/>
      <c r="D769" s="7"/>
      <c r="E769" s="7"/>
      <c r="F769" s="7"/>
      <c r="G769" s="9"/>
      <c r="H769" s="9"/>
      <c r="I769" s="9"/>
      <c r="J769" s="7"/>
      <c r="K769" s="7"/>
    </row>
    <row r="770" customFormat="false" ht="15" hidden="false" customHeight="true" outlineLevel="0" collapsed="false">
      <c r="A770" s="14"/>
      <c r="B770" s="7"/>
      <c r="C770" s="7"/>
      <c r="D770" s="7"/>
      <c r="E770" s="7"/>
      <c r="F770" s="7"/>
      <c r="G770" s="9"/>
      <c r="H770" s="9"/>
      <c r="I770" s="9"/>
      <c r="J770" s="7"/>
      <c r="K770" s="7"/>
    </row>
    <row r="771" customFormat="false" ht="15" hidden="false" customHeight="true" outlineLevel="0" collapsed="false">
      <c r="A771" s="14"/>
      <c r="B771" s="7"/>
      <c r="C771" s="7"/>
      <c r="D771" s="7"/>
      <c r="E771" s="7"/>
      <c r="F771" s="7"/>
      <c r="G771" s="9"/>
      <c r="H771" s="9"/>
      <c r="I771" s="9"/>
      <c r="J771" s="7"/>
      <c r="K771" s="7"/>
    </row>
    <row r="772" customFormat="false" ht="15" hidden="false" customHeight="true" outlineLevel="0" collapsed="false">
      <c r="A772" s="14"/>
      <c r="B772" s="7"/>
      <c r="C772" s="7"/>
      <c r="D772" s="7"/>
      <c r="E772" s="7"/>
      <c r="F772" s="7"/>
      <c r="G772" s="9"/>
      <c r="H772" s="9"/>
      <c r="I772" s="9"/>
      <c r="J772" s="7"/>
      <c r="K772" s="7"/>
    </row>
    <row r="773" customFormat="false" ht="15" hidden="false" customHeight="true" outlineLevel="0" collapsed="false">
      <c r="A773" s="14"/>
      <c r="B773" s="7"/>
      <c r="C773" s="7"/>
      <c r="D773" s="7"/>
      <c r="E773" s="7"/>
      <c r="F773" s="7"/>
      <c r="G773" s="9"/>
      <c r="H773" s="9"/>
      <c r="I773" s="9"/>
      <c r="J773" s="7"/>
      <c r="K773" s="7"/>
    </row>
    <row r="774" customFormat="false" ht="15" hidden="false" customHeight="true" outlineLevel="0" collapsed="false">
      <c r="A774" s="14"/>
      <c r="B774" s="7"/>
      <c r="C774" s="7"/>
      <c r="D774" s="7"/>
      <c r="E774" s="7"/>
      <c r="F774" s="7"/>
      <c r="G774" s="9"/>
      <c r="H774" s="9"/>
      <c r="I774" s="9"/>
      <c r="J774" s="7"/>
      <c r="K774" s="7"/>
    </row>
    <row r="775" customFormat="false" ht="15" hidden="false" customHeight="true" outlineLevel="0" collapsed="false">
      <c r="A775" s="14"/>
      <c r="B775" s="7"/>
      <c r="C775" s="7"/>
      <c r="D775" s="7"/>
      <c r="E775" s="7"/>
      <c r="F775" s="7"/>
      <c r="G775" s="9"/>
      <c r="H775" s="9"/>
      <c r="I775" s="9"/>
      <c r="J775" s="7"/>
      <c r="K775" s="7"/>
    </row>
    <row r="776" customFormat="false" ht="15" hidden="false" customHeight="true" outlineLevel="0" collapsed="false">
      <c r="A776" s="14"/>
      <c r="B776" s="7"/>
      <c r="C776" s="7"/>
      <c r="D776" s="7"/>
      <c r="E776" s="7"/>
      <c r="F776" s="7"/>
      <c r="G776" s="9"/>
      <c r="H776" s="9"/>
      <c r="I776" s="9"/>
      <c r="J776" s="7"/>
      <c r="K776" s="7"/>
    </row>
    <row r="777" customFormat="false" ht="15" hidden="false" customHeight="true" outlineLevel="0" collapsed="false">
      <c r="A777" s="14"/>
      <c r="B777" s="7"/>
      <c r="C777" s="7"/>
      <c r="D777" s="7"/>
      <c r="E777" s="7"/>
      <c r="F777" s="7"/>
      <c r="G777" s="9"/>
      <c r="H777" s="9"/>
      <c r="I777" s="9"/>
      <c r="J777" s="7"/>
      <c r="K777" s="7"/>
    </row>
    <row r="778" customFormat="false" ht="15" hidden="false" customHeight="true" outlineLevel="0" collapsed="false">
      <c r="A778" s="14"/>
      <c r="B778" s="7"/>
      <c r="C778" s="7"/>
      <c r="D778" s="7"/>
      <c r="E778" s="7"/>
      <c r="F778" s="7"/>
      <c r="G778" s="9"/>
      <c r="H778" s="9"/>
      <c r="I778" s="9"/>
      <c r="J778" s="7"/>
      <c r="K778" s="7"/>
    </row>
    <row r="779" customFormat="false" ht="15" hidden="false" customHeight="true" outlineLevel="0" collapsed="false">
      <c r="A779" s="14"/>
      <c r="B779" s="7"/>
      <c r="C779" s="7"/>
      <c r="D779" s="7"/>
      <c r="E779" s="7"/>
      <c r="F779" s="7"/>
      <c r="G779" s="9"/>
      <c r="H779" s="9"/>
      <c r="I779" s="9"/>
      <c r="J779" s="7"/>
      <c r="K779" s="7"/>
    </row>
    <row r="780" customFormat="false" ht="15" hidden="false" customHeight="true" outlineLevel="0" collapsed="false">
      <c r="A780" s="14"/>
      <c r="B780" s="7"/>
      <c r="C780" s="7"/>
      <c r="D780" s="7"/>
      <c r="E780" s="7"/>
      <c r="F780" s="7"/>
      <c r="G780" s="9"/>
      <c r="H780" s="9"/>
      <c r="I780" s="9"/>
      <c r="J780" s="7"/>
      <c r="K780" s="7"/>
    </row>
    <row r="781" customFormat="false" ht="15" hidden="false" customHeight="true" outlineLevel="0" collapsed="false">
      <c r="A781" s="14"/>
      <c r="B781" s="7"/>
      <c r="C781" s="7"/>
      <c r="D781" s="7"/>
      <c r="E781" s="7"/>
      <c r="F781" s="7"/>
      <c r="G781" s="9"/>
      <c r="H781" s="9"/>
      <c r="I781" s="9"/>
      <c r="J781" s="7"/>
      <c r="K781" s="7"/>
    </row>
    <row r="782" customFormat="false" ht="15" hidden="false" customHeight="true" outlineLevel="0" collapsed="false">
      <c r="A782" s="14"/>
      <c r="B782" s="7"/>
      <c r="C782" s="7"/>
      <c r="D782" s="7"/>
      <c r="E782" s="7"/>
      <c r="F782" s="7"/>
      <c r="G782" s="9"/>
      <c r="H782" s="9"/>
      <c r="I782" s="9"/>
      <c r="J782" s="7"/>
      <c r="K782" s="7"/>
    </row>
    <row r="783" customFormat="false" ht="15" hidden="false" customHeight="true" outlineLevel="0" collapsed="false">
      <c r="A783" s="14"/>
      <c r="B783" s="7"/>
      <c r="C783" s="7"/>
      <c r="D783" s="7"/>
      <c r="E783" s="7"/>
      <c r="F783" s="7"/>
      <c r="G783" s="9"/>
      <c r="H783" s="9"/>
      <c r="I783" s="9"/>
      <c r="J783" s="7"/>
      <c r="K783" s="7"/>
    </row>
    <row r="784" customFormat="false" ht="15" hidden="false" customHeight="true" outlineLevel="0" collapsed="false">
      <c r="A784" s="14"/>
      <c r="B784" s="7"/>
      <c r="C784" s="7"/>
      <c r="D784" s="7"/>
      <c r="E784" s="7"/>
      <c r="F784" s="7"/>
      <c r="G784" s="9"/>
      <c r="H784" s="9"/>
      <c r="I784" s="9"/>
      <c r="J784" s="7"/>
      <c r="K784" s="7"/>
    </row>
    <row r="785" customFormat="false" ht="15" hidden="false" customHeight="true" outlineLevel="0" collapsed="false">
      <c r="A785" s="14"/>
      <c r="B785" s="7"/>
      <c r="C785" s="7"/>
      <c r="D785" s="7"/>
      <c r="E785" s="7"/>
      <c r="F785" s="7"/>
      <c r="G785" s="9"/>
      <c r="H785" s="9"/>
      <c r="I785" s="9"/>
      <c r="J785" s="7"/>
      <c r="K785" s="7"/>
    </row>
    <row r="786" customFormat="false" ht="15" hidden="false" customHeight="true" outlineLevel="0" collapsed="false">
      <c r="A786" s="14"/>
      <c r="B786" s="7"/>
      <c r="C786" s="7"/>
      <c r="D786" s="7"/>
      <c r="E786" s="7"/>
      <c r="F786" s="7"/>
      <c r="G786" s="9"/>
      <c r="H786" s="9"/>
      <c r="I786" s="9"/>
      <c r="J786" s="7"/>
      <c r="K786" s="7"/>
    </row>
    <row r="787" customFormat="false" ht="15" hidden="false" customHeight="true" outlineLevel="0" collapsed="false">
      <c r="A787" s="14"/>
      <c r="B787" s="7"/>
      <c r="C787" s="7"/>
      <c r="D787" s="7"/>
      <c r="E787" s="7"/>
      <c r="F787" s="7"/>
      <c r="G787" s="9"/>
      <c r="H787" s="9"/>
      <c r="I787" s="9"/>
      <c r="J787" s="7"/>
      <c r="K787" s="7"/>
    </row>
    <row r="788" customFormat="false" ht="15" hidden="false" customHeight="true" outlineLevel="0" collapsed="false">
      <c r="A788" s="14"/>
      <c r="B788" s="7"/>
      <c r="C788" s="7"/>
      <c r="D788" s="7"/>
      <c r="E788" s="7"/>
      <c r="F788" s="7"/>
      <c r="G788" s="9"/>
      <c r="H788" s="9"/>
      <c r="I788" s="9"/>
      <c r="J788" s="7"/>
      <c r="K788" s="7"/>
    </row>
    <row r="789" customFormat="false" ht="15" hidden="false" customHeight="true" outlineLevel="0" collapsed="false">
      <c r="A789" s="14"/>
      <c r="B789" s="7"/>
      <c r="C789" s="7"/>
      <c r="D789" s="7"/>
      <c r="E789" s="7"/>
      <c r="F789" s="7"/>
      <c r="G789" s="9"/>
      <c r="H789" s="9"/>
      <c r="I789" s="9"/>
      <c r="J789" s="7"/>
      <c r="K789" s="7"/>
    </row>
    <row r="790" customFormat="false" ht="15" hidden="false" customHeight="true" outlineLevel="0" collapsed="false">
      <c r="A790" s="14"/>
      <c r="B790" s="7"/>
      <c r="C790" s="7"/>
      <c r="D790" s="7"/>
      <c r="E790" s="7"/>
      <c r="F790" s="7"/>
      <c r="G790" s="9"/>
      <c r="H790" s="9"/>
      <c r="I790" s="9"/>
      <c r="J790" s="7"/>
      <c r="K790" s="7"/>
    </row>
    <row r="791" customFormat="false" ht="15" hidden="false" customHeight="true" outlineLevel="0" collapsed="false">
      <c r="A791" s="14"/>
      <c r="B791" s="7"/>
      <c r="C791" s="7"/>
      <c r="D791" s="7"/>
      <c r="E791" s="7"/>
      <c r="F791" s="7"/>
      <c r="G791" s="9"/>
      <c r="H791" s="9"/>
      <c r="I791" s="9"/>
      <c r="J791" s="7"/>
      <c r="K791" s="7"/>
    </row>
    <row r="792" customFormat="false" ht="15" hidden="false" customHeight="true" outlineLevel="0" collapsed="false">
      <c r="A792" s="14"/>
      <c r="B792" s="7"/>
      <c r="C792" s="7"/>
      <c r="D792" s="7"/>
      <c r="E792" s="7"/>
      <c r="F792" s="7"/>
      <c r="G792" s="9"/>
      <c r="H792" s="9"/>
      <c r="I792" s="9"/>
      <c r="J792" s="7"/>
      <c r="K792" s="7"/>
    </row>
    <row r="793" customFormat="false" ht="15" hidden="false" customHeight="true" outlineLevel="0" collapsed="false">
      <c r="A793" s="14"/>
      <c r="B793" s="7"/>
      <c r="C793" s="7"/>
      <c r="D793" s="7"/>
      <c r="E793" s="7"/>
      <c r="F793" s="7"/>
      <c r="G793" s="9"/>
      <c r="H793" s="9"/>
      <c r="I793" s="9"/>
      <c r="J793" s="7"/>
      <c r="K793" s="7"/>
    </row>
    <row r="794" customFormat="false" ht="15" hidden="false" customHeight="true" outlineLevel="0" collapsed="false">
      <c r="A794" s="14"/>
      <c r="B794" s="7"/>
      <c r="C794" s="7"/>
      <c r="D794" s="7"/>
      <c r="E794" s="7"/>
      <c r="F794" s="7"/>
      <c r="G794" s="9"/>
      <c r="H794" s="9"/>
      <c r="I794" s="9"/>
      <c r="J794" s="7"/>
      <c r="K794" s="7"/>
    </row>
    <row r="795" customFormat="false" ht="15" hidden="false" customHeight="true" outlineLevel="0" collapsed="false">
      <c r="A795" s="14"/>
      <c r="B795" s="7"/>
      <c r="C795" s="7"/>
      <c r="D795" s="7"/>
      <c r="E795" s="7"/>
      <c r="F795" s="7"/>
      <c r="G795" s="9"/>
      <c r="H795" s="9"/>
      <c r="I795" s="9"/>
      <c r="J795" s="7"/>
      <c r="K795" s="7"/>
    </row>
    <row r="796" customFormat="false" ht="15" hidden="false" customHeight="true" outlineLevel="0" collapsed="false">
      <c r="A796" s="14"/>
      <c r="B796" s="7"/>
      <c r="C796" s="7"/>
      <c r="D796" s="7"/>
      <c r="E796" s="7"/>
      <c r="F796" s="7"/>
      <c r="G796" s="9"/>
      <c r="H796" s="9"/>
      <c r="I796" s="9"/>
      <c r="J796" s="7"/>
      <c r="K796" s="7"/>
    </row>
    <row r="797" customFormat="false" ht="15" hidden="false" customHeight="true" outlineLevel="0" collapsed="false">
      <c r="A797" s="14"/>
      <c r="B797" s="7"/>
      <c r="C797" s="7"/>
      <c r="D797" s="7"/>
      <c r="E797" s="7"/>
      <c r="F797" s="7"/>
      <c r="G797" s="9"/>
      <c r="H797" s="9"/>
      <c r="I797" s="9"/>
      <c r="J797" s="7"/>
      <c r="K797" s="7"/>
    </row>
    <row r="798" customFormat="false" ht="15" hidden="false" customHeight="true" outlineLevel="0" collapsed="false">
      <c r="A798" s="14"/>
      <c r="B798" s="7"/>
      <c r="C798" s="7"/>
      <c r="D798" s="7"/>
      <c r="E798" s="7"/>
      <c r="F798" s="7"/>
      <c r="G798" s="9"/>
      <c r="H798" s="9"/>
      <c r="I798" s="9"/>
      <c r="J798" s="7"/>
      <c r="K798" s="7"/>
    </row>
    <row r="799" customFormat="false" ht="15" hidden="false" customHeight="true" outlineLevel="0" collapsed="false">
      <c r="A799" s="14"/>
      <c r="B799" s="7"/>
      <c r="C799" s="7"/>
      <c r="D799" s="7"/>
      <c r="E799" s="7"/>
      <c r="F799" s="7"/>
      <c r="G799" s="9"/>
      <c r="H799" s="9"/>
      <c r="I799" s="9"/>
      <c r="J799" s="7"/>
      <c r="K799" s="7"/>
    </row>
    <row r="800" customFormat="false" ht="15" hidden="false" customHeight="true" outlineLevel="0" collapsed="false">
      <c r="A800" s="14"/>
      <c r="B800" s="7"/>
      <c r="C800" s="7"/>
      <c r="D800" s="7"/>
      <c r="E800" s="7"/>
      <c r="F800" s="7"/>
      <c r="G800" s="9"/>
      <c r="H800" s="9"/>
      <c r="I800" s="9"/>
      <c r="J800" s="7"/>
      <c r="K800" s="7"/>
    </row>
    <row r="801" customFormat="false" ht="15" hidden="false" customHeight="true" outlineLevel="0" collapsed="false">
      <c r="A801" s="14"/>
      <c r="B801" s="7"/>
      <c r="C801" s="7"/>
      <c r="D801" s="7"/>
      <c r="E801" s="7"/>
      <c r="F801" s="7"/>
      <c r="G801" s="9"/>
      <c r="H801" s="9"/>
      <c r="I801" s="9"/>
      <c r="J801" s="7"/>
      <c r="K801" s="7"/>
    </row>
    <row r="802" customFormat="false" ht="15" hidden="false" customHeight="true" outlineLevel="0" collapsed="false">
      <c r="A802" s="14"/>
      <c r="B802" s="7"/>
      <c r="C802" s="7"/>
      <c r="D802" s="7"/>
      <c r="E802" s="7"/>
      <c r="F802" s="7"/>
      <c r="G802" s="9"/>
      <c r="H802" s="9"/>
      <c r="I802" s="9"/>
      <c r="J802" s="7"/>
      <c r="K802" s="7"/>
    </row>
    <row r="803" customFormat="false" ht="15" hidden="false" customHeight="true" outlineLevel="0" collapsed="false">
      <c r="A803" s="14"/>
      <c r="B803" s="7"/>
      <c r="C803" s="7"/>
      <c r="D803" s="7"/>
      <c r="E803" s="7"/>
      <c r="F803" s="7"/>
      <c r="G803" s="9"/>
      <c r="H803" s="9"/>
      <c r="I803" s="9"/>
      <c r="J803" s="7"/>
      <c r="K803" s="7"/>
    </row>
    <row r="804" customFormat="false" ht="15" hidden="false" customHeight="true" outlineLevel="0" collapsed="false">
      <c r="A804" s="14"/>
      <c r="B804" s="7"/>
      <c r="C804" s="7"/>
      <c r="D804" s="7"/>
      <c r="E804" s="7"/>
      <c r="F804" s="7"/>
      <c r="G804" s="9"/>
      <c r="H804" s="9"/>
      <c r="I804" s="9"/>
      <c r="J804" s="7"/>
      <c r="K804" s="7"/>
    </row>
    <row r="805" customFormat="false" ht="15" hidden="false" customHeight="true" outlineLevel="0" collapsed="false">
      <c r="A805" s="14"/>
      <c r="B805" s="7"/>
      <c r="C805" s="7"/>
      <c r="D805" s="7"/>
      <c r="E805" s="7"/>
      <c r="F805" s="7"/>
      <c r="G805" s="9"/>
      <c r="H805" s="9"/>
      <c r="I805" s="9"/>
      <c r="J805" s="7"/>
      <c r="K805" s="7"/>
    </row>
    <row r="806" customFormat="false" ht="15" hidden="false" customHeight="true" outlineLevel="0" collapsed="false">
      <c r="A806" s="14"/>
      <c r="B806" s="7"/>
      <c r="C806" s="7"/>
      <c r="D806" s="7"/>
      <c r="E806" s="7"/>
      <c r="F806" s="7"/>
      <c r="G806" s="9"/>
      <c r="H806" s="9"/>
      <c r="I806" s="9"/>
      <c r="J806" s="7"/>
      <c r="K806" s="7"/>
    </row>
    <row r="807" customFormat="false" ht="15" hidden="false" customHeight="true" outlineLevel="0" collapsed="false">
      <c r="A807" s="14"/>
      <c r="B807" s="7"/>
      <c r="C807" s="7"/>
      <c r="D807" s="7"/>
      <c r="E807" s="7"/>
      <c r="F807" s="7"/>
      <c r="G807" s="9"/>
      <c r="H807" s="9"/>
      <c r="I807" s="9"/>
      <c r="J807" s="7"/>
      <c r="K807" s="7"/>
    </row>
    <row r="808" customFormat="false" ht="15" hidden="false" customHeight="true" outlineLevel="0" collapsed="false">
      <c r="A808" s="14"/>
      <c r="B808" s="7"/>
      <c r="C808" s="7"/>
      <c r="D808" s="7"/>
      <c r="E808" s="7"/>
      <c r="F808" s="7"/>
      <c r="G808" s="9"/>
      <c r="H808" s="9"/>
      <c r="I808" s="9"/>
      <c r="J808" s="7"/>
      <c r="K808" s="7"/>
    </row>
    <row r="809" customFormat="false" ht="15" hidden="false" customHeight="true" outlineLevel="0" collapsed="false">
      <c r="A809" s="14"/>
      <c r="B809" s="7"/>
      <c r="C809" s="7"/>
      <c r="D809" s="7"/>
      <c r="E809" s="7"/>
      <c r="F809" s="7"/>
      <c r="G809" s="9"/>
      <c r="H809" s="9"/>
      <c r="I809" s="9"/>
      <c r="J809" s="7"/>
      <c r="K809" s="7"/>
    </row>
    <row r="810" customFormat="false" ht="15" hidden="false" customHeight="true" outlineLevel="0" collapsed="false">
      <c r="A810" s="14"/>
      <c r="B810" s="7"/>
      <c r="C810" s="7"/>
      <c r="D810" s="7"/>
      <c r="E810" s="7"/>
      <c r="F810" s="7"/>
      <c r="G810" s="9"/>
      <c r="H810" s="9"/>
      <c r="I810" s="9"/>
      <c r="J810" s="7"/>
      <c r="K810" s="7"/>
    </row>
    <row r="811" customFormat="false" ht="15" hidden="false" customHeight="true" outlineLevel="0" collapsed="false">
      <c r="A811" s="14"/>
      <c r="B811" s="7"/>
      <c r="C811" s="7"/>
      <c r="D811" s="7"/>
      <c r="E811" s="7"/>
      <c r="F811" s="7"/>
      <c r="G811" s="9"/>
      <c r="H811" s="9"/>
      <c r="I811" s="9"/>
      <c r="J811" s="7"/>
      <c r="K811" s="7"/>
    </row>
    <row r="812" customFormat="false" ht="15" hidden="false" customHeight="true" outlineLevel="0" collapsed="false">
      <c r="A812" s="14"/>
      <c r="B812" s="7"/>
      <c r="C812" s="7"/>
      <c r="D812" s="7"/>
      <c r="E812" s="7"/>
      <c r="F812" s="7"/>
      <c r="G812" s="9"/>
      <c r="H812" s="9"/>
      <c r="I812" s="9"/>
      <c r="J812" s="7"/>
      <c r="K812" s="7"/>
    </row>
    <row r="813" customFormat="false" ht="15" hidden="false" customHeight="true" outlineLevel="0" collapsed="false">
      <c r="A813" s="14"/>
      <c r="B813" s="7"/>
      <c r="C813" s="7"/>
      <c r="D813" s="7"/>
      <c r="E813" s="7"/>
      <c r="F813" s="7"/>
      <c r="G813" s="9"/>
      <c r="H813" s="9"/>
      <c r="I813" s="9"/>
      <c r="J813" s="7"/>
      <c r="K813" s="7"/>
    </row>
    <row r="814" customFormat="false" ht="15" hidden="false" customHeight="true" outlineLevel="0" collapsed="false">
      <c r="A814" s="14"/>
      <c r="B814" s="7"/>
      <c r="C814" s="7"/>
      <c r="D814" s="7"/>
      <c r="E814" s="7"/>
      <c r="F814" s="7"/>
      <c r="G814" s="9"/>
      <c r="H814" s="9"/>
      <c r="I814" s="9"/>
      <c r="J814" s="7"/>
      <c r="K814" s="7"/>
    </row>
    <row r="815" customFormat="false" ht="15" hidden="false" customHeight="true" outlineLevel="0" collapsed="false">
      <c r="A815" s="14"/>
      <c r="B815" s="7"/>
      <c r="C815" s="7"/>
      <c r="D815" s="7"/>
      <c r="E815" s="7"/>
      <c r="F815" s="7"/>
      <c r="G815" s="9"/>
      <c r="H815" s="9"/>
      <c r="I815" s="9"/>
      <c r="J815" s="7"/>
      <c r="K815" s="7"/>
    </row>
    <row r="816" customFormat="false" ht="15" hidden="false" customHeight="true" outlineLevel="0" collapsed="false">
      <c r="A816" s="14"/>
      <c r="B816" s="7"/>
      <c r="C816" s="7"/>
      <c r="D816" s="7"/>
      <c r="E816" s="7"/>
      <c r="F816" s="7"/>
      <c r="G816" s="9"/>
      <c r="H816" s="9"/>
      <c r="I816" s="9"/>
      <c r="J816" s="7"/>
      <c r="K816" s="7"/>
    </row>
    <row r="817" customFormat="false" ht="15" hidden="false" customHeight="true" outlineLevel="0" collapsed="false">
      <c r="A817" s="14"/>
      <c r="B817" s="7"/>
      <c r="C817" s="7"/>
      <c r="D817" s="7"/>
      <c r="E817" s="7"/>
      <c r="F817" s="7"/>
      <c r="G817" s="9"/>
      <c r="H817" s="9"/>
      <c r="I817" s="9"/>
      <c r="J817" s="7"/>
      <c r="K817" s="7"/>
    </row>
    <row r="818" customFormat="false" ht="15" hidden="false" customHeight="true" outlineLevel="0" collapsed="false">
      <c r="A818" s="14"/>
      <c r="B818" s="7"/>
      <c r="C818" s="7"/>
      <c r="D818" s="7"/>
      <c r="E818" s="7"/>
      <c r="F818" s="7"/>
      <c r="G818" s="9"/>
      <c r="H818" s="9"/>
      <c r="I818" s="9"/>
      <c r="J818" s="7"/>
      <c r="K818" s="7"/>
    </row>
    <row r="819" customFormat="false" ht="15" hidden="false" customHeight="true" outlineLevel="0" collapsed="false">
      <c r="A819" s="14"/>
      <c r="B819" s="7"/>
      <c r="C819" s="7"/>
      <c r="D819" s="7"/>
      <c r="E819" s="7"/>
      <c r="F819" s="7"/>
      <c r="G819" s="9"/>
      <c r="H819" s="9"/>
      <c r="I819" s="9"/>
      <c r="J819" s="7"/>
      <c r="K819" s="7"/>
    </row>
    <row r="820" customFormat="false" ht="15" hidden="false" customHeight="true" outlineLevel="0" collapsed="false">
      <c r="A820" s="14"/>
      <c r="B820" s="7"/>
      <c r="C820" s="7"/>
      <c r="D820" s="7"/>
      <c r="E820" s="7"/>
      <c r="F820" s="7"/>
      <c r="G820" s="9"/>
      <c r="H820" s="9"/>
      <c r="I820" s="9"/>
      <c r="J820" s="7"/>
      <c r="K820" s="7"/>
    </row>
    <row r="821" customFormat="false" ht="15" hidden="false" customHeight="true" outlineLevel="0" collapsed="false">
      <c r="A821" s="14"/>
      <c r="B821" s="7"/>
      <c r="C821" s="7"/>
      <c r="D821" s="7"/>
      <c r="E821" s="7"/>
      <c r="F821" s="7"/>
      <c r="G821" s="9"/>
      <c r="H821" s="9"/>
      <c r="I821" s="9"/>
      <c r="J821" s="7"/>
      <c r="K821" s="7"/>
    </row>
    <row r="822" customFormat="false" ht="15" hidden="false" customHeight="true" outlineLevel="0" collapsed="false">
      <c r="A822" s="14"/>
      <c r="B822" s="7"/>
      <c r="C822" s="7"/>
      <c r="D822" s="7"/>
      <c r="E822" s="7"/>
      <c r="F822" s="7"/>
      <c r="G822" s="9"/>
      <c r="H822" s="9"/>
      <c r="I822" s="9"/>
      <c r="J822" s="7"/>
      <c r="K822" s="7"/>
    </row>
    <row r="823" customFormat="false" ht="15" hidden="false" customHeight="true" outlineLevel="0" collapsed="false">
      <c r="A823" s="14"/>
      <c r="B823" s="7"/>
      <c r="C823" s="7"/>
      <c r="D823" s="7"/>
      <c r="E823" s="7"/>
      <c r="F823" s="7"/>
      <c r="G823" s="9"/>
      <c r="H823" s="9"/>
      <c r="I823" s="9"/>
      <c r="J823" s="7"/>
      <c r="K823" s="7"/>
    </row>
    <row r="824" customFormat="false" ht="15" hidden="false" customHeight="true" outlineLevel="0" collapsed="false">
      <c r="A824" s="14"/>
      <c r="B824" s="7"/>
      <c r="C824" s="7"/>
      <c r="D824" s="7"/>
      <c r="E824" s="7"/>
      <c r="F824" s="7"/>
      <c r="G824" s="9"/>
      <c r="H824" s="9"/>
      <c r="I824" s="9"/>
      <c r="J824" s="7"/>
      <c r="K824" s="7"/>
    </row>
    <row r="825" customFormat="false" ht="15" hidden="false" customHeight="true" outlineLevel="0" collapsed="false">
      <c r="A825" s="14"/>
      <c r="B825" s="7"/>
      <c r="C825" s="7"/>
      <c r="D825" s="7"/>
      <c r="E825" s="7"/>
      <c r="F825" s="7"/>
      <c r="G825" s="9"/>
      <c r="H825" s="9"/>
      <c r="I825" s="9"/>
      <c r="J825" s="7"/>
      <c r="K825" s="7"/>
    </row>
    <row r="826" customFormat="false" ht="15" hidden="false" customHeight="true" outlineLevel="0" collapsed="false">
      <c r="A826" s="14"/>
      <c r="B826" s="7"/>
      <c r="C826" s="7"/>
      <c r="D826" s="7"/>
      <c r="E826" s="7"/>
      <c r="F826" s="7"/>
      <c r="G826" s="9"/>
      <c r="H826" s="9"/>
      <c r="I826" s="9"/>
      <c r="J826" s="7"/>
      <c r="K826" s="7"/>
    </row>
    <row r="827" customFormat="false" ht="15" hidden="false" customHeight="true" outlineLevel="0" collapsed="false">
      <c r="A827" s="14"/>
      <c r="B827" s="7"/>
      <c r="C827" s="7"/>
      <c r="D827" s="7"/>
      <c r="E827" s="7"/>
      <c r="F827" s="7"/>
      <c r="G827" s="9"/>
      <c r="H827" s="9"/>
      <c r="I827" s="9"/>
      <c r="J827" s="7"/>
      <c r="K827" s="7"/>
    </row>
    <row r="828" customFormat="false" ht="15" hidden="false" customHeight="true" outlineLevel="0" collapsed="false">
      <c r="A828" s="14"/>
      <c r="B828" s="7"/>
      <c r="C828" s="7"/>
      <c r="D828" s="7"/>
      <c r="E828" s="7"/>
      <c r="F828" s="7"/>
      <c r="G828" s="9"/>
      <c r="H828" s="9"/>
      <c r="I828" s="9"/>
      <c r="J828" s="7"/>
      <c r="K828" s="7"/>
    </row>
    <row r="829" customFormat="false" ht="15" hidden="false" customHeight="true" outlineLevel="0" collapsed="false">
      <c r="A829" s="14"/>
      <c r="B829" s="7"/>
      <c r="C829" s="7"/>
      <c r="D829" s="7"/>
      <c r="E829" s="7"/>
      <c r="F829" s="7"/>
      <c r="G829" s="9"/>
      <c r="H829" s="9"/>
      <c r="I829" s="9"/>
      <c r="J829" s="7"/>
      <c r="K829" s="7"/>
    </row>
    <row r="830" customFormat="false" ht="15" hidden="false" customHeight="true" outlineLevel="0" collapsed="false">
      <c r="A830" s="14"/>
      <c r="B830" s="7"/>
      <c r="C830" s="7"/>
      <c r="D830" s="7"/>
      <c r="E830" s="7"/>
      <c r="F830" s="7"/>
      <c r="G830" s="9"/>
      <c r="H830" s="9"/>
      <c r="I830" s="9"/>
      <c r="J830" s="7"/>
      <c r="K830" s="7"/>
    </row>
    <row r="831" customFormat="false" ht="15" hidden="false" customHeight="true" outlineLevel="0" collapsed="false">
      <c r="A831" s="14"/>
      <c r="B831" s="7"/>
      <c r="C831" s="7"/>
      <c r="D831" s="7"/>
      <c r="E831" s="7"/>
      <c r="F831" s="7"/>
      <c r="G831" s="9"/>
      <c r="H831" s="9"/>
      <c r="I831" s="9"/>
      <c r="J831" s="7"/>
      <c r="K831" s="7"/>
    </row>
    <row r="832" customFormat="false" ht="15" hidden="false" customHeight="true" outlineLevel="0" collapsed="false">
      <c r="A832" s="14"/>
      <c r="B832" s="7"/>
      <c r="C832" s="7"/>
      <c r="D832" s="7"/>
      <c r="E832" s="7"/>
      <c r="F832" s="7"/>
      <c r="G832" s="9"/>
      <c r="H832" s="9"/>
      <c r="I832" s="9"/>
      <c r="J832" s="7"/>
      <c r="K832" s="7"/>
    </row>
    <row r="833" customFormat="false" ht="15" hidden="false" customHeight="true" outlineLevel="0" collapsed="false">
      <c r="A833" s="14"/>
      <c r="B833" s="7"/>
      <c r="C833" s="7"/>
      <c r="D833" s="7"/>
      <c r="E833" s="7"/>
      <c r="F833" s="7"/>
      <c r="G833" s="9"/>
      <c r="H833" s="9"/>
      <c r="I833" s="9"/>
      <c r="J833" s="7"/>
      <c r="K833" s="7"/>
    </row>
    <row r="834" customFormat="false" ht="15" hidden="false" customHeight="true" outlineLevel="0" collapsed="false">
      <c r="A834" s="14"/>
      <c r="B834" s="7"/>
      <c r="C834" s="7"/>
      <c r="D834" s="7"/>
      <c r="E834" s="7"/>
      <c r="F834" s="7"/>
      <c r="G834" s="9"/>
      <c r="H834" s="9"/>
      <c r="I834" s="9"/>
      <c r="J834" s="7"/>
      <c r="K834" s="7"/>
    </row>
    <row r="835" customFormat="false" ht="15" hidden="false" customHeight="true" outlineLevel="0" collapsed="false">
      <c r="A835" s="14"/>
      <c r="B835" s="7"/>
      <c r="C835" s="7"/>
      <c r="D835" s="7"/>
      <c r="E835" s="7"/>
      <c r="F835" s="7"/>
      <c r="G835" s="9"/>
      <c r="H835" s="9"/>
      <c r="I835" s="9"/>
      <c r="J835" s="7"/>
      <c r="K835" s="7"/>
    </row>
    <row r="836" customFormat="false" ht="15" hidden="false" customHeight="true" outlineLevel="0" collapsed="false">
      <c r="A836" s="14"/>
      <c r="B836" s="7"/>
      <c r="C836" s="7"/>
      <c r="D836" s="7"/>
      <c r="E836" s="7"/>
      <c r="F836" s="7"/>
      <c r="G836" s="9"/>
      <c r="H836" s="9"/>
      <c r="I836" s="9"/>
      <c r="J836" s="7"/>
      <c r="K836" s="7"/>
    </row>
    <row r="837" customFormat="false" ht="15" hidden="false" customHeight="true" outlineLevel="0" collapsed="false">
      <c r="A837" s="14"/>
      <c r="B837" s="7"/>
      <c r="C837" s="7"/>
      <c r="D837" s="7"/>
      <c r="E837" s="7"/>
      <c r="F837" s="7"/>
      <c r="G837" s="9"/>
      <c r="H837" s="9"/>
      <c r="I837" s="9"/>
      <c r="J837" s="7"/>
      <c r="K837" s="7"/>
    </row>
    <row r="838" customFormat="false" ht="15" hidden="false" customHeight="true" outlineLevel="0" collapsed="false">
      <c r="A838" s="14"/>
      <c r="B838" s="7"/>
      <c r="C838" s="7"/>
      <c r="D838" s="7"/>
      <c r="E838" s="7"/>
      <c r="F838" s="7"/>
      <c r="G838" s="9"/>
      <c r="H838" s="9"/>
      <c r="I838" s="9"/>
      <c r="J838" s="7"/>
      <c r="K838" s="7"/>
    </row>
    <row r="839" customFormat="false" ht="15" hidden="false" customHeight="true" outlineLevel="0" collapsed="false">
      <c r="A839" s="14"/>
      <c r="B839" s="7"/>
      <c r="C839" s="7"/>
      <c r="D839" s="7"/>
      <c r="E839" s="7"/>
      <c r="F839" s="7"/>
      <c r="G839" s="9"/>
      <c r="H839" s="9"/>
      <c r="I839" s="9"/>
      <c r="J839" s="7"/>
      <c r="K839" s="7"/>
    </row>
    <row r="840" customFormat="false" ht="15" hidden="false" customHeight="true" outlineLevel="0" collapsed="false">
      <c r="A840" s="14"/>
      <c r="B840" s="7"/>
      <c r="C840" s="7"/>
      <c r="D840" s="7"/>
      <c r="E840" s="7"/>
      <c r="F840" s="7"/>
      <c r="G840" s="9"/>
      <c r="H840" s="9"/>
      <c r="I840" s="9"/>
      <c r="J840" s="7"/>
      <c r="K840" s="7"/>
    </row>
    <row r="841" customFormat="false" ht="15" hidden="false" customHeight="true" outlineLevel="0" collapsed="false">
      <c r="A841" s="14"/>
      <c r="B841" s="7"/>
      <c r="C841" s="7"/>
      <c r="D841" s="7"/>
      <c r="E841" s="7"/>
      <c r="F841" s="7"/>
      <c r="G841" s="9"/>
      <c r="H841" s="9"/>
      <c r="I841" s="9"/>
      <c r="J841" s="7"/>
      <c r="K841" s="7"/>
    </row>
    <row r="842" customFormat="false" ht="15" hidden="false" customHeight="true" outlineLevel="0" collapsed="false">
      <c r="A842" s="14"/>
      <c r="B842" s="7"/>
      <c r="C842" s="7"/>
      <c r="D842" s="7"/>
      <c r="E842" s="7"/>
      <c r="F842" s="7"/>
      <c r="G842" s="9"/>
      <c r="H842" s="9"/>
      <c r="I842" s="9"/>
      <c r="J842" s="7"/>
      <c r="K842" s="7"/>
    </row>
    <row r="843" customFormat="false" ht="15" hidden="false" customHeight="true" outlineLevel="0" collapsed="false">
      <c r="A843" s="14"/>
      <c r="B843" s="7"/>
      <c r="C843" s="7"/>
      <c r="D843" s="7"/>
      <c r="E843" s="7"/>
      <c r="F843" s="7"/>
      <c r="G843" s="9"/>
      <c r="H843" s="9"/>
      <c r="I843" s="9"/>
      <c r="J843" s="7"/>
      <c r="K843" s="7"/>
    </row>
    <row r="844" customFormat="false" ht="15" hidden="false" customHeight="true" outlineLevel="0" collapsed="false">
      <c r="A844" s="14"/>
      <c r="B844" s="7"/>
      <c r="C844" s="7"/>
      <c r="D844" s="7"/>
      <c r="E844" s="7"/>
      <c r="F844" s="7"/>
      <c r="G844" s="9"/>
      <c r="H844" s="9"/>
      <c r="I844" s="9"/>
      <c r="J844" s="7"/>
      <c r="K844" s="7"/>
    </row>
    <row r="845" customFormat="false" ht="15" hidden="false" customHeight="true" outlineLevel="0" collapsed="false">
      <c r="A845" s="14"/>
      <c r="B845" s="7"/>
      <c r="C845" s="7"/>
      <c r="D845" s="7"/>
      <c r="E845" s="7"/>
      <c r="F845" s="7"/>
      <c r="G845" s="9"/>
      <c r="H845" s="9"/>
      <c r="I845" s="9"/>
      <c r="J845" s="7"/>
      <c r="K845" s="7"/>
    </row>
    <row r="846" customFormat="false" ht="15" hidden="false" customHeight="true" outlineLevel="0" collapsed="false">
      <c r="A846" s="14"/>
      <c r="B846" s="7"/>
      <c r="C846" s="7"/>
      <c r="D846" s="7"/>
      <c r="E846" s="7"/>
      <c r="F846" s="7"/>
      <c r="G846" s="9"/>
      <c r="H846" s="9"/>
      <c r="I846" s="9"/>
      <c r="J846" s="7"/>
      <c r="K846" s="7"/>
    </row>
    <row r="847" customFormat="false" ht="15" hidden="false" customHeight="true" outlineLevel="0" collapsed="false">
      <c r="A847" s="14"/>
      <c r="B847" s="7"/>
      <c r="C847" s="7"/>
      <c r="D847" s="7"/>
      <c r="E847" s="7"/>
      <c r="F847" s="7"/>
      <c r="G847" s="9"/>
      <c r="H847" s="9"/>
      <c r="I847" s="9"/>
      <c r="J847" s="7"/>
      <c r="K847" s="7"/>
    </row>
    <row r="848" customFormat="false" ht="15" hidden="false" customHeight="true" outlineLevel="0" collapsed="false">
      <c r="A848" s="14"/>
      <c r="B848" s="7"/>
      <c r="C848" s="7"/>
      <c r="D848" s="7"/>
      <c r="E848" s="7"/>
      <c r="F848" s="7"/>
      <c r="G848" s="9"/>
      <c r="H848" s="9"/>
      <c r="I848" s="9"/>
      <c r="J848" s="7"/>
      <c r="K848" s="7"/>
    </row>
    <row r="849" customFormat="false" ht="15" hidden="false" customHeight="true" outlineLevel="0" collapsed="false">
      <c r="A849" s="14"/>
      <c r="B849" s="7"/>
      <c r="C849" s="7"/>
      <c r="D849" s="7"/>
      <c r="E849" s="7"/>
      <c r="F849" s="7"/>
      <c r="G849" s="9"/>
      <c r="H849" s="9"/>
      <c r="I849" s="9"/>
      <c r="J849" s="7"/>
      <c r="K849" s="7"/>
    </row>
    <row r="850" customFormat="false" ht="15" hidden="false" customHeight="true" outlineLevel="0" collapsed="false">
      <c r="A850" s="14"/>
      <c r="B850" s="7"/>
      <c r="C850" s="7"/>
      <c r="D850" s="7"/>
      <c r="E850" s="7"/>
      <c r="F850" s="7"/>
      <c r="G850" s="9"/>
      <c r="H850" s="9"/>
      <c r="I850" s="9"/>
      <c r="J850" s="7"/>
      <c r="K850" s="7"/>
    </row>
    <row r="851" customFormat="false" ht="15" hidden="false" customHeight="true" outlineLevel="0" collapsed="false">
      <c r="A851" s="14"/>
      <c r="B851" s="7"/>
      <c r="C851" s="7"/>
      <c r="D851" s="7"/>
      <c r="E851" s="7"/>
      <c r="F851" s="7"/>
      <c r="G851" s="9"/>
      <c r="H851" s="9"/>
      <c r="I851" s="9"/>
      <c r="J851" s="7"/>
      <c r="K851" s="7"/>
    </row>
    <row r="852" customFormat="false" ht="15" hidden="false" customHeight="true" outlineLevel="0" collapsed="false">
      <c r="A852" s="14"/>
      <c r="B852" s="7"/>
      <c r="C852" s="7"/>
      <c r="D852" s="7"/>
      <c r="E852" s="7"/>
      <c r="F852" s="7"/>
      <c r="G852" s="9"/>
      <c r="H852" s="9"/>
      <c r="I852" s="9"/>
      <c r="J852" s="7"/>
      <c r="K852" s="7"/>
    </row>
    <row r="853" customFormat="false" ht="15" hidden="false" customHeight="true" outlineLevel="0" collapsed="false">
      <c r="A853" s="14"/>
      <c r="B853" s="7"/>
      <c r="C853" s="7"/>
      <c r="D853" s="7"/>
      <c r="E853" s="7"/>
      <c r="F853" s="7"/>
      <c r="G853" s="9"/>
      <c r="H853" s="9"/>
      <c r="I853" s="9"/>
      <c r="J853" s="7"/>
      <c r="K853" s="7"/>
    </row>
    <row r="854" customFormat="false" ht="15" hidden="false" customHeight="true" outlineLevel="0" collapsed="false">
      <c r="A854" s="14"/>
      <c r="B854" s="7"/>
      <c r="C854" s="7"/>
      <c r="D854" s="7"/>
      <c r="E854" s="7"/>
      <c r="F854" s="7"/>
      <c r="G854" s="9"/>
      <c r="H854" s="9"/>
      <c r="I854" s="9"/>
      <c r="J854" s="7"/>
      <c r="K854" s="7"/>
    </row>
    <row r="855" customFormat="false" ht="15" hidden="false" customHeight="true" outlineLevel="0" collapsed="false">
      <c r="A855" s="14"/>
      <c r="B855" s="7"/>
      <c r="C855" s="7"/>
      <c r="D855" s="7"/>
      <c r="E855" s="7"/>
      <c r="F855" s="7"/>
      <c r="G855" s="9"/>
      <c r="H855" s="9"/>
      <c r="I855" s="9"/>
      <c r="J855" s="7"/>
      <c r="K855" s="7"/>
    </row>
    <row r="856" customFormat="false" ht="15" hidden="false" customHeight="true" outlineLevel="0" collapsed="false">
      <c r="A856" s="14"/>
      <c r="B856" s="7"/>
      <c r="C856" s="7"/>
      <c r="D856" s="7"/>
      <c r="E856" s="7"/>
      <c r="F856" s="7"/>
      <c r="G856" s="9"/>
      <c r="H856" s="9"/>
      <c r="I856" s="9"/>
      <c r="J856" s="7"/>
      <c r="K856" s="7"/>
    </row>
    <row r="857" customFormat="false" ht="15" hidden="false" customHeight="true" outlineLevel="0" collapsed="false">
      <c r="A857" s="14"/>
      <c r="B857" s="7"/>
      <c r="C857" s="7"/>
      <c r="D857" s="7"/>
      <c r="E857" s="7"/>
      <c r="F857" s="7"/>
      <c r="G857" s="9"/>
      <c r="H857" s="9"/>
      <c r="I857" s="9"/>
      <c r="J857" s="7"/>
      <c r="K857" s="7"/>
    </row>
    <row r="858" customFormat="false" ht="15" hidden="false" customHeight="true" outlineLevel="0" collapsed="false">
      <c r="A858" s="14"/>
      <c r="B858" s="7"/>
      <c r="C858" s="7"/>
      <c r="D858" s="7"/>
      <c r="E858" s="7"/>
      <c r="F858" s="7"/>
      <c r="G858" s="9"/>
      <c r="H858" s="9"/>
      <c r="I858" s="9"/>
      <c r="J858" s="7"/>
      <c r="K858" s="7"/>
    </row>
    <row r="859" customFormat="false" ht="15" hidden="false" customHeight="true" outlineLevel="0" collapsed="false">
      <c r="A859" s="14"/>
      <c r="B859" s="7"/>
      <c r="C859" s="7"/>
      <c r="D859" s="7"/>
      <c r="E859" s="7"/>
      <c r="F859" s="7"/>
      <c r="G859" s="9"/>
      <c r="H859" s="9"/>
      <c r="I859" s="9"/>
      <c r="J859" s="7"/>
      <c r="K859" s="7"/>
    </row>
    <row r="860" customFormat="false" ht="15" hidden="false" customHeight="true" outlineLevel="0" collapsed="false">
      <c r="A860" s="14"/>
      <c r="B860" s="7"/>
      <c r="C860" s="7"/>
      <c r="D860" s="7"/>
      <c r="E860" s="7"/>
      <c r="F860" s="7"/>
      <c r="G860" s="9"/>
      <c r="H860" s="9"/>
      <c r="I860" s="9"/>
      <c r="J860" s="7"/>
      <c r="K860" s="7"/>
    </row>
    <row r="861" customFormat="false" ht="15" hidden="false" customHeight="true" outlineLevel="0" collapsed="false">
      <c r="A861" s="14"/>
      <c r="B861" s="7"/>
      <c r="C861" s="7"/>
      <c r="D861" s="7"/>
      <c r="E861" s="7"/>
      <c r="F861" s="7"/>
      <c r="G861" s="9"/>
      <c r="H861" s="9"/>
      <c r="I861" s="9"/>
      <c r="J861" s="7"/>
      <c r="K861" s="7"/>
    </row>
    <row r="862" customFormat="false" ht="15" hidden="false" customHeight="true" outlineLevel="0" collapsed="false">
      <c r="A862" s="14"/>
      <c r="B862" s="7"/>
      <c r="C862" s="7"/>
      <c r="D862" s="7"/>
      <c r="E862" s="7"/>
      <c r="F862" s="7"/>
      <c r="G862" s="9"/>
      <c r="H862" s="9"/>
      <c r="I862" s="9"/>
      <c r="J862" s="7"/>
      <c r="K862" s="7"/>
    </row>
    <row r="863" customFormat="false" ht="15" hidden="false" customHeight="true" outlineLevel="0" collapsed="false">
      <c r="A863" s="14"/>
      <c r="B863" s="7"/>
      <c r="C863" s="7"/>
      <c r="D863" s="7"/>
      <c r="E863" s="7"/>
      <c r="F863" s="7"/>
      <c r="G863" s="9"/>
      <c r="H863" s="9"/>
      <c r="I863" s="9"/>
      <c r="J863" s="7"/>
      <c r="K863" s="7"/>
    </row>
    <row r="864" customFormat="false" ht="15" hidden="false" customHeight="true" outlineLevel="0" collapsed="false">
      <c r="A864" s="14"/>
      <c r="B864" s="7"/>
      <c r="C864" s="7"/>
      <c r="D864" s="7"/>
      <c r="E864" s="7"/>
      <c r="F864" s="7"/>
      <c r="G864" s="9"/>
      <c r="H864" s="9"/>
      <c r="I864" s="9"/>
      <c r="J864" s="7"/>
      <c r="K864" s="7"/>
    </row>
    <row r="865" customFormat="false" ht="15" hidden="false" customHeight="true" outlineLevel="0" collapsed="false">
      <c r="A865" s="14"/>
      <c r="B865" s="7"/>
      <c r="C865" s="7"/>
      <c r="D865" s="7"/>
      <c r="E865" s="7"/>
      <c r="F865" s="7"/>
      <c r="G865" s="9"/>
      <c r="H865" s="9"/>
      <c r="I865" s="9"/>
      <c r="J865" s="7"/>
      <c r="K865" s="7"/>
    </row>
    <row r="866" customFormat="false" ht="15" hidden="false" customHeight="true" outlineLevel="0" collapsed="false">
      <c r="A866" s="14"/>
      <c r="B866" s="7"/>
      <c r="C866" s="7"/>
      <c r="D866" s="7"/>
      <c r="E866" s="7"/>
      <c r="F866" s="7"/>
      <c r="G866" s="9"/>
      <c r="H866" s="9"/>
      <c r="I866" s="9"/>
      <c r="J866" s="7"/>
      <c r="K866" s="7"/>
    </row>
    <row r="867" customFormat="false" ht="15" hidden="false" customHeight="true" outlineLevel="0" collapsed="false">
      <c r="A867" s="14"/>
      <c r="B867" s="7"/>
      <c r="C867" s="7"/>
      <c r="D867" s="7"/>
      <c r="E867" s="7"/>
      <c r="F867" s="7"/>
      <c r="G867" s="9"/>
      <c r="H867" s="9"/>
      <c r="I867" s="9"/>
      <c r="J867" s="7"/>
      <c r="K867" s="7"/>
    </row>
    <row r="868" customFormat="false" ht="15" hidden="false" customHeight="true" outlineLevel="0" collapsed="false">
      <c r="A868" s="14"/>
      <c r="B868" s="7"/>
      <c r="C868" s="7"/>
      <c r="D868" s="7"/>
      <c r="E868" s="7"/>
      <c r="F868" s="7"/>
      <c r="G868" s="9"/>
      <c r="H868" s="9"/>
      <c r="I868" s="9"/>
      <c r="J868" s="7"/>
      <c r="K868" s="7"/>
    </row>
    <row r="869" customFormat="false" ht="15" hidden="false" customHeight="true" outlineLevel="0" collapsed="false">
      <c r="A869" s="14"/>
      <c r="B869" s="7"/>
      <c r="C869" s="7"/>
      <c r="D869" s="7"/>
      <c r="E869" s="7"/>
      <c r="F869" s="7"/>
      <c r="G869" s="9"/>
      <c r="H869" s="9"/>
      <c r="I869" s="9"/>
      <c r="J869" s="7"/>
      <c r="K869" s="7"/>
    </row>
    <row r="870" customFormat="false" ht="15" hidden="false" customHeight="true" outlineLevel="0" collapsed="false">
      <c r="A870" s="14"/>
      <c r="B870" s="7"/>
      <c r="C870" s="7"/>
      <c r="D870" s="7"/>
      <c r="E870" s="7"/>
      <c r="F870" s="7"/>
      <c r="G870" s="9"/>
      <c r="H870" s="9"/>
      <c r="I870" s="9"/>
      <c r="J870" s="7"/>
      <c r="K870" s="7"/>
    </row>
    <row r="871" customFormat="false" ht="15" hidden="false" customHeight="true" outlineLevel="0" collapsed="false">
      <c r="A871" s="14"/>
      <c r="B871" s="7"/>
      <c r="C871" s="7"/>
      <c r="D871" s="7"/>
      <c r="E871" s="7"/>
      <c r="F871" s="7"/>
      <c r="G871" s="9"/>
      <c r="H871" s="9"/>
      <c r="I871" s="9"/>
      <c r="J871" s="7"/>
      <c r="K871" s="7"/>
    </row>
    <row r="872" customFormat="false" ht="15" hidden="false" customHeight="true" outlineLevel="0" collapsed="false">
      <c r="A872" s="14"/>
      <c r="B872" s="7"/>
      <c r="C872" s="7"/>
      <c r="D872" s="7"/>
      <c r="E872" s="7"/>
      <c r="F872" s="7"/>
      <c r="G872" s="9"/>
      <c r="H872" s="9"/>
      <c r="I872" s="9"/>
      <c r="J872" s="7"/>
      <c r="K872" s="7"/>
    </row>
    <row r="873" customFormat="false" ht="15" hidden="false" customHeight="true" outlineLevel="0" collapsed="false">
      <c r="A873" s="14"/>
      <c r="B873" s="7"/>
      <c r="C873" s="7"/>
      <c r="D873" s="7"/>
      <c r="E873" s="7"/>
      <c r="F873" s="7"/>
      <c r="G873" s="9"/>
      <c r="H873" s="9"/>
      <c r="I873" s="9"/>
      <c r="J873" s="7"/>
      <c r="K873" s="7"/>
    </row>
    <row r="874" customFormat="false" ht="15" hidden="false" customHeight="true" outlineLevel="0" collapsed="false">
      <c r="A874" s="14"/>
      <c r="B874" s="7"/>
      <c r="C874" s="7"/>
      <c r="D874" s="7"/>
      <c r="E874" s="7"/>
      <c r="F874" s="7"/>
      <c r="G874" s="9"/>
      <c r="H874" s="9"/>
      <c r="I874" s="9"/>
      <c r="J874" s="7"/>
      <c r="K874" s="7"/>
    </row>
    <row r="875" customFormat="false" ht="15" hidden="false" customHeight="true" outlineLevel="0" collapsed="false">
      <c r="A875" s="14"/>
      <c r="B875" s="7"/>
      <c r="C875" s="7"/>
      <c r="D875" s="7"/>
      <c r="E875" s="7"/>
      <c r="F875" s="7"/>
      <c r="G875" s="9"/>
      <c r="H875" s="9"/>
      <c r="I875" s="9"/>
      <c r="J875" s="7"/>
      <c r="K875" s="7"/>
    </row>
    <row r="876" customFormat="false" ht="15" hidden="false" customHeight="true" outlineLevel="0" collapsed="false">
      <c r="A876" s="14"/>
      <c r="B876" s="7"/>
      <c r="C876" s="7"/>
      <c r="D876" s="7"/>
      <c r="E876" s="7"/>
      <c r="F876" s="7"/>
      <c r="G876" s="9"/>
      <c r="H876" s="9"/>
      <c r="I876" s="9"/>
      <c r="J876" s="7"/>
      <c r="K876" s="7"/>
    </row>
    <row r="877" customFormat="false" ht="15" hidden="false" customHeight="true" outlineLevel="0" collapsed="false">
      <c r="A877" s="14"/>
      <c r="B877" s="7"/>
      <c r="C877" s="7"/>
      <c r="D877" s="7"/>
      <c r="E877" s="7"/>
      <c r="F877" s="7"/>
      <c r="G877" s="9"/>
      <c r="H877" s="9"/>
      <c r="I877" s="9"/>
      <c r="J877" s="7"/>
      <c r="K877" s="7"/>
    </row>
    <row r="878" customFormat="false" ht="15" hidden="false" customHeight="true" outlineLevel="0" collapsed="false">
      <c r="A878" s="14"/>
      <c r="B878" s="7"/>
      <c r="C878" s="7"/>
      <c r="D878" s="7"/>
      <c r="E878" s="7"/>
      <c r="F878" s="7"/>
      <c r="G878" s="9"/>
      <c r="H878" s="9"/>
      <c r="I878" s="9"/>
      <c r="J878" s="7"/>
      <c r="K878" s="7"/>
    </row>
    <row r="879" customFormat="false" ht="15" hidden="false" customHeight="true" outlineLevel="0" collapsed="false">
      <c r="A879" s="14"/>
      <c r="B879" s="7"/>
      <c r="C879" s="7"/>
      <c r="D879" s="7"/>
      <c r="E879" s="7"/>
      <c r="F879" s="7"/>
      <c r="G879" s="9"/>
      <c r="H879" s="9"/>
      <c r="I879" s="9"/>
      <c r="J879" s="7"/>
      <c r="K879" s="7"/>
    </row>
    <row r="880" customFormat="false" ht="15" hidden="false" customHeight="true" outlineLevel="0" collapsed="false">
      <c r="A880" s="14"/>
      <c r="B880" s="7"/>
      <c r="C880" s="7"/>
      <c r="D880" s="7"/>
      <c r="E880" s="7"/>
      <c r="F880" s="7"/>
      <c r="G880" s="9"/>
      <c r="H880" s="9"/>
      <c r="I880" s="9"/>
      <c r="J880" s="7"/>
      <c r="K880" s="7"/>
    </row>
    <row r="881" customFormat="false" ht="15" hidden="false" customHeight="true" outlineLevel="0" collapsed="false">
      <c r="A881" s="14"/>
      <c r="B881" s="7"/>
      <c r="C881" s="7"/>
      <c r="D881" s="7"/>
      <c r="E881" s="7"/>
      <c r="F881" s="7"/>
      <c r="G881" s="9"/>
      <c r="H881" s="9"/>
      <c r="I881" s="9"/>
      <c r="J881" s="7"/>
      <c r="K881" s="7"/>
    </row>
    <row r="882" customFormat="false" ht="15" hidden="false" customHeight="true" outlineLevel="0" collapsed="false">
      <c r="A882" s="14"/>
      <c r="B882" s="7"/>
      <c r="C882" s="7"/>
      <c r="D882" s="7"/>
      <c r="E882" s="7"/>
      <c r="F882" s="7"/>
      <c r="G882" s="9"/>
      <c r="H882" s="9"/>
      <c r="I882" s="9"/>
      <c r="J882" s="7"/>
      <c r="K882" s="7"/>
    </row>
    <row r="883" customFormat="false" ht="15" hidden="false" customHeight="true" outlineLevel="0" collapsed="false">
      <c r="A883" s="14"/>
      <c r="B883" s="7"/>
      <c r="C883" s="7"/>
      <c r="D883" s="7"/>
      <c r="E883" s="7"/>
      <c r="F883" s="7"/>
      <c r="G883" s="9"/>
      <c r="H883" s="9"/>
      <c r="I883" s="9"/>
      <c r="J883" s="7"/>
      <c r="K883" s="7"/>
    </row>
    <row r="884" customFormat="false" ht="15" hidden="false" customHeight="true" outlineLevel="0" collapsed="false">
      <c r="A884" s="14"/>
      <c r="B884" s="7"/>
      <c r="C884" s="7"/>
      <c r="D884" s="7"/>
      <c r="E884" s="7"/>
      <c r="F884" s="7"/>
      <c r="G884" s="9"/>
      <c r="H884" s="9"/>
      <c r="I884" s="9"/>
      <c r="J884" s="7"/>
      <c r="K884" s="7"/>
    </row>
    <row r="885" customFormat="false" ht="15" hidden="false" customHeight="true" outlineLevel="0" collapsed="false">
      <c r="A885" s="14"/>
      <c r="B885" s="7"/>
      <c r="C885" s="7"/>
      <c r="D885" s="7"/>
      <c r="E885" s="7"/>
      <c r="F885" s="7"/>
      <c r="G885" s="9"/>
      <c r="H885" s="9"/>
      <c r="I885" s="9"/>
      <c r="J885" s="7"/>
      <c r="K885" s="7"/>
    </row>
    <row r="886" customFormat="false" ht="15" hidden="false" customHeight="true" outlineLevel="0" collapsed="false">
      <c r="A886" s="14"/>
      <c r="B886" s="7"/>
      <c r="C886" s="7"/>
      <c r="D886" s="7"/>
      <c r="E886" s="7"/>
      <c r="F886" s="7"/>
      <c r="G886" s="9"/>
      <c r="H886" s="9"/>
      <c r="I886" s="9"/>
      <c r="J886" s="7"/>
      <c r="K886" s="7"/>
    </row>
    <row r="887" customFormat="false" ht="15" hidden="false" customHeight="true" outlineLevel="0" collapsed="false">
      <c r="A887" s="14"/>
      <c r="B887" s="7"/>
      <c r="C887" s="7"/>
      <c r="D887" s="7"/>
      <c r="E887" s="7"/>
      <c r="F887" s="7"/>
      <c r="G887" s="9"/>
      <c r="H887" s="9"/>
      <c r="I887" s="9"/>
      <c r="J887" s="7"/>
      <c r="K887" s="7"/>
    </row>
    <row r="888" customFormat="false" ht="15" hidden="false" customHeight="true" outlineLevel="0" collapsed="false">
      <c r="A888" s="14"/>
      <c r="B888" s="7"/>
      <c r="C888" s="7"/>
      <c r="D888" s="7"/>
      <c r="E888" s="7"/>
      <c r="F888" s="7"/>
      <c r="G888" s="9"/>
      <c r="H888" s="9"/>
      <c r="I888" s="9"/>
      <c r="J888" s="7"/>
      <c r="K888" s="7"/>
    </row>
    <row r="889" customFormat="false" ht="15" hidden="false" customHeight="true" outlineLevel="0" collapsed="false">
      <c r="A889" s="14"/>
      <c r="B889" s="7"/>
      <c r="C889" s="7"/>
      <c r="D889" s="7"/>
      <c r="E889" s="7"/>
      <c r="F889" s="7"/>
      <c r="G889" s="9"/>
      <c r="H889" s="9"/>
      <c r="I889" s="9"/>
      <c r="J889" s="7"/>
      <c r="K889" s="7"/>
    </row>
    <row r="890" customFormat="false" ht="15" hidden="false" customHeight="true" outlineLevel="0" collapsed="false">
      <c r="A890" s="14"/>
      <c r="B890" s="7"/>
      <c r="C890" s="7"/>
      <c r="D890" s="7"/>
      <c r="E890" s="7"/>
      <c r="F890" s="7"/>
      <c r="G890" s="9"/>
      <c r="H890" s="9"/>
      <c r="I890" s="9"/>
      <c r="J890" s="7"/>
      <c r="K890" s="7"/>
    </row>
    <row r="891" customFormat="false" ht="15" hidden="false" customHeight="true" outlineLevel="0" collapsed="false">
      <c r="A891" s="14"/>
      <c r="B891" s="7"/>
      <c r="C891" s="7"/>
      <c r="D891" s="7"/>
      <c r="E891" s="7"/>
      <c r="F891" s="7"/>
      <c r="G891" s="9"/>
      <c r="H891" s="9"/>
      <c r="I891" s="9"/>
      <c r="J891" s="7"/>
      <c r="K891" s="7"/>
    </row>
    <row r="892" customFormat="false" ht="15" hidden="false" customHeight="true" outlineLevel="0" collapsed="false">
      <c r="A892" s="14"/>
      <c r="B892" s="7"/>
      <c r="C892" s="7"/>
      <c r="D892" s="7"/>
      <c r="E892" s="7"/>
      <c r="F892" s="7"/>
      <c r="G892" s="9"/>
      <c r="H892" s="9"/>
      <c r="I892" s="9"/>
      <c r="J892" s="7"/>
      <c r="K892" s="7"/>
    </row>
    <row r="893" customFormat="false" ht="15" hidden="false" customHeight="true" outlineLevel="0" collapsed="false">
      <c r="A893" s="14"/>
      <c r="B893" s="7"/>
      <c r="C893" s="7"/>
      <c r="D893" s="7"/>
      <c r="E893" s="7"/>
      <c r="F893" s="7"/>
      <c r="G893" s="9"/>
      <c r="H893" s="9"/>
      <c r="I893" s="9"/>
      <c r="J893" s="7"/>
      <c r="K893" s="7"/>
    </row>
    <row r="894" customFormat="false" ht="15" hidden="false" customHeight="true" outlineLevel="0" collapsed="false">
      <c r="A894" s="14"/>
      <c r="B894" s="7"/>
      <c r="C894" s="7"/>
      <c r="D894" s="7"/>
      <c r="E894" s="7"/>
      <c r="F894" s="7"/>
      <c r="G894" s="9"/>
      <c r="H894" s="9"/>
      <c r="I894" s="9"/>
      <c r="J894" s="7"/>
      <c r="K894" s="7"/>
    </row>
    <row r="895" customFormat="false" ht="15" hidden="false" customHeight="true" outlineLevel="0" collapsed="false">
      <c r="A895" s="14"/>
      <c r="B895" s="7"/>
      <c r="C895" s="7"/>
      <c r="D895" s="7"/>
      <c r="E895" s="7"/>
      <c r="F895" s="7"/>
      <c r="G895" s="9"/>
      <c r="H895" s="9"/>
      <c r="I895" s="9"/>
      <c r="J895" s="7"/>
      <c r="K895" s="7"/>
    </row>
    <row r="896" customFormat="false" ht="15" hidden="false" customHeight="true" outlineLevel="0" collapsed="false">
      <c r="A896" s="14"/>
      <c r="B896" s="7"/>
      <c r="C896" s="7"/>
      <c r="D896" s="7"/>
      <c r="E896" s="7"/>
      <c r="F896" s="7"/>
      <c r="G896" s="9"/>
      <c r="H896" s="9"/>
      <c r="I896" s="9"/>
      <c r="J896" s="7"/>
      <c r="K896" s="7"/>
    </row>
    <row r="897" customFormat="false" ht="15" hidden="false" customHeight="true" outlineLevel="0" collapsed="false">
      <c r="A897" s="14"/>
      <c r="B897" s="7"/>
      <c r="C897" s="7"/>
      <c r="D897" s="7"/>
      <c r="E897" s="7"/>
      <c r="F897" s="7"/>
      <c r="G897" s="9"/>
      <c r="H897" s="9"/>
      <c r="I897" s="9"/>
      <c r="J897" s="7"/>
      <c r="K897" s="7"/>
    </row>
    <row r="898" customFormat="false" ht="15" hidden="false" customHeight="true" outlineLevel="0" collapsed="false">
      <c r="A898" s="14"/>
      <c r="B898" s="7"/>
      <c r="C898" s="7"/>
      <c r="D898" s="7"/>
      <c r="E898" s="7"/>
      <c r="F898" s="7"/>
      <c r="G898" s="9"/>
      <c r="H898" s="9"/>
      <c r="I898" s="9"/>
      <c r="J898" s="7"/>
      <c r="K898" s="7"/>
    </row>
    <row r="899" customFormat="false" ht="15" hidden="false" customHeight="true" outlineLevel="0" collapsed="false">
      <c r="A899" s="14"/>
      <c r="B899" s="7"/>
      <c r="C899" s="7"/>
      <c r="D899" s="7"/>
      <c r="E899" s="7"/>
      <c r="F899" s="7"/>
      <c r="G899" s="9"/>
      <c r="H899" s="9"/>
      <c r="I899" s="9"/>
      <c r="J899" s="7"/>
      <c r="K899" s="7"/>
    </row>
    <row r="900" customFormat="false" ht="15" hidden="false" customHeight="true" outlineLevel="0" collapsed="false">
      <c r="A900" s="14"/>
      <c r="B900" s="7"/>
      <c r="C900" s="7"/>
      <c r="D900" s="7"/>
      <c r="E900" s="7"/>
      <c r="F900" s="7"/>
      <c r="G900" s="9"/>
      <c r="H900" s="9"/>
      <c r="I900" s="9"/>
      <c r="J900" s="7"/>
      <c r="K900" s="7"/>
    </row>
    <row r="901" customFormat="false" ht="15" hidden="false" customHeight="true" outlineLevel="0" collapsed="false">
      <c r="A901" s="14"/>
      <c r="B901" s="7"/>
      <c r="C901" s="7"/>
      <c r="D901" s="7"/>
      <c r="E901" s="7"/>
      <c r="F901" s="7"/>
      <c r="G901" s="9"/>
      <c r="H901" s="9"/>
      <c r="I901" s="9"/>
      <c r="J901" s="7"/>
      <c r="K901" s="7"/>
    </row>
    <row r="902" customFormat="false" ht="15" hidden="false" customHeight="true" outlineLevel="0" collapsed="false">
      <c r="A902" s="14"/>
      <c r="B902" s="7"/>
      <c r="C902" s="7"/>
      <c r="D902" s="7"/>
      <c r="E902" s="7"/>
      <c r="F902" s="7"/>
      <c r="G902" s="9"/>
      <c r="H902" s="9"/>
      <c r="I902" s="9"/>
      <c r="J902" s="7"/>
      <c r="K902" s="7"/>
    </row>
    <row r="903" customFormat="false" ht="15" hidden="false" customHeight="true" outlineLevel="0" collapsed="false">
      <c r="A903" s="14"/>
      <c r="B903" s="7"/>
      <c r="C903" s="7"/>
      <c r="D903" s="7"/>
      <c r="E903" s="7"/>
      <c r="F903" s="7"/>
      <c r="G903" s="9"/>
      <c r="H903" s="9"/>
      <c r="I903" s="9"/>
      <c r="J903" s="7"/>
      <c r="K903" s="7"/>
    </row>
    <row r="904" customFormat="false" ht="15" hidden="false" customHeight="true" outlineLevel="0" collapsed="false">
      <c r="A904" s="14"/>
      <c r="B904" s="7"/>
      <c r="C904" s="7"/>
      <c r="D904" s="7"/>
      <c r="E904" s="7"/>
      <c r="F904" s="7"/>
      <c r="G904" s="9"/>
      <c r="H904" s="9"/>
      <c r="I904" s="9"/>
      <c r="J904" s="7"/>
      <c r="K904" s="7"/>
    </row>
    <row r="905" customFormat="false" ht="15" hidden="false" customHeight="true" outlineLevel="0" collapsed="false">
      <c r="A905" s="14"/>
      <c r="B905" s="7"/>
      <c r="C905" s="7"/>
      <c r="D905" s="7"/>
      <c r="E905" s="7"/>
      <c r="F905" s="7"/>
      <c r="G905" s="9"/>
      <c r="H905" s="9"/>
      <c r="I905" s="9"/>
      <c r="J905" s="7"/>
      <c r="K905" s="7"/>
    </row>
    <row r="906" customFormat="false" ht="15" hidden="false" customHeight="true" outlineLevel="0" collapsed="false">
      <c r="A906" s="14"/>
      <c r="B906" s="7"/>
      <c r="C906" s="7"/>
      <c r="D906" s="7"/>
      <c r="E906" s="7"/>
      <c r="F906" s="7"/>
      <c r="G906" s="9"/>
      <c r="H906" s="9"/>
      <c r="I906" s="9"/>
      <c r="J906" s="7"/>
      <c r="K906" s="7"/>
    </row>
    <row r="907" customFormat="false" ht="15" hidden="false" customHeight="true" outlineLevel="0" collapsed="false">
      <c r="A907" s="14"/>
      <c r="B907" s="7"/>
      <c r="C907" s="7"/>
      <c r="D907" s="7"/>
      <c r="E907" s="7"/>
      <c r="F907" s="7"/>
      <c r="G907" s="9"/>
      <c r="H907" s="9"/>
      <c r="I907" s="9"/>
      <c r="J907" s="7"/>
      <c r="K907" s="7"/>
    </row>
    <row r="908" customFormat="false" ht="15" hidden="false" customHeight="true" outlineLevel="0" collapsed="false">
      <c r="A908" s="14"/>
      <c r="B908" s="7"/>
      <c r="C908" s="7"/>
      <c r="D908" s="7"/>
      <c r="E908" s="7"/>
      <c r="F908" s="7"/>
      <c r="G908" s="9"/>
      <c r="H908" s="9"/>
      <c r="I908" s="9"/>
      <c r="J908" s="7"/>
      <c r="K908" s="7"/>
    </row>
    <row r="909" customFormat="false" ht="15" hidden="false" customHeight="true" outlineLevel="0" collapsed="false">
      <c r="A909" s="14"/>
      <c r="B909" s="7"/>
      <c r="C909" s="7"/>
      <c r="D909" s="7"/>
      <c r="E909" s="7"/>
      <c r="F909" s="7"/>
      <c r="G909" s="9"/>
      <c r="H909" s="9"/>
      <c r="I909" s="9"/>
      <c r="J909" s="7"/>
      <c r="K909" s="7"/>
    </row>
    <row r="910" customFormat="false" ht="15" hidden="false" customHeight="true" outlineLevel="0" collapsed="false">
      <c r="A910" s="14"/>
      <c r="B910" s="7"/>
      <c r="C910" s="7"/>
      <c r="D910" s="7"/>
      <c r="E910" s="7"/>
      <c r="F910" s="7"/>
      <c r="G910" s="9"/>
      <c r="H910" s="9"/>
      <c r="I910" s="9"/>
      <c r="J910" s="7"/>
      <c r="K910" s="7"/>
    </row>
    <row r="911" customFormat="false" ht="15" hidden="false" customHeight="true" outlineLevel="0" collapsed="false">
      <c r="A911" s="14"/>
      <c r="B911" s="7"/>
      <c r="C911" s="7"/>
      <c r="D911" s="7"/>
      <c r="E911" s="7"/>
      <c r="F911" s="7"/>
      <c r="G911" s="9"/>
      <c r="H911" s="9"/>
      <c r="I911" s="9"/>
      <c r="J911" s="7"/>
      <c r="K911" s="7"/>
    </row>
    <row r="912" customFormat="false" ht="15" hidden="false" customHeight="true" outlineLevel="0" collapsed="false">
      <c r="A912" s="14"/>
      <c r="B912" s="7"/>
      <c r="C912" s="7"/>
      <c r="D912" s="7"/>
      <c r="E912" s="7"/>
      <c r="F912" s="7"/>
      <c r="G912" s="9"/>
      <c r="H912" s="9"/>
      <c r="I912" s="9"/>
      <c r="J912" s="7"/>
      <c r="K912" s="7"/>
    </row>
    <row r="913" customFormat="false" ht="15" hidden="false" customHeight="true" outlineLevel="0" collapsed="false">
      <c r="A913" s="14"/>
      <c r="B913" s="7"/>
      <c r="C913" s="7"/>
      <c r="D913" s="7"/>
      <c r="E913" s="7"/>
      <c r="F913" s="7"/>
      <c r="G913" s="9"/>
      <c r="H913" s="9"/>
      <c r="I913" s="9"/>
      <c r="J913" s="7"/>
      <c r="K913" s="7"/>
    </row>
    <row r="914" customFormat="false" ht="15" hidden="false" customHeight="true" outlineLevel="0" collapsed="false">
      <c r="A914" s="14"/>
      <c r="B914" s="7"/>
      <c r="C914" s="7"/>
      <c r="D914" s="7"/>
      <c r="E914" s="7"/>
      <c r="F914" s="7"/>
      <c r="G914" s="9"/>
      <c r="H914" s="9"/>
      <c r="I914" s="9"/>
      <c r="J914" s="7"/>
      <c r="K914" s="7"/>
    </row>
    <row r="915" customFormat="false" ht="15" hidden="false" customHeight="true" outlineLevel="0" collapsed="false">
      <c r="A915" s="14"/>
      <c r="B915" s="7"/>
      <c r="C915" s="7"/>
      <c r="D915" s="7"/>
      <c r="E915" s="7"/>
      <c r="F915" s="7"/>
      <c r="G915" s="9"/>
      <c r="H915" s="9"/>
      <c r="I915" s="9"/>
      <c r="J915" s="7"/>
      <c r="K915" s="7"/>
    </row>
    <row r="916" customFormat="false" ht="15" hidden="false" customHeight="true" outlineLevel="0" collapsed="false">
      <c r="A916" s="14"/>
      <c r="B916" s="7"/>
      <c r="C916" s="7"/>
      <c r="D916" s="7"/>
      <c r="E916" s="7"/>
      <c r="F916" s="7"/>
      <c r="G916" s="9"/>
      <c r="H916" s="9"/>
      <c r="I916" s="9"/>
      <c r="J916" s="7"/>
      <c r="K916" s="7"/>
    </row>
    <row r="917" customFormat="false" ht="15" hidden="false" customHeight="true" outlineLevel="0" collapsed="false">
      <c r="A917" s="14"/>
      <c r="B917" s="7"/>
      <c r="C917" s="7"/>
      <c r="D917" s="7"/>
      <c r="E917" s="7"/>
      <c r="F917" s="7"/>
      <c r="G917" s="9"/>
      <c r="H917" s="9"/>
      <c r="I917" s="9"/>
      <c r="J917" s="7"/>
      <c r="K917" s="7"/>
    </row>
    <row r="918" customFormat="false" ht="15" hidden="false" customHeight="true" outlineLevel="0" collapsed="false">
      <c r="A918" s="14"/>
      <c r="B918" s="7"/>
      <c r="C918" s="7"/>
      <c r="D918" s="7"/>
      <c r="E918" s="7"/>
      <c r="F918" s="7"/>
      <c r="G918" s="9"/>
      <c r="H918" s="9"/>
      <c r="I918" s="9"/>
      <c r="J918" s="7"/>
      <c r="K918" s="7"/>
    </row>
    <row r="919" customFormat="false" ht="15" hidden="false" customHeight="true" outlineLevel="0" collapsed="false">
      <c r="A919" s="14"/>
      <c r="B919" s="7"/>
      <c r="C919" s="7"/>
      <c r="D919" s="7"/>
      <c r="E919" s="7"/>
      <c r="F919" s="7"/>
      <c r="G919" s="9"/>
      <c r="H919" s="9"/>
      <c r="I919" s="9"/>
      <c r="J919" s="7"/>
      <c r="K919" s="7"/>
    </row>
    <row r="920" customFormat="false" ht="15" hidden="false" customHeight="true" outlineLevel="0" collapsed="false">
      <c r="A920" s="14"/>
      <c r="B920" s="7"/>
      <c r="C920" s="7"/>
      <c r="D920" s="7"/>
      <c r="E920" s="7"/>
      <c r="F920" s="7"/>
      <c r="G920" s="9"/>
      <c r="H920" s="9"/>
      <c r="I920" s="9"/>
      <c r="J920" s="7"/>
      <c r="K920" s="7"/>
    </row>
    <row r="921" customFormat="false" ht="15" hidden="false" customHeight="true" outlineLevel="0" collapsed="false">
      <c r="A921" s="14"/>
      <c r="B921" s="7"/>
      <c r="C921" s="7"/>
      <c r="D921" s="7"/>
      <c r="E921" s="7"/>
      <c r="F921" s="7"/>
      <c r="G921" s="9"/>
      <c r="H921" s="9"/>
      <c r="I921" s="9"/>
      <c r="J921" s="7"/>
      <c r="K921" s="7"/>
    </row>
    <row r="922" customFormat="false" ht="15" hidden="false" customHeight="true" outlineLevel="0" collapsed="false">
      <c r="A922" s="14"/>
      <c r="B922" s="7"/>
      <c r="C922" s="7"/>
      <c r="D922" s="7"/>
      <c r="E922" s="7"/>
      <c r="F922" s="7"/>
      <c r="G922" s="9"/>
      <c r="H922" s="9"/>
      <c r="I922" s="9"/>
      <c r="J922" s="7"/>
      <c r="K922" s="7"/>
    </row>
    <row r="923" customFormat="false" ht="15" hidden="false" customHeight="true" outlineLevel="0" collapsed="false">
      <c r="A923" s="14"/>
      <c r="B923" s="7"/>
      <c r="C923" s="7"/>
      <c r="D923" s="7"/>
      <c r="E923" s="7"/>
      <c r="F923" s="7"/>
      <c r="G923" s="9"/>
      <c r="H923" s="9"/>
      <c r="I923" s="9"/>
      <c r="J923" s="7"/>
      <c r="K923" s="7"/>
    </row>
    <row r="924" customFormat="false" ht="15" hidden="false" customHeight="true" outlineLevel="0" collapsed="false">
      <c r="A924" s="14"/>
      <c r="B924" s="7"/>
      <c r="C924" s="7"/>
      <c r="D924" s="7"/>
      <c r="E924" s="7"/>
      <c r="F924" s="7"/>
      <c r="G924" s="9"/>
      <c r="H924" s="9"/>
      <c r="I924" s="9"/>
      <c r="J924" s="7"/>
      <c r="K924" s="7"/>
    </row>
    <row r="925" customFormat="false" ht="15" hidden="false" customHeight="true" outlineLevel="0" collapsed="false">
      <c r="A925" s="14"/>
      <c r="B925" s="7"/>
      <c r="C925" s="7"/>
      <c r="D925" s="7"/>
      <c r="E925" s="7"/>
      <c r="F925" s="7"/>
      <c r="G925" s="9"/>
      <c r="H925" s="9"/>
      <c r="I925" s="9"/>
      <c r="J925" s="7"/>
      <c r="K925" s="7"/>
    </row>
    <row r="926" customFormat="false" ht="15" hidden="false" customHeight="true" outlineLevel="0" collapsed="false">
      <c r="A926" s="14"/>
      <c r="B926" s="7"/>
      <c r="C926" s="7"/>
      <c r="D926" s="7"/>
      <c r="E926" s="7"/>
      <c r="F926" s="7"/>
      <c r="G926" s="9"/>
      <c r="H926" s="9"/>
      <c r="I926" s="9"/>
      <c r="J926" s="7"/>
      <c r="K926" s="7"/>
    </row>
    <row r="927" customFormat="false" ht="15" hidden="false" customHeight="true" outlineLevel="0" collapsed="false">
      <c r="A927" s="14"/>
      <c r="B927" s="7"/>
      <c r="C927" s="7"/>
      <c r="D927" s="7"/>
      <c r="E927" s="7"/>
      <c r="F927" s="7"/>
      <c r="G927" s="9"/>
      <c r="H927" s="9"/>
      <c r="I927" s="9"/>
      <c r="J927" s="7"/>
      <c r="K927" s="7"/>
    </row>
    <row r="928" customFormat="false" ht="15" hidden="false" customHeight="true" outlineLevel="0" collapsed="false">
      <c r="A928" s="14"/>
      <c r="B928" s="7"/>
      <c r="C928" s="7"/>
      <c r="D928" s="7"/>
      <c r="E928" s="7"/>
      <c r="F928" s="7"/>
      <c r="G928" s="9"/>
      <c r="H928" s="9"/>
      <c r="I928" s="9"/>
      <c r="J928" s="7"/>
      <c r="K928" s="7"/>
    </row>
    <row r="929" customFormat="false" ht="15" hidden="false" customHeight="true" outlineLevel="0" collapsed="false">
      <c r="A929" s="14"/>
      <c r="B929" s="7"/>
      <c r="C929" s="7"/>
      <c r="D929" s="7"/>
      <c r="E929" s="7"/>
      <c r="F929" s="7"/>
      <c r="G929" s="9"/>
      <c r="H929" s="9"/>
      <c r="I929" s="9"/>
      <c r="J929" s="7"/>
      <c r="K929" s="7"/>
    </row>
    <row r="930" customFormat="false" ht="15" hidden="false" customHeight="true" outlineLevel="0" collapsed="false">
      <c r="A930" s="14"/>
      <c r="B930" s="7"/>
      <c r="C930" s="7"/>
      <c r="D930" s="7"/>
      <c r="E930" s="7"/>
      <c r="F930" s="7"/>
      <c r="G930" s="9"/>
      <c r="H930" s="9"/>
      <c r="I930" s="9"/>
      <c r="J930" s="7"/>
      <c r="K930" s="7"/>
    </row>
    <row r="931" customFormat="false" ht="15" hidden="false" customHeight="true" outlineLevel="0" collapsed="false">
      <c r="A931" s="14"/>
      <c r="B931" s="7"/>
      <c r="C931" s="7"/>
      <c r="D931" s="7"/>
      <c r="E931" s="7"/>
      <c r="F931" s="7"/>
      <c r="G931" s="9"/>
      <c r="H931" s="9"/>
      <c r="I931" s="9"/>
      <c r="J931" s="7"/>
      <c r="K931" s="7"/>
    </row>
    <row r="932" customFormat="false" ht="15" hidden="false" customHeight="true" outlineLevel="0" collapsed="false">
      <c r="A932" s="14"/>
      <c r="B932" s="7"/>
      <c r="C932" s="7"/>
      <c r="D932" s="7"/>
      <c r="E932" s="7"/>
      <c r="F932" s="7"/>
      <c r="G932" s="9"/>
      <c r="H932" s="9"/>
      <c r="I932" s="9"/>
      <c r="J932" s="7"/>
      <c r="K932" s="7"/>
    </row>
    <row r="933" customFormat="false" ht="15" hidden="false" customHeight="true" outlineLevel="0" collapsed="false">
      <c r="A933" s="14"/>
      <c r="B933" s="7"/>
      <c r="C933" s="7"/>
      <c r="D933" s="7"/>
      <c r="E933" s="7"/>
      <c r="F933" s="7"/>
      <c r="G933" s="9"/>
      <c r="H933" s="9"/>
      <c r="I933" s="9"/>
      <c r="J933" s="7"/>
      <c r="K933" s="7"/>
    </row>
    <row r="934" customFormat="false" ht="15" hidden="false" customHeight="true" outlineLevel="0" collapsed="false">
      <c r="A934" s="14"/>
      <c r="B934" s="7"/>
      <c r="C934" s="7"/>
      <c r="D934" s="7"/>
      <c r="E934" s="7"/>
      <c r="F934" s="7"/>
      <c r="G934" s="9"/>
      <c r="H934" s="9"/>
      <c r="I934" s="9"/>
      <c r="J934" s="7"/>
      <c r="K934" s="7"/>
    </row>
    <row r="935" customFormat="false" ht="15" hidden="false" customHeight="true" outlineLevel="0" collapsed="false">
      <c r="A935" s="14"/>
      <c r="B935" s="7"/>
      <c r="C935" s="7"/>
      <c r="D935" s="7"/>
      <c r="E935" s="7"/>
      <c r="F935" s="7"/>
      <c r="G935" s="9"/>
      <c r="H935" s="9"/>
      <c r="I935" s="9"/>
      <c r="J935" s="7"/>
      <c r="K935" s="7"/>
    </row>
    <row r="936" customFormat="false" ht="15" hidden="false" customHeight="true" outlineLevel="0" collapsed="false">
      <c r="A936" s="14"/>
      <c r="B936" s="7"/>
      <c r="C936" s="7"/>
      <c r="D936" s="7"/>
      <c r="E936" s="7"/>
      <c r="F936" s="7"/>
      <c r="G936" s="9"/>
      <c r="H936" s="9"/>
      <c r="I936" s="9"/>
      <c r="J936" s="7"/>
      <c r="K936" s="7"/>
    </row>
    <row r="937" customFormat="false" ht="15" hidden="false" customHeight="true" outlineLevel="0" collapsed="false">
      <c r="A937" s="14"/>
      <c r="B937" s="7"/>
      <c r="C937" s="7"/>
      <c r="D937" s="7"/>
      <c r="E937" s="7"/>
      <c r="F937" s="7"/>
      <c r="G937" s="9"/>
      <c r="H937" s="9"/>
      <c r="I937" s="9"/>
      <c r="J937" s="7"/>
      <c r="K937" s="7"/>
    </row>
    <row r="938" customFormat="false" ht="15" hidden="false" customHeight="true" outlineLevel="0" collapsed="false">
      <c r="A938" s="14"/>
      <c r="B938" s="7"/>
      <c r="C938" s="7"/>
      <c r="D938" s="7"/>
      <c r="E938" s="7"/>
      <c r="F938" s="7"/>
      <c r="G938" s="9"/>
      <c r="H938" s="9"/>
      <c r="I938" s="9"/>
      <c r="J938" s="7"/>
      <c r="K938" s="7"/>
    </row>
    <row r="939" customFormat="false" ht="15" hidden="false" customHeight="true" outlineLevel="0" collapsed="false">
      <c r="A939" s="14"/>
      <c r="B939" s="7"/>
      <c r="C939" s="7"/>
      <c r="D939" s="7"/>
      <c r="E939" s="7"/>
      <c r="F939" s="7"/>
      <c r="G939" s="9"/>
      <c r="H939" s="9"/>
      <c r="I939" s="9"/>
      <c r="J939" s="7"/>
      <c r="K939" s="7"/>
    </row>
    <row r="940" customFormat="false" ht="15" hidden="false" customHeight="true" outlineLevel="0" collapsed="false">
      <c r="A940" s="14"/>
      <c r="B940" s="7"/>
      <c r="C940" s="7"/>
      <c r="D940" s="7"/>
      <c r="E940" s="7"/>
      <c r="F940" s="7"/>
      <c r="G940" s="9"/>
      <c r="H940" s="9"/>
      <c r="I940" s="9"/>
      <c r="J940" s="7"/>
      <c r="K940" s="7"/>
    </row>
    <row r="941" customFormat="false" ht="15" hidden="false" customHeight="true" outlineLevel="0" collapsed="false">
      <c r="A941" s="14"/>
      <c r="B941" s="7"/>
      <c r="C941" s="7"/>
      <c r="D941" s="7"/>
      <c r="E941" s="7"/>
      <c r="F941" s="7"/>
      <c r="G941" s="9"/>
      <c r="H941" s="9"/>
      <c r="I941" s="9"/>
      <c r="J941" s="7"/>
      <c r="K941" s="7"/>
    </row>
    <row r="942" customFormat="false" ht="15" hidden="false" customHeight="true" outlineLevel="0" collapsed="false">
      <c r="A942" s="14"/>
      <c r="B942" s="7"/>
      <c r="C942" s="7"/>
      <c r="D942" s="7"/>
      <c r="E942" s="7"/>
      <c r="F942" s="7"/>
      <c r="G942" s="9"/>
      <c r="H942" s="9"/>
      <c r="I942" s="9"/>
      <c r="J942" s="7"/>
      <c r="K942" s="7"/>
    </row>
    <row r="943" customFormat="false" ht="15" hidden="false" customHeight="true" outlineLevel="0" collapsed="false">
      <c r="A943" s="14"/>
      <c r="B943" s="7"/>
      <c r="C943" s="7"/>
      <c r="D943" s="7"/>
      <c r="E943" s="7"/>
      <c r="F943" s="7"/>
      <c r="G943" s="9"/>
      <c r="H943" s="9"/>
      <c r="I943" s="9"/>
      <c r="J943" s="7"/>
      <c r="K943" s="7"/>
    </row>
    <row r="944" customFormat="false" ht="15" hidden="false" customHeight="true" outlineLevel="0" collapsed="false">
      <c r="A944" s="14"/>
      <c r="B944" s="7"/>
      <c r="C944" s="7"/>
      <c r="D944" s="7"/>
      <c r="E944" s="7"/>
      <c r="F944" s="7"/>
      <c r="G944" s="9"/>
      <c r="H944" s="9"/>
      <c r="I944" s="9"/>
      <c r="J944" s="7"/>
      <c r="K944" s="7"/>
    </row>
    <row r="945" customFormat="false" ht="15" hidden="false" customHeight="true" outlineLevel="0" collapsed="false">
      <c r="A945" s="14"/>
      <c r="B945" s="7"/>
      <c r="C945" s="7"/>
      <c r="D945" s="7"/>
      <c r="E945" s="7"/>
      <c r="F945" s="7"/>
      <c r="G945" s="9"/>
      <c r="H945" s="9"/>
      <c r="I945" s="9"/>
      <c r="J945" s="7"/>
      <c r="K945" s="7"/>
    </row>
    <row r="946" customFormat="false" ht="15" hidden="false" customHeight="true" outlineLevel="0" collapsed="false">
      <c r="A946" s="14"/>
      <c r="B946" s="7"/>
      <c r="C946" s="7"/>
      <c r="D946" s="7"/>
      <c r="E946" s="7"/>
      <c r="F946" s="7"/>
      <c r="G946" s="9"/>
      <c r="H946" s="9"/>
      <c r="I946" s="9"/>
      <c r="J946" s="7"/>
      <c r="K946" s="7"/>
    </row>
    <row r="947" customFormat="false" ht="15" hidden="false" customHeight="true" outlineLevel="0" collapsed="false">
      <c r="A947" s="14"/>
      <c r="B947" s="7"/>
      <c r="C947" s="7"/>
      <c r="D947" s="7"/>
      <c r="E947" s="7"/>
      <c r="F947" s="7"/>
      <c r="G947" s="9"/>
      <c r="H947" s="9"/>
      <c r="I947" s="9"/>
      <c r="J947" s="7"/>
      <c r="K947" s="7"/>
    </row>
    <row r="948" customFormat="false" ht="15" hidden="false" customHeight="true" outlineLevel="0" collapsed="false">
      <c r="A948" s="14"/>
      <c r="B948" s="7"/>
      <c r="C948" s="7"/>
      <c r="D948" s="7"/>
      <c r="E948" s="7"/>
      <c r="F948" s="7"/>
      <c r="G948" s="9"/>
      <c r="H948" s="9"/>
      <c r="I948" s="9"/>
      <c r="J948" s="7"/>
      <c r="K948" s="7"/>
    </row>
    <row r="949" customFormat="false" ht="15" hidden="false" customHeight="true" outlineLevel="0" collapsed="false">
      <c r="A949" s="14"/>
      <c r="B949" s="7"/>
      <c r="C949" s="7"/>
      <c r="D949" s="7"/>
      <c r="E949" s="7"/>
      <c r="F949" s="7"/>
      <c r="G949" s="9"/>
      <c r="H949" s="9"/>
      <c r="I949" s="9"/>
      <c r="J949" s="7"/>
      <c r="K949" s="7"/>
    </row>
    <row r="950" customFormat="false" ht="15" hidden="false" customHeight="true" outlineLevel="0" collapsed="false">
      <c r="A950" s="14"/>
      <c r="B950" s="7"/>
      <c r="C950" s="7"/>
      <c r="D950" s="7"/>
      <c r="E950" s="7"/>
      <c r="F950" s="7"/>
      <c r="G950" s="9"/>
      <c r="H950" s="9"/>
      <c r="I950" s="9"/>
      <c r="J950" s="7"/>
      <c r="K950" s="7"/>
    </row>
    <row r="951" customFormat="false" ht="15" hidden="false" customHeight="true" outlineLevel="0" collapsed="false">
      <c r="A951" s="14"/>
      <c r="B951" s="7"/>
      <c r="C951" s="7"/>
      <c r="D951" s="7"/>
      <c r="E951" s="7"/>
      <c r="F951" s="7"/>
      <c r="G951" s="9"/>
      <c r="H951" s="9"/>
      <c r="I951" s="9"/>
      <c r="J951" s="7"/>
      <c r="K951" s="7"/>
    </row>
    <row r="952" customFormat="false" ht="15" hidden="false" customHeight="true" outlineLevel="0" collapsed="false">
      <c r="A952" s="14"/>
      <c r="B952" s="7"/>
      <c r="C952" s="7"/>
      <c r="D952" s="7"/>
      <c r="E952" s="7"/>
      <c r="F952" s="7"/>
      <c r="G952" s="9"/>
      <c r="H952" s="9"/>
      <c r="I952" s="9"/>
      <c r="J952" s="7"/>
      <c r="K952" s="7"/>
    </row>
    <row r="953" customFormat="false" ht="15" hidden="false" customHeight="true" outlineLevel="0" collapsed="false">
      <c r="A953" s="14"/>
      <c r="B953" s="7"/>
      <c r="C953" s="7"/>
      <c r="D953" s="7"/>
      <c r="E953" s="7"/>
      <c r="F953" s="7"/>
      <c r="G953" s="9"/>
      <c r="H953" s="9"/>
      <c r="I953" s="9"/>
      <c r="J953" s="7"/>
      <c r="K953" s="7"/>
    </row>
    <row r="954" customFormat="false" ht="15" hidden="false" customHeight="true" outlineLevel="0" collapsed="false">
      <c r="A954" s="14"/>
      <c r="B954" s="7"/>
      <c r="C954" s="7"/>
      <c r="D954" s="7"/>
      <c r="E954" s="7"/>
      <c r="F954" s="7"/>
      <c r="G954" s="9"/>
      <c r="H954" s="9"/>
      <c r="I954" s="9"/>
      <c r="J954" s="7"/>
      <c r="K954" s="7"/>
    </row>
    <row r="955" customFormat="false" ht="15" hidden="false" customHeight="true" outlineLevel="0" collapsed="false">
      <c r="A955" s="14"/>
      <c r="B955" s="7"/>
      <c r="C955" s="7"/>
      <c r="D955" s="7"/>
      <c r="E955" s="7"/>
      <c r="F955" s="7"/>
      <c r="G955" s="9"/>
      <c r="H955" s="9"/>
      <c r="I955" s="9"/>
      <c r="J955" s="7"/>
      <c r="K955" s="7"/>
    </row>
    <row r="956" customFormat="false" ht="15" hidden="false" customHeight="true" outlineLevel="0" collapsed="false">
      <c r="A956" s="14"/>
      <c r="B956" s="7"/>
      <c r="C956" s="7"/>
      <c r="D956" s="7"/>
      <c r="E956" s="7"/>
      <c r="F956" s="7"/>
      <c r="G956" s="9"/>
      <c r="H956" s="9"/>
      <c r="I956" s="9"/>
      <c r="J956" s="7"/>
      <c r="K956" s="7"/>
    </row>
    <row r="957" customFormat="false" ht="15" hidden="false" customHeight="true" outlineLevel="0" collapsed="false">
      <c r="A957" s="14"/>
      <c r="B957" s="7"/>
      <c r="C957" s="7"/>
      <c r="D957" s="7"/>
      <c r="E957" s="7"/>
      <c r="F957" s="7"/>
      <c r="G957" s="9"/>
      <c r="H957" s="9"/>
      <c r="I957" s="9"/>
      <c r="J957" s="7"/>
      <c r="K957" s="7"/>
    </row>
    <row r="958" customFormat="false" ht="15" hidden="false" customHeight="true" outlineLevel="0" collapsed="false">
      <c r="A958" s="14"/>
      <c r="B958" s="7"/>
      <c r="C958" s="7"/>
      <c r="D958" s="7"/>
      <c r="E958" s="7"/>
      <c r="F958" s="7"/>
      <c r="G958" s="9"/>
      <c r="H958" s="9"/>
      <c r="I958" s="9"/>
      <c r="J958" s="7"/>
      <c r="K958" s="7"/>
    </row>
    <row r="959" customFormat="false" ht="15" hidden="false" customHeight="true" outlineLevel="0" collapsed="false">
      <c r="A959" s="14"/>
      <c r="B959" s="7"/>
      <c r="C959" s="7"/>
      <c r="D959" s="7"/>
      <c r="E959" s="7"/>
      <c r="F959" s="7"/>
      <c r="G959" s="9"/>
      <c r="H959" s="9"/>
      <c r="I959" s="9"/>
      <c r="J959" s="7"/>
      <c r="K959" s="7"/>
    </row>
    <row r="960" customFormat="false" ht="15" hidden="false" customHeight="true" outlineLevel="0" collapsed="false">
      <c r="A960" s="14"/>
      <c r="B960" s="7"/>
      <c r="C960" s="7"/>
      <c r="D960" s="7"/>
      <c r="E960" s="7"/>
      <c r="F960" s="7"/>
      <c r="G960" s="9"/>
      <c r="H960" s="9"/>
      <c r="I960" s="9"/>
      <c r="J960" s="7"/>
      <c r="K960" s="7"/>
    </row>
    <row r="961" customFormat="false" ht="15" hidden="false" customHeight="true" outlineLevel="0" collapsed="false">
      <c r="A961" s="14"/>
      <c r="B961" s="7"/>
      <c r="C961" s="7"/>
      <c r="D961" s="7"/>
      <c r="E961" s="7"/>
      <c r="F961" s="7"/>
      <c r="G961" s="9"/>
      <c r="H961" s="9"/>
      <c r="I961" s="9"/>
      <c r="J961" s="7"/>
      <c r="K961" s="7"/>
    </row>
    <row r="962" customFormat="false" ht="15" hidden="false" customHeight="true" outlineLevel="0" collapsed="false">
      <c r="A962" s="14"/>
      <c r="B962" s="7"/>
      <c r="C962" s="7"/>
      <c r="D962" s="7"/>
      <c r="E962" s="7"/>
      <c r="F962" s="7"/>
      <c r="G962" s="9"/>
      <c r="H962" s="9"/>
      <c r="I962" s="9"/>
      <c r="J962" s="7"/>
      <c r="K962" s="7"/>
    </row>
    <row r="963" customFormat="false" ht="15" hidden="false" customHeight="true" outlineLevel="0" collapsed="false">
      <c r="A963" s="14"/>
      <c r="B963" s="7"/>
      <c r="C963" s="7"/>
      <c r="D963" s="7"/>
      <c r="E963" s="7"/>
      <c r="F963" s="7"/>
      <c r="G963" s="9"/>
      <c r="H963" s="9"/>
      <c r="I963" s="9"/>
      <c r="J963" s="7"/>
      <c r="K963" s="7"/>
    </row>
    <row r="964" customFormat="false" ht="15" hidden="false" customHeight="true" outlineLevel="0" collapsed="false">
      <c r="A964" s="14"/>
      <c r="B964" s="7"/>
      <c r="C964" s="7"/>
      <c r="D964" s="7"/>
      <c r="E964" s="7"/>
      <c r="F964" s="7"/>
      <c r="G964" s="9"/>
      <c r="H964" s="9"/>
      <c r="I964" s="9"/>
      <c r="J964" s="7"/>
      <c r="K964" s="7"/>
    </row>
    <row r="965" customFormat="false" ht="15" hidden="false" customHeight="true" outlineLevel="0" collapsed="false">
      <c r="A965" s="14"/>
      <c r="B965" s="7"/>
      <c r="C965" s="7"/>
      <c r="D965" s="7"/>
      <c r="E965" s="7"/>
      <c r="F965" s="7"/>
      <c r="G965" s="9"/>
      <c r="H965" s="9"/>
      <c r="I965" s="9"/>
      <c r="J965" s="7"/>
      <c r="K965" s="7"/>
    </row>
    <row r="966" customFormat="false" ht="15" hidden="false" customHeight="true" outlineLevel="0" collapsed="false">
      <c r="A966" s="14"/>
      <c r="B966" s="7"/>
      <c r="C966" s="7"/>
      <c r="D966" s="7"/>
      <c r="E966" s="7"/>
      <c r="F966" s="7"/>
      <c r="G966" s="9"/>
      <c r="H966" s="9"/>
      <c r="I966" s="9"/>
      <c r="J966" s="7"/>
      <c r="K966" s="7"/>
    </row>
    <row r="967" customFormat="false" ht="15" hidden="false" customHeight="true" outlineLevel="0" collapsed="false">
      <c r="A967" s="14"/>
      <c r="B967" s="7"/>
      <c r="C967" s="7"/>
      <c r="D967" s="7"/>
      <c r="E967" s="7"/>
      <c r="F967" s="7"/>
      <c r="G967" s="9"/>
      <c r="H967" s="9"/>
      <c r="I967" s="9"/>
      <c r="J967" s="7"/>
      <c r="K967" s="7"/>
    </row>
    <row r="968" customFormat="false" ht="15" hidden="false" customHeight="true" outlineLevel="0" collapsed="false">
      <c r="A968" s="14"/>
      <c r="B968" s="7"/>
      <c r="C968" s="7"/>
      <c r="D968" s="7"/>
      <c r="E968" s="7"/>
      <c r="F968" s="7"/>
      <c r="G968" s="9"/>
      <c r="H968" s="9"/>
      <c r="I968" s="9"/>
      <c r="J968" s="7"/>
      <c r="K968" s="7"/>
    </row>
    <row r="969" customFormat="false" ht="15" hidden="false" customHeight="true" outlineLevel="0" collapsed="false">
      <c r="A969" s="14"/>
      <c r="B969" s="7"/>
      <c r="C969" s="7"/>
      <c r="D969" s="7"/>
      <c r="E969" s="7"/>
      <c r="F969" s="7"/>
      <c r="G969" s="9"/>
      <c r="H969" s="9"/>
      <c r="I969" s="9"/>
      <c r="J969" s="7"/>
      <c r="K969" s="7"/>
    </row>
    <row r="970" customFormat="false" ht="15" hidden="false" customHeight="true" outlineLevel="0" collapsed="false">
      <c r="A970" s="14"/>
      <c r="B970" s="7"/>
      <c r="C970" s="7"/>
      <c r="D970" s="7"/>
      <c r="E970" s="7"/>
      <c r="F970" s="7"/>
      <c r="G970" s="9"/>
      <c r="H970" s="9"/>
      <c r="I970" s="9"/>
      <c r="J970" s="7"/>
      <c r="K970" s="7"/>
    </row>
    <row r="971" customFormat="false" ht="15" hidden="false" customHeight="true" outlineLevel="0" collapsed="false">
      <c r="A971" s="14"/>
      <c r="B971" s="7"/>
      <c r="C971" s="7"/>
      <c r="D971" s="7"/>
      <c r="E971" s="7"/>
      <c r="F971" s="7"/>
      <c r="G971" s="9"/>
      <c r="H971" s="9"/>
      <c r="I971" s="9"/>
      <c r="J971" s="7"/>
      <c r="K971" s="7"/>
    </row>
    <row r="972" customFormat="false" ht="15" hidden="false" customHeight="true" outlineLevel="0" collapsed="false">
      <c r="A972" s="14"/>
      <c r="B972" s="7"/>
      <c r="C972" s="7"/>
      <c r="D972" s="7"/>
      <c r="E972" s="7"/>
      <c r="F972" s="7"/>
      <c r="G972" s="9"/>
      <c r="H972" s="9"/>
      <c r="I972" s="9"/>
      <c r="J972" s="7"/>
      <c r="K972" s="7"/>
    </row>
    <row r="973" customFormat="false" ht="15" hidden="false" customHeight="true" outlineLevel="0" collapsed="false">
      <c r="A973" s="14"/>
      <c r="B973" s="7"/>
      <c r="C973" s="7"/>
      <c r="D973" s="7"/>
      <c r="E973" s="7"/>
      <c r="F973" s="7"/>
      <c r="G973" s="9"/>
      <c r="H973" s="9"/>
      <c r="I973" s="9"/>
      <c r="J973" s="7"/>
      <c r="K973" s="7"/>
    </row>
    <row r="974" customFormat="false" ht="15" hidden="false" customHeight="true" outlineLevel="0" collapsed="false">
      <c r="A974" s="14"/>
      <c r="B974" s="7"/>
      <c r="C974" s="7"/>
      <c r="D974" s="7"/>
      <c r="E974" s="7"/>
      <c r="F974" s="7"/>
      <c r="G974" s="9"/>
      <c r="H974" s="9"/>
      <c r="I974" s="9"/>
      <c r="J974" s="7"/>
      <c r="K974" s="7"/>
    </row>
    <row r="975" customFormat="false" ht="15" hidden="false" customHeight="true" outlineLevel="0" collapsed="false">
      <c r="A975" s="14"/>
      <c r="B975" s="7"/>
      <c r="C975" s="7"/>
      <c r="D975" s="7"/>
      <c r="E975" s="7"/>
      <c r="F975" s="7"/>
      <c r="G975" s="9"/>
      <c r="H975" s="9"/>
      <c r="I975" s="9"/>
      <c r="J975" s="7"/>
      <c r="K975" s="7"/>
    </row>
    <row r="976" customFormat="false" ht="15" hidden="false" customHeight="true" outlineLevel="0" collapsed="false">
      <c r="A976" s="14"/>
      <c r="B976" s="7"/>
      <c r="C976" s="7"/>
      <c r="D976" s="7"/>
      <c r="E976" s="7"/>
      <c r="F976" s="7"/>
      <c r="G976" s="9"/>
      <c r="H976" s="9"/>
      <c r="I976" s="9"/>
      <c r="J976" s="7"/>
      <c r="K976" s="7"/>
    </row>
    <row r="977" customFormat="false" ht="15" hidden="false" customHeight="true" outlineLevel="0" collapsed="false">
      <c r="A977" s="14"/>
      <c r="B977" s="7"/>
      <c r="C977" s="7"/>
      <c r="D977" s="7"/>
      <c r="E977" s="7"/>
      <c r="F977" s="7"/>
      <c r="G977" s="9"/>
      <c r="H977" s="9"/>
      <c r="I977" s="9"/>
      <c r="J977" s="7"/>
      <c r="K977" s="7"/>
    </row>
    <row r="978" customFormat="false" ht="15" hidden="false" customHeight="true" outlineLevel="0" collapsed="false">
      <c r="A978" s="14"/>
      <c r="B978" s="7"/>
      <c r="C978" s="7"/>
      <c r="D978" s="7"/>
      <c r="E978" s="7"/>
      <c r="F978" s="7"/>
      <c r="G978" s="9"/>
      <c r="H978" s="9"/>
      <c r="I978" s="9"/>
      <c r="J978" s="7"/>
      <c r="K978" s="7"/>
    </row>
    <row r="979" customFormat="false" ht="15" hidden="false" customHeight="true" outlineLevel="0" collapsed="false">
      <c r="A979" s="14"/>
      <c r="B979" s="7"/>
      <c r="C979" s="7"/>
      <c r="D979" s="7"/>
      <c r="E979" s="7"/>
      <c r="F979" s="7"/>
      <c r="G979" s="9"/>
      <c r="H979" s="9"/>
      <c r="I979" s="9"/>
      <c r="J979" s="7"/>
      <c r="K979" s="7"/>
    </row>
    <row r="980" customFormat="false" ht="15" hidden="false" customHeight="true" outlineLevel="0" collapsed="false">
      <c r="A980" s="14"/>
      <c r="B980" s="7"/>
      <c r="C980" s="7"/>
      <c r="D980" s="7"/>
      <c r="E980" s="7"/>
      <c r="F980" s="7"/>
      <c r="G980" s="9"/>
      <c r="H980" s="9"/>
      <c r="I980" s="9"/>
      <c r="J980" s="7"/>
      <c r="K980" s="7"/>
    </row>
    <row r="981" customFormat="false" ht="15" hidden="false" customHeight="true" outlineLevel="0" collapsed="false">
      <c r="A981" s="14"/>
      <c r="B981" s="7"/>
      <c r="C981" s="7"/>
      <c r="D981" s="7"/>
      <c r="E981" s="7"/>
      <c r="F981" s="7"/>
      <c r="G981" s="9"/>
      <c r="H981" s="9"/>
      <c r="I981" s="9"/>
      <c r="J981" s="7"/>
      <c r="K981" s="7"/>
    </row>
    <row r="982" customFormat="false" ht="15" hidden="false" customHeight="true" outlineLevel="0" collapsed="false">
      <c r="A982" s="14"/>
      <c r="B982" s="7"/>
      <c r="C982" s="7"/>
      <c r="D982" s="7"/>
      <c r="E982" s="7"/>
      <c r="F982" s="7"/>
      <c r="G982" s="9"/>
      <c r="H982" s="9"/>
      <c r="I982" s="9"/>
      <c r="J982" s="7"/>
      <c r="K982" s="7"/>
    </row>
    <row r="983" customFormat="false" ht="15" hidden="false" customHeight="true" outlineLevel="0" collapsed="false">
      <c r="A983" s="14"/>
      <c r="B983" s="7"/>
      <c r="C983" s="7"/>
      <c r="D983" s="7"/>
      <c r="E983" s="7"/>
      <c r="F983" s="7"/>
      <c r="G983" s="9"/>
      <c r="H983" s="9"/>
      <c r="I983" s="9"/>
      <c r="J983" s="7"/>
      <c r="K983" s="7"/>
    </row>
    <row r="984" customFormat="false" ht="15" hidden="false" customHeight="true" outlineLevel="0" collapsed="false">
      <c r="A984" s="14"/>
      <c r="B984" s="7"/>
      <c r="C984" s="7"/>
      <c r="D984" s="7"/>
      <c r="E984" s="7"/>
      <c r="F984" s="7"/>
      <c r="G984" s="9"/>
      <c r="H984" s="9"/>
      <c r="I984" s="9"/>
      <c r="J984" s="7"/>
      <c r="K984" s="7"/>
    </row>
    <row r="985" customFormat="false" ht="15" hidden="false" customHeight="true" outlineLevel="0" collapsed="false">
      <c r="A985" s="14"/>
      <c r="B985" s="7"/>
      <c r="C985" s="7"/>
      <c r="D985" s="7"/>
      <c r="E985" s="7"/>
      <c r="F985" s="7"/>
      <c r="G985" s="9"/>
      <c r="H985" s="9"/>
      <c r="I985" s="9"/>
      <c r="J985" s="7"/>
      <c r="K985" s="7"/>
    </row>
    <row r="986" customFormat="false" ht="15" hidden="false" customHeight="true" outlineLevel="0" collapsed="false">
      <c r="A986" s="14"/>
      <c r="B986" s="7"/>
      <c r="C986" s="7"/>
      <c r="D986" s="7"/>
      <c r="E986" s="7"/>
      <c r="F986" s="7"/>
      <c r="G986" s="9"/>
      <c r="H986" s="9"/>
      <c r="I986" s="9"/>
      <c r="J986" s="7"/>
      <c r="K986" s="7"/>
    </row>
    <row r="987" customFormat="false" ht="15" hidden="false" customHeight="true" outlineLevel="0" collapsed="false">
      <c r="A987" s="14"/>
      <c r="B987" s="7"/>
      <c r="C987" s="7"/>
      <c r="D987" s="7"/>
      <c r="E987" s="7"/>
      <c r="F987" s="7"/>
      <c r="G987" s="9"/>
      <c r="H987" s="9"/>
      <c r="I987" s="9"/>
      <c r="J987" s="7"/>
      <c r="K987" s="7"/>
    </row>
    <row r="988" customFormat="false" ht="15" hidden="false" customHeight="true" outlineLevel="0" collapsed="false">
      <c r="A988" s="14"/>
      <c r="B988" s="7"/>
      <c r="C988" s="7"/>
      <c r="D988" s="7"/>
      <c r="E988" s="7"/>
      <c r="F988" s="7"/>
      <c r="G988" s="9"/>
      <c r="H988" s="9"/>
      <c r="I988" s="9"/>
      <c r="J988" s="7"/>
      <c r="K988" s="7"/>
    </row>
    <row r="989" customFormat="false" ht="15" hidden="false" customHeight="true" outlineLevel="0" collapsed="false">
      <c r="A989" s="14"/>
      <c r="B989" s="7"/>
      <c r="C989" s="7"/>
      <c r="D989" s="7"/>
      <c r="E989" s="7"/>
      <c r="F989" s="7"/>
      <c r="G989" s="9"/>
      <c r="H989" s="9"/>
      <c r="I989" s="9"/>
      <c r="J989" s="7"/>
      <c r="K989" s="7"/>
    </row>
    <row r="990" customFormat="false" ht="15" hidden="false" customHeight="true" outlineLevel="0" collapsed="false">
      <c r="A990" s="14"/>
      <c r="B990" s="7"/>
      <c r="C990" s="7"/>
      <c r="D990" s="7"/>
      <c r="E990" s="7"/>
      <c r="F990" s="7"/>
      <c r="G990" s="9"/>
      <c r="H990" s="9"/>
      <c r="I990" s="9"/>
      <c r="J990" s="7"/>
      <c r="K990" s="7"/>
    </row>
    <row r="991" customFormat="false" ht="15" hidden="false" customHeight="true" outlineLevel="0" collapsed="false">
      <c r="A991" s="14"/>
      <c r="B991" s="7"/>
      <c r="C991" s="7"/>
      <c r="D991" s="7"/>
      <c r="E991" s="7"/>
      <c r="F991" s="7"/>
      <c r="G991" s="9"/>
      <c r="H991" s="9"/>
      <c r="I991" s="9"/>
      <c r="J991" s="7"/>
      <c r="K991" s="7"/>
    </row>
    <row r="992" customFormat="false" ht="15" hidden="false" customHeight="true" outlineLevel="0" collapsed="false">
      <c r="A992" s="14"/>
      <c r="B992" s="7"/>
      <c r="C992" s="7"/>
      <c r="D992" s="7"/>
      <c r="E992" s="7"/>
      <c r="F992" s="7"/>
      <c r="G992" s="9"/>
      <c r="H992" s="9"/>
      <c r="I992" s="9"/>
      <c r="J992" s="7"/>
      <c r="K992" s="7"/>
    </row>
    <row r="993" customFormat="false" ht="15" hidden="false" customHeight="true" outlineLevel="0" collapsed="false">
      <c r="A993" s="14"/>
      <c r="B993" s="7"/>
      <c r="C993" s="7"/>
      <c r="D993" s="7"/>
      <c r="E993" s="7"/>
      <c r="F993" s="7"/>
      <c r="G993" s="9"/>
      <c r="H993" s="9"/>
      <c r="I993" s="9"/>
      <c r="J993" s="7"/>
      <c r="K993" s="7"/>
    </row>
    <row r="994" customFormat="false" ht="15" hidden="false" customHeight="true" outlineLevel="0" collapsed="false">
      <c r="A994" s="14"/>
      <c r="B994" s="7"/>
      <c r="C994" s="7"/>
      <c r="D994" s="7"/>
      <c r="E994" s="7"/>
      <c r="F994" s="7"/>
      <c r="G994" s="9"/>
      <c r="H994" s="9"/>
      <c r="I994" s="9"/>
      <c r="J994" s="7"/>
      <c r="K994" s="7"/>
    </row>
    <row r="995" customFormat="false" ht="15" hidden="false" customHeight="true" outlineLevel="0" collapsed="false">
      <c r="A995" s="14"/>
      <c r="B995" s="7"/>
      <c r="C995" s="7"/>
      <c r="D995" s="7"/>
      <c r="E995" s="7"/>
      <c r="F995" s="7"/>
      <c r="G995" s="9"/>
      <c r="H995" s="9"/>
      <c r="I995" s="9"/>
      <c r="J995" s="7"/>
      <c r="K995" s="7"/>
    </row>
    <row r="996" customFormat="false" ht="15" hidden="false" customHeight="true" outlineLevel="0" collapsed="false">
      <c r="A996" s="14"/>
      <c r="B996" s="7"/>
      <c r="C996" s="7"/>
      <c r="D996" s="7"/>
      <c r="E996" s="7"/>
      <c r="F996" s="7"/>
      <c r="G996" s="9"/>
      <c r="H996" s="9"/>
      <c r="I996" s="9"/>
      <c r="J996" s="7"/>
      <c r="K996" s="7"/>
    </row>
    <row r="997" customFormat="false" ht="15" hidden="false" customHeight="true" outlineLevel="0" collapsed="false">
      <c r="A997" s="14"/>
      <c r="B997" s="7"/>
      <c r="C997" s="7"/>
      <c r="D997" s="7"/>
      <c r="E997" s="7"/>
      <c r="F997" s="7"/>
      <c r="G997" s="9"/>
      <c r="H997" s="9"/>
      <c r="I997" s="9"/>
      <c r="J997" s="7"/>
      <c r="K997" s="7"/>
    </row>
    <row r="998" customFormat="false" ht="15" hidden="false" customHeight="true" outlineLevel="0" collapsed="false">
      <c r="A998" s="14"/>
      <c r="B998" s="7"/>
      <c r="C998" s="7"/>
      <c r="D998" s="7"/>
      <c r="E998" s="7"/>
      <c r="F998" s="7"/>
      <c r="G998" s="9"/>
      <c r="H998" s="9"/>
      <c r="I998" s="9"/>
      <c r="J998" s="7"/>
      <c r="K998" s="7"/>
    </row>
    <row r="999" customFormat="false" ht="15" hidden="false" customHeight="true" outlineLevel="0" collapsed="false">
      <c r="A999" s="14"/>
      <c r="B999" s="7"/>
      <c r="C999" s="7"/>
      <c r="D999" s="7"/>
      <c r="E999" s="7"/>
      <c r="F999" s="7"/>
      <c r="G999" s="9"/>
      <c r="H999" s="9"/>
      <c r="I999" s="9"/>
      <c r="J999" s="7"/>
      <c r="K999" s="7"/>
    </row>
    <row r="1000" customFormat="false" ht="15" hidden="false" customHeight="true" outlineLevel="0" collapsed="false">
      <c r="A1000" s="14"/>
      <c r="B1000" s="7"/>
      <c r="C1000" s="7"/>
      <c r="D1000" s="7"/>
      <c r="E1000" s="7"/>
      <c r="F1000" s="7"/>
      <c r="G1000" s="9"/>
      <c r="H1000" s="9"/>
      <c r="I1000" s="9"/>
      <c r="J1000" s="7"/>
      <c r="K1000" s="7"/>
    </row>
    <row r="1001" customFormat="false" ht="15" hidden="false" customHeight="true" outlineLevel="0" collapsed="false">
      <c r="A1001" s="14"/>
      <c r="B1001" s="7"/>
      <c r="C1001" s="7"/>
      <c r="D1001" s="7"/>
      <c r="E1001" s="7"/>
      <c r="F1001" s="7"/>
      <c r="G1001" s="9"/>
      <c r="H1001" s="9"/>
      <c r="I1001" s="9"/>
      <c r="J1001" s="7"/>
      <c r="K1001" s="7"/>
    </row>
    <row r="1002" customFormat="false" ht="15" hidden="false" customHeight="true" outlineLevel="0" collapsed="false">
      <c r="A1002" s="14"/>
      <c r="B1002" s="7"/>
      <c r="C1002" s="7"/>
      <c r="D1002" s="7"/>
      <c r="E1002" s="7"/>
      <c r="F1002" s="7"/>
      <c r="G1002" s="9"/>
      <c r="H1002" s="9"/>
      <c r="I1002" s="9"/>
      <c r="J1002" s="7"/>
      <c r="K1002" s="7"/>
    </row>
    <row r="1003" customFormat="false" ht="15" hidden="false" customHeight="true" outlineLevel="0" collapsed="false">
      <c r="A1003" s="14"/>
      <c r="B1003" s="7"/>
      <c r="C1003" s="7"/>
      <c r="D1003" s="7"/>
      <c r="E1003" s="7"/>
      <c r="F1003" s="7"/>
      <c r="G1003" s="9"/>
      <c r="H1003" s="9"/>
      <c r="I1003" s="9"/>
      <c r="J1003" s="7"/>
      <c r="K1003" s="7"/>
    </row>
    <row r="1004" customFormat="false" ht="15" hidden="false" customHeight="true" outlineLevel="0" collapsed="false">
      <c r="A1004" s="14"/>
      <c r="B1004" s="7"/>
      <c r="C1004" s="7"/>
      <c r="D1004" s="7"/>
      <c r="E1004" s="7"/>
      <c r="F1004" s="7"/>
      <c r="G1004" s="9"/>
      <c r="H1004" s="9"/>
      <c r="I1004" s="9"/>
      <c r="J1004" s="7"/>
      <c r="K1004" s="7"/>
    </row>
    <row r="1005" customFormat="false" ht="15" hidden="false" customHeight="true" outlineLevel="0" collapsed="false">
      <c r="A1005" s="14"/>
      <c r="B1005" s="7"/>
      <c r="C1005" s="7"/>
      <c r="D1005" s="7"/>
      <c r="E1005" s="7"/>
      <c r="F1005" s="7"/>
      <c r="G1005" s="9"/>
      <c r="H1005" s="9"/>
      <c r="I1005" s="9"/>
      <c r="J1005" s="7"/>
      <c r="K1005" s="7"/>
    </row>
    <row r="1006" customFormat="false" ht="15" hidden="false" customHeight="true" outlineLevel="0" collapsed="false">
      <c r="A1006" s="14"/>
      <c r="B1006" s="7"/>
      <c r="C1006" s="7"/>
      <c r="D1006" s="7"/>
      <c r="E1006" s="7"/>
      <c r="F1006" s="7"/>
      <c r="G1006" s="9"/>
      <c r="H1006" s="9"/>
      <c r="I1006" s="9"/>
      <c r="J1006" s="7"/>
      <c r="K1006" s="7"/>
    </row>
    <row r="1007" customFormat="false" ht="15" hidden="false" customHeight="true" outlineLevel="0" collapsed="false">
      <c r="A1007" s="14"/>
      <c r="B1007" s="7"/>
      <c r="C1007" s="7"/>
      <c r="D1007" s="7"/>
      <c r="E1007" s="7"/>
      <c r="F1007" s="7"/>
      <c r="G1007" s="9"/>
      <c r="H1007" s="9"/>
      <c r="I1007" s="9"/>
      <c r="J1007" s="7"/>
      <c r="K1007" s="7"/>
    </row>
    <row r="1008" customFormat="false" ht="15" hidden="false" customHeight="true" outlineLevel="0" collapsed="false">
      <c r="A1008" s="14"/>
      <c r="B1008" s="7"/>
      <c r="C1008" s="7"/>
      <c r="D1008" s="7"/>
      <c r="E1008" s="7"/>
      <c r="F1008" s="7"/>
      <c r="G1008" s="9"/>
      <c r="H1008" s="9"/>
      <c r="I1008" s="9"/>
      <c r="J1008" s="7"/>
      <c r="K1008" s="7"/>
    </row>
    <row r="1009" customFormat="false" ht="15" hidden="false" customHeight="true" outlineLevel="0" collapsed="false">
      <c r="A1009" s="14"/>
      <c r="B1009" s="7"/>
      <c r="C1009" s="7"/>
      <c r="D1009" s="7"/>
      <c r="E1009" s="7"/>
      <c r="F1009" s="7"/>
      <c r="G1009" s="9"/>
      <c r="H1009" s="9"/>
      <c r="I1009" s="9"/>
      <c r="J1009" s="7"/>
      <c r="K1009" s="7"/>
    </row>
    <row r="1010" customFormat="false" ht="15" hidden="false" customHeight="true" outlineLevel="0" collapsed="false">
      <c r="A1010" s="14"/>
      <c r="B1010" s="7"/>
      <c r="C1010" s="7"/>
      <c r="D1010" s="7"/>
      <c r="E1010" s="7"/>
      <c r="F1010" s="7"/>
      <c r="G1010" s="9"/>
      <c r="H1010" s="9"/>
      <c r="I1010" s="9"/>
      <c r="J1010" s="7"/>
      <c r="K1010" s="7"/>
    </row>
    <row r="1011" customFormat="false" ht="15" hidden="false" customHeight="true" outlineLevel="0" collapsed="false">
      <c r="A1011" s="14"/>
      <c r="B1011" s="7"/>
      <c r="C1011" s="7"/>
      <c r="D1011" s="7"/>
      <c r="E1011" s="7"/>
      <c r="F1011" s="7"/>
      <c r="G1011" s="9"/>
      <c r="H1011" s="9"/>
      <c r="I1011" s="9"/>
      <c r="J1011" s="7"/>
      <c r="K1011" s="7"/>
    </row>
    <row r="1012" customFormat="false" ht="15" hidden="false" customHeight="true" outlineLevel="0" collapsed="false">
      <c r="A1012" s="14"/>
      <c r="B1012" s="7"/>
      <c r="C1012" s="7"/>
      <c r="D1012" s="7"/>
      <c r="E1012" s="7"/>
      <c r="F1012" s="7"/>
      <c r="G1012" s="9"/>
      <c r="H1012" s="9"/>
      <c r="I1012" s="9"/>
      <c r="J1012" s="7"/>
      <c r="K1012" s="7"/>
    </row>
    <row r="1013" customFormat="false" ht="15" hidden="false" customHeight="true" outlineLevel="0" collapsed="false">
      <c r="A1013" s="14"/>
      <c r="B1013" s="7"/>
      <c r="C1013" s="7"/>
      <c r="D1013" s="7"/>
      <c r="E1013" s="7"/>
      <c r="F1013" s="7"/>
      <c r="G1013" s="9"/>
      <c r="H1013" s="9"/>
      <c r="I1013" s="9"/>
      <c r="J1013" s="7"/>
      <c r="K1013" s="7"/>
    </row>
    <row r="1014" customFormat="false" ht="15" hidden="false" customHeight="true" outlineLevel="0" collapsed="false">
      <c r="A1014" s="14"/>
      <c r="B1014" s="7"/>
      <c r="C1014" s="7"/>
      <c r="D1014" s="7"/>
      <c r="E1014" s="7"/>
      <c r="F1014" s="7"/>
      <c r="G1014" s="9"/>
      <c r="H1014" s="9"/>
      <c r="I1014" s="9"/>
      <c r="J1014" s="7"/>
      <c r="K1014" s="7"/>
    </row>
    <row r="1015" customFormat="false" ht="15" hidden="false" customHeight="true" outlineLevel="0" collapsed="false">
      <c r="A1015" s="14"/>
      <c r="B1015" s="7"/>
      <c r="C1015" s="7"/>
      <c r="D1015" s="7"/>
      <c r="E1015" s="7"/>
      <c r="F1015" s="7"/>
      <c r="G1015" s="9"/>
      <c r="H1015" s="9"/>
      <c r="I1015" s="9"/>
      <c r="J1015" s="7"/>
      <c r="K1015" s="7"/>
    </row>
    <row r="1016" customFormat="false" ht="15" hidden="false" customHeight="true" outlineLevel="0" collapsed="false">
      <c r="A1016" s="14"/>
      <c r="B1016" s="7"/>
      <c r="C1016" s="7"/>
      <c r="D1016" s="7"/>
      <c r="E1016" s="7"/>
      <c r="F1016" s="7"/>
      <c r="G1016" s="9"/>
      <c r="H1016" s="9"/>
      <c r="I1016" s="9"/>
      <c r="J1016" s="7"/>
      <c r="K1016" s="7"/>
    </row>
    <row r="1017" customFormat="false" ht="15" hidden="false" customHeight="true" outlineLevel="0" collapsed="false">
      <c r="A1017" s="14"/>
      <c r="B1017" s="7"/>
      <c r="C1017" s="7"/>
      <c r="D1017" s="7"/>
      <c r="E1017" s="7"/>
      <c r="F1017" s="7"/>
      <c r="G1017" s="9"/>
      <c r="H1017" s="9"/>
      <c r="I1017" s="9"/>
      <c r="J1017" s="7"/>
      <c r="K1017" s="7"/>
    </row>
    <row r="1018" customFormat="false" ht="15" hidden="false" customHeight="true" outlineLevel="0" collapsed="false">
      <c r="A1018" s="14"/>
      <c r="B1018" s="7"/>
      <c r="C1018" s="7"/>
      <c r="D1018" s="7"/>
      <c r="E1018" s="7"/>
      <c r="F1018" s="7"/>
      <c r="G1018" s="9"/>
      <c r="H1018" s="9"/>
      <c r="I1018" s="9"/>
      <c r="J1018" s="7"/>
      <c r="K1018" s="7"/>
    </row>
    <row r="1019" customFormat="false" ht="15" hidden="false" customHeight="true" outlineLevel="0" collapsed="false">
      <c r="A1019" s="14"/>
      <c r="B1019" s="7"/>
      <c r="C1019" s="7"/>
      <c r="D1019" s="7"/>
      <c r="E1019" s="7"/>
      <c r="F1019" s="7"/>
      <c r="G1019" s="9"/>
      <c r="H1019" s="9"/>
      <c r="I1019" s="9"/>
      <c r="J1019" s="7"/>
      <c r="K1019" s="7"/>
    </row>
    <row r="1020" customFormat="false" ht="15" hidden="false" customHeight="true" outlineLevel="0" collapsed="false">
      <c r="A1020" s="14"/>
      <c r="B1020" s="7"/>
      <c r="C1020" s="7"/>
      <c r="D1020" s="7"/>
      <c r="E1020" s="7"/>
      <c r="F1020" s="7"/>
      <c r="G1020" s="9"/>
      <c r="H1020" s="9"/>
      <c r="I1020" s="9"/>
      <c r="J1020" s="7"/>
      <c r="K1020" s="7"/>
    </row>
    <row r="1021" customFormat="false" ht="15" hidden="false" customHeight="true" outlineLevel="0" collapsed="false">
      <c r="A1021" s="14"/>
      <c r="B1021" s="7"/>
      <c r="C1021" s="7"/>
      <c r="D1021" s="7"/>
      <c r="E1021" s="7"/>
      <c r="F1021" s="7"/>
      <c r="G1021" s="9"/>
      <c r="H1021" s="9"/>
      <c r="I1021" s="9"/>
      <c r="J1021" s="7"/>
      <c r="K1021" s="7"/>
    </row>
    <row r="1022" customFormat="false" ht="15" hidden="false" customHeight="true" outlineLevel="0" collapsed="false">
      <c r="A1022" s="14"/>
      <c r="B1022" s="7"/>
      <c r="C1022" s="7"/>
      <c r="D1022" s="7"/>
      <c r="E1022" s="7"/>
      <c r="F1022" s="7"/>
      <c r="G1022" s="9"/>
      <c r="H1022" s="9"/>
      <c r="I1022" s="9"/>
      <c r="J1022" s="7"/>
      <c r="K1022" s="7"/>
    </row>
    <row r="1023" customFormat="false" ht="15" hidden="false" customHeight="true" outlineLevel="0" collapsed="false">
      <c r="A1023" s="14"/>
      <c r="B1023" s="7"/>
      <c r="C1023" s="7"/>
      <c r="D1023" s="7"/>
      <c r="E1023" s="7"/>
      <c r="F1023" s="7"/>
      <c r="G1023" s="9"/>
      <c r="H1023" s="9"/>
      <c r="I1023" s="9"/>
      <c r="J1023" s="7"/>
      <c r="K1023" s="7"/>
    </row>
    <row r="1024" customFormat="false" ht="15" hidden="false" customHeight="true" outlineLevel="0" collapsed="false">
      <c r="A1024" s="14"/>
      <c r="B1024" s="7"/>
      <c r="C1024" s="7"/>
      <c r="D1024" s="7"/>
      <c r="E1024" s="7"/>
      <c r="F1024" s="7"/>
      <c r="G1024" s="9"/>
      <c r="H1024" s="9"/>
      <c r="I1024" s="9"/>
      <c r="J1024" s="7"/>
      <c r="K1024" s="7"/>
    </row>
    <row r="1025" customFormat="false" ht="15" hidden="false" customHeight="true" outlineLevel="0" collapsed="false">
      <c r="A1025" s="14"/>
      <c r="B1025" s="7"/>
      <c r="C1025" s="7"/>
      <c r="D1025" s="7"/>
      <c r="E1025" s="7"/>
      <c r="F1025" s="7"/>
      <c r="G1025" s="9"/>
      <c r="H1025" s="9"/>
      <c r="I1025" s="9"/>
      <c r="J1025" s="7"/>
      <c r="K1025" s="7"/>
    </row>
    <row r="1026" customFormat="false" ht="15" hidden="false" customHeight="true" outlineLevel="0" collapsed="false">
      <c r="A1026" s="14"/>
      <c r="B1026" s="7"/>
      <c r="C1026" s="7"/>
      <c r="D1026" s="7"/>
      <c r="E1026" s="7"/>
      <c r="F1026" s="7"/>
      <c r="G1026" s="9"/>
      <c r="H1026" s="9"/>
      <c r="I1026" s="9"/>
      <c r="J1026" s="7"/>
      <c r="K1026" s="7"/>
    </row>
    <row r="1027" customFormat="false" ht="15" hidden="false" customHeight="true" outlineLevel="0" collapsed="false">
      <c r="A1027" s="14"/>
      <c r="B1027" s="7"/>
      <c r="C1027" s="7"/>
      <c r="D1027" s="7"/>
      <c r="E1027" s="7"/>
      <c r="F1027" s="7"/>
      <c r="G1027" s="9"/>
      <c r="H1027" s="9"/>
      <c r="I1027" s="9"/>
      <c r="J1027" s="7"/>
      <c r="K1027" s="7"/>
    </row>
    <row r="1028" customFormat="false" ht="15" hidden="false" customHeight="true" outlineLevel="0" collapsed="false">
      <c r="A1028" s="14"/>
      <c r="B1028" s="7"/>
      <c r="C1028" s="7"/>
      <c r="D1028" s="7"/>
      <c r="E1028" s="7"/>
      <c r="F1028" s="7"/>
      <c r="G1028" s="9"/>
      <c r="H1028" s="9"/>
      <c r="I1028" s="9"/>
      <c r="J1028" s="7"/>
      <c r="K1028" s="7"/>
    </row>
    <row r="1029" customFormat="false" ht="15" hidden="false" customHeight="true" outlineLevel="0" collapsed="false">
      <c r="A1029" s="14"/>
      <c r="B1029" s="7"/>
      <c r="C1029" s="7"/>
      <c r="D1029" s="7"/>
      <c r="E1029" s="7"/>
      <c r="F1029" s="7"/>
      <c r="G1029" s="9"/>
      <c r="H1029" s="9"/>
      <c r="I1029" s="9"/>
      <c r="J1029" s="7"/>
      <c r="K1029" s="7"/>
    </row>
    <row r="1030" customFormat="false" ht="15" hidden="false" customHeight="true" outlineLevel="0" collapsed="false">
      <c r="A1030" s="14"/>
      <c r="B1030" s="7"/>
      <c r="C1030" s="7"/>
      <c r="D1030" s="7"/>
      <c r="E1030" s="7"/>
      <c r="F1030" s="7"/>
      <c r="G1030" s="9"/>
      <c r="H1030" s="9"/>
      <c r="I1030" s="9"/>
      <c r="J1030" s="7"/>
      <c r="K1030" s="7"/>
    </row>
    <row r="1031" customFormat="false" ht="15" hidden="false" customHeight="true" outlineLevel="0" collapsed="false">
      <c r="A1031" s="14"/>
      <c r="B1031" s="7"/>
      <c r="C1031" s="7"/>
      <c r="D1031" s="7"/>
      <c r="E1031" s="7"/>
      <c r="F1031" s="7"/>
      <c r="G1031" s="9"/>
      <c r="H1031" s="9"/>
      <c r="I1031" s="9"/>
      <c r="J1031" s="7"/>
      <c r="K1031" s="7"/>
    </row>
    <row r="1032" customFormat="false" ht="15" hidden="false" customHeight="true" outlineLevel="0" collapsed="false">
      <c r="A1032" s="14"/>
      <c r="B1032" s="7"/>
      <c r="C1032" s="7"/>
      <c r="D1032" s="7"/>
      <c r="E1032" s="7"/>
      <c r="F1032" s="7"/>
      <c r="G1032" s="9"/>
      <c r="H1032" s="9"/>
      <c r="I1032" s="9"/>
      <c r="J1032" s="7"/>
      <c r="K1032" s="7"/>
    </row>
    <row r="1033" customFormat="false" ht="15" hidden="false" customHeight="true" outlineLevel="0" collapsed="false">
      <c r="A1033" s="14"/>
      <c r="B1033" s="7"/>
      <c r="C1033" s="7"/>
      <c r="D1033" s="7"/>
      <c r="E1033" s="7"/>
      <c r="F1033" s="7"/>
      <c r="G1033" s="9"/>
      <c r="H1033" s="9"/>
      <c r="I1033" s="9"/>
      <c r="J1033" s="7"/>
      <c r="K1033" s="7"/>
    </row>
    <row r="1034" customFormat="false" ht="15" hidden="false" customHeight="true" outlineLevel="0" collapsed="false">
      <c r="A1034" s="14"/>
      <c r="B1034" s="7"/>
      <c r="C1034" s="7"/>
      <c r="D1034" s="7"/>
      <c r="E1034" s="7"/>
      <c r="F1034" s="7"/>
      <c r="G1034" s="9"/>
      <c r="H1034" s="9"/>
      <c r="I1034" s="9"/>
      <c r="J1034" s="7"/>
      <c r="K1034" s="7"/>
    </row>
    <row r="1035" customFormat="false" ht="15" hidden="false" customHeight="true" outlineLevel="0" collapsed="false">
      <c r="A1035" s="14"/>
      <c r="B1035" s="7"/>
      <c r="C1035" s="7"/>
      <c r="D1035" s="7"/>
      <c r="E1035" s="7"/>
      <c r="F1035" s="7"/>
      <c r="G1035" s="9"/>
      <c r="H1035" s="9"/>
      <c r="I1035" s="9"/>
      <c r="J1035" s="7"/>
      <c r="K1035" s="7"/>
    </row>
    <row r="1036" customFormat="false" ht="15" hidden="false" customHeight="true" outlineLevel="0" collapsed="false">
      <c r="A1036" s="14"/>
      <c r="B1036" s="7"/>
      <c r="C1036" s="7"/>
      <c r="D1036" s="7"/>
      <c r="E1036" s="7"/>
      <c r="F1036" s="7"/>
      <c r="G1036" s="9"/>
      <c r="H1036" s="9"/>
      <c r="I1036" s="9"/>
      <c r="J1036" s="7"/>
      <c r="K1036" s="7"/>
    </row>
    <row r="1037" customFormat="false" ht="15" hidden="false" customHeight="true" outlineLevel="0" collapsed="false">
      <c r="A1037" s="14"/>
      <c r="B1037" s="7"/>
      <c r="C1037" s="7"/>
      <c r="D1037" s="7"/>
      <c r="E1037" s="7"/>
      <c r="F1037" s="7"/>
      <c r="G1037" s="9"/>
      <c r="H1037" s="9"/>
      <c r="I1037" s="9"/>
      <c r="J1037" s="7"/>
      <c r="K1037" s="7"/>
    </row>
    <row r="1038" customFormat="false" ht="15" hidden="false" customHeight="true" outlineLevel="0" collapsed="false">
      <c r="A1038" s="14"/>
      <c r="B1038" s="7"/>
      <c r="C1038" s="7"/>
      <c r="D1038" s="7"/>
      <c r="E1038" s="7"/>
      <c r="F1038" s="7"/>
      <c r="G1038" s="9"/>
      <c r="H1038" s="9"/>
      <c r="I1038" s="9"/>
      <c r="J1038" s="7"/>
      <c r="K1038" s="7"/>
    </row>
    <row r="1039" customFormat="false" ht="15" hidden="false" customHeight="true" outlineLevel="0" collapsed="false">
      <c r="A1039" s="14"/>
      <c r="B1039" s="7"/>
      <c r="C1039" s="7"/>
      <c r="D1039" s="7"/>
      <c r="E1039" s="7"/>
      <c r="F1039" s="7"/>
      <c r="G1039" s="9"/>
      <c r="H1039" s="9"/>
      <c r="I1039" s="9"/>
      <c r="J1039" s="7"/>
      <c r="K1039" s="7"/>
    </row>
    <row r="1040" customFormat="false" ht="15" hidden="false" customHeight="true" outlineLevel="0" collapsed="false">
      <c r="A1040" s="14"/>
      <c r="B1040" s="7"/>
      <c r="C1040" s="7"/>
      <c r="D1040" s="7"/>
      <c r="E1040" s="7"/>
      <c r="F1040" s="7"/>
      <c r="G1040" s="9"/>
      <c r="H1040" s="9"/>
      <c r="I1040" s="9"/>
      <c r="J1040" s="7"/>
      <c r="K1040" s="7"/>
    </row>
    <row r="1041" customFormat="false" ht="15" hidden="false" customHeight="true" outlineLevel="0" collapsed="false">
      <c r="A1041" s="14"/>
      <c r="B1041" s="7"/>
      <c r="C1041" s="7"/>
      <c r="D1041" s="7"/>
      <c r="E1041" s="7"/>
      <c r="F1041" s="7"/>
      <c r="G1041" s="9"/>
      <c r="H1041" s="9"/>
      <c r="I1041" s="9"/>
      <c r="J1041" s="7"/>
      <c r="K1041" s="7"/>
    </row>
    <row r="1042" customFormat="false" ht="15" hidden="false" customHeight="true" outlineLevel="0" collapsed="false">
      <c r="A1042" s="14"/>
      <c r="B1042" s="7"/>
      <c r="C1042" s="7"/>
      <c r="D1042" s="7"/>
      <c r="E1042" s="7"/>
      <c r="F1042" s="7"/>
      <c r="G1042" s="9"/>
      <c r="H1042" s="9"/>
      <c r="I1042" s="9"/>
      <c r="J1042" s="7"/>
      <c r="K1042" s="7"/>
    </row>
    <row r="1043" customFormat="false" ht="15" hidden="false" customHeight="true" outlineLevel="0" collapsed="false">
      <c r="A1043" s="14"/>
      <c r="B1043" s="7"/>
      <c r="C1043" s="7"/>
      <c r="D1043" s="7"/>
      <c r="E1043" s="7"/>
      <c r="F1043" s="7"/>
      <c r="G1043" s="9"/>
      <c r="H1043" s="9"/>
      <c r="I1043" s="9"/>
      <c r="J1043" s="7"/>
      <c r="K1043" s="7"/>
    </row>
    <row r="1044" customFormat="false" ht="15" hidden="false" customHeight="true" outlineLevel="0" collapsed="false">
      <c r="A1044" s="14"/>
      <c r="B1044" s="7"/>
      <c r="C1044" s="7"/>
      <c r="D1044" s="7"/>
      <c r="E1044" s="7"/>
      <c r="F1044" s="7"/>
      <c r="G1044" s="9"/>
      <c r="H1044" s="9"/>
      <c r="I1044" s="9"/>
      <c r="J1044" s="7"/>
      <c r="K1044" s="7"/>
    </row>
    <row r="1045" customFormat="false" ht="15" hidden="false" customHeight="true" outlineLevel="0" collapsed="false">
      <c r="A1045" s="14"/>
      <c r="B1045" s="7"/>
      <c r="C1045" s="7"/>
      <c r="D1045" s="7"/>
      <c r="E1045" s="7"/>
      <c r="F1045" s="7"/>
      <c r="G1045" s="9"/>
      <c r="H1045" s="9"/>
      <c r="I1045" s="9"/>
      <c r="J1045" s="7"/>
      <c r="K1045" s="7"/>
    </row>
    <row r="1046" customFormat="false" ht="15" hidden="false" customHeight="true" outlineLevel="0" collapsed="false">
      <c r="A1046" s="14"/>
      <c r="B1046" s="7"/>
      <c r="C1046" s="7"/>
      <c r="D1046" s="7"/>
      <c r="E1046" s="7"/>
      <c r="F1046" s="7"/>
      <c r="G1046" s="9"/>
      <c r="H1046" s="9"/>
      <c r="I1046" s="9"/>
      <c r="J1046" s="7"/>
      <c r="K1046" s="7"/>
    </row>
    <row r="1047" customFormat="false" ht="15" hidden="false" customHeight="true" outlineLevel="0" collapsed="false">
      <c r="A1047" s="14"/>
      <c r="B1047" s="7"/>
      <c r="C1047" s="7"/>
      <c r="D1047" s="7"/>
      <c r="E1047" s="7"/>
      <c r="F1047" s="7"/>
      <c r="G1047" s="9"/>
      <c r="H1047" s="9"/>
      <c r="I1047" s="9"/>
      <c r="J1047" s="7"/>
      <c r="K1047" s="7"/>
    </row>
    <row r="1048" customFormat="false" ht="15" hidden="false" customHeight="true" outlineLevel="0" collapsed="false">
      <c r="A1048" s="14"/>
      <c r="B1048" s="7"/>
      <c r="C1048" s="7"/>
      <c r="D1048" s="7"/>
      <c r="E1048" s="7"/>
      <c r="F1048" s="7"/>
      <c r="G1048" s="9"/>
      <c r="H1048" s="9"/>
      <c r="I1048" s="9"/>
      <c r="J1048" s="7"/>
      <c r="K1048" s="7"/>
    </row>
    <row r="1049" customFormat="false" ht="15" hidden="false" customHeight="true" outlineLevel="0" collapsed="false">
      <c r="A1049" s="14"/>
      <c r="B1049" s="7"/>
      <c r="C1049" s="7"/>
      <c r="D1049" s="7"/>
      <c r="E1049" s="7"/>
      <c r="F1049" s="7"/>
      <c r="G1049" s="9"/>
      <c r="H1049" s="9"/>
      <c r="I1049" s="9"/>
      <c r="J1049" s="7"/>
      <c r="K1049" s="7"/>
    </row>
    <row r="1050" customFormat="false" ht="15" hidden="false" customHeight="true" outlineLevel="0" collapsed="false">
      <c r="A1050" s="14"/>
      <c r="B1050" s="7"/>
      <c r="C1050" s="7"/>
      <c r="D1050" s="7"/>
      <c r="E1050" s="7"/>
      <c r="F1050" s="7"/>
      <c r="G1050" s="9"/>
      <c r="H1050" s="9"/>
      <c r="I1050" s="9"/>
      <c r="J1050" s="7"/>
      <c r="K1050" s="7"/>
    </row>
    <row r="1051" customFormat="false" ht="15" hidden="false" customHeight="true" outlineLevel="0" collapsed="false">
      <c r="A1051" s="14"/>
      <c r="B1051" s="7"/>
      <c r="C1051" s="7"/>
      <c r="D1051" s="7"/>
      <c r="E1051" s="7"/>
      <c r="F1051" s="7"/>
      <c r="G1051" s="9"/>
      <c r="H1051" s="9"/>
      <c r="I1051" s="9"/>
      <c r="J1051" s="7"/>
      <c r="K1051" s="7"/>
    </row>
    <row r="1052" customFormat="false" ht="15" hidden="false" customHeight="true" outlineLevel="0" collapsed="false">
      <c r="A1052" s="14"/>
      <c r="B1052" s="7"/>
      <c r="C1052" s="7"/>
      <c r="D1052" s="7"/>
      <c r="E1052" s="7"/>
      <c r="F1052" s="7"/>
      <c r="G1052" s="9"/>
      <c r="H1052" s="9"/>
      <c r="I1052" s="9"/>
      <c r="J1052" s="7"/>
      <c r="K1052" s="7"/>
    </row>
    <row r="1053" customFormat="false" ht="15" hidden="false" customHeight="true" outlineLevel="0" collapsed="false">
      <c r="A1053" s="14"/>
      <c r="B1053" s="7"/>
      <c r="C1053" s="7"/>
      <c r="D1053" s="7"/>
      <c r="E1053" s="7"/>
      <c r="F1053" s="7"/>
      <c r="G1053" s="9"/>
      <c r="H1053" s="9"/>
      <c r="I1053" s="9"/>
      <c r="J1053" s="7"/>
      <c r="K1053" s="7"/>
    </row>
    <row r="1054" customFormat="false" ht="15" hidden="false" customHeight="true" outlineLevel="0" collapsed="false">
      <c r="A1054" s="14"/>
      <c r="B1054" s="7"/>
      <c r="C1054" s="7"/>
      <c r="D1054" s="7"/>
      <c r="E1054" s="7"/>
      <c r="F1054" s="7"/>
      <c r="G1054" s="9"/>
      <c r="H1054" s="9"/>
      <c r="I1054" s="9"/>
      <c r="J1054" s="7"/>
      <c r="K1054" s="7"/>
    </row>
    <row r="1055" customFormat="false" ht="15" hidden="false" customHeight="true" outlineLevel="0" collapsed="false">
      <c r="A1055" s="14"/>
      <c r="B1055" s="7"/>
      <c r="C1055" s="7"/>
      <c r="D1055" s="7"/>
      <c r="E1055" s="7"/>
      <c r="F1055" s="7"/>
      <c r="G1055" s="9"/>
      <c r="H1055" s="9"/>
      <c r="I1055" s="9"/>
      <c r="J1055" s="7"/>
      <c r="K1055" s="7"/>
    </row>
    <row r="1056" customFormat="false" ht="15" hidden="false" customHeight="true" outlineLevel="0" collapsed="false">
      <c r="A1056" s="14"/>
      <c r="B1056" s="7"/>
      <c r="C1056" s="7"/>
      <c r="D1056" s="7"/>
      <c r="E1056" s="7"/>
      <c r="F1056" s="7"/>
      <c r="G1056" s="9"/>
      <c r="H1056" s="9"/>
      <c r="I1056" s="9"/>
      <c r="J1056" s="7"/>
      <c r="K1056" s="7"/>
    </row>
    <row r="1057" customFormat="false" ht="15" hidden="false" customHeight="true" outlineLevel="0" collapsed="false">
      <c r="A1057" s="14"/>
      <c r="B1057" s="7"/>
      <c r="C1057" s="7"/>
      <c r="D1057" s="7"/>
      <c r="E1057" s="7"/>
      <c r="F1057" s="7"/>
      <c r="G1057" s="9"/>
      <c r="H1057" s="9"/>
      <c r="I1057" s="9"/>
      <c r="J1057" s="7"/>
      <c r="K1057" s="7"/>
    </row>
    <row r="1058" customFormat="false" ht="15" hidden="false" customHeight="true" outlineLevel="0" collapsed="false">
      <c r="A1058" s="14"/>
      <c r="B1058" s="7"/>
      <c r="C1058" s="7"/>
      <c r="D1058" s="7"/>
      <c r="E1058" s="7"/>
      <c r="F1058" s="7"/>
      <c r="G1058" s="9"/>
      <c r="H1058" s="9"/>
      <c r="I1058" s="9"/>
      <c r="J1058" s="7"/>
      <c r="K1058" s="7"/>
    </row>
    <row r="1059" customFormat="false" ht="15" hidden="false" customHeight="true" outlineLevel="0" collapsed="false">
      <c r="A1059" s="14"/>
      <c r="B1059" s="7"/>
      <c r="C1059" s="7"/>
      <c r="D1059" s="7"/>
      <c r="E1059" s="7"/>
      <c r="F1059" s="7"/>
      <c r="G1059" s="9"/>
      <c r="H1059" s="9"/>
      <c r="I1059" s="9"/>
      <c r="J1059" s="7"/>
      <c r="K1059" s="7"/>
    </row>
    <row r="1060" customFormat="false" ht="15" hidden="false" customHeight="true" outlineLevel="0" collapsed="false">
      <c r="A1060" s="14"/>
      <c r="B1060" s="7"/>
      <c r="C1060" s="7"/>
      <c r="D1060" s="7"/>
      <c r="E1060" s="7"/>
      <c r="F1060" s="7"/>
      <c r="G1060" s="9"/>
      <c r="H1060" s="9"/>
      <c r="I1060" s="9"/>
      <c r="J1060" s="7"/>
      <c r="K1060" s="7"/>
    </row>
    <row r="1061" customFormat="false" ht="15" hidden="false" customHeight="true" outlineLevel="0" collapsed="false">
      <c r="A1061" s="14"/>
      <c r="B1061" s="7"/>
      <c r="C1061" s="7"/>
      <c r="D1061" s="7"/>
      <c r="E1061" s="7"/>
      <c r="F1061" s="7"/>
      <c r="G1061" s="9"/>
      <c r="H1061" s="9"/>
      <c r="I1061" s="9"/>
      <c r="J1061" s="7"/>
      <c r="K1061" s="7"/>
    </row>
    <row r="1062" customFormat="false" ht="15" hidden="false" customHeight="true" outlineLevel="0" collapsed="false">
      <c r="A1062" s="14"/>
      <c r="B1062" s="7"/>
      <c r="C1062" s="7"/>
      <c r="D1062" s="7"/>
      <c r="E1062" s="7"/>
      <c r="F1062" s="7"/>
      <c r="G1062" s="9"/>
      <c r="H1062" s="9"/>
      <c r="I1062" s="9"/>
      <c r="J1062" s="7"/>
      <c r="K1062" s="7"/>
    </row>
    <row r="1063" customFormat="false" ht="15" hidden="false" customHeight="true" outlineLevel="0" collapsed="false">
      <c r="A1063" s="14"/>
      <c r="B1063" s="7"/>
      <c r="C1063" s="7"/>
      <c r="D1063" s="7"/>
      <c r="E1063" s="7"/>
      <c r="F1063" s="7"/>
      <c r="G1063" s="9"/>
      <c r="H1063" s="9"/>
      <c r="I1063" s="9"/>
      <c r="J1063" s="7"/>
      <c r="K1063" s="7"/>
    </row>
    <row r="1064" customFormat="false" ht="15" hidden="false" customHeight="true" outlineLevel="0" collapsed="false">
      <c r="A1064" s="14"/>
      <c r="B1064" s="7"/>
      <c r="C1064" s="7"/>
      <c r="D1064" s="7"/>
      <c r="E1064" s="7"/>
      <c r="F1064" s="7"/>
      <c r="G1064" s="9"/>
      <c r="H1064" s="9"/>
      <c r="I1064" s="9"/>
      <c r="J1064" s="7"/>
      <c r="K1064" s="7"/>
    </row>
    <row r="1065" customFormat="false" ht="15" hidden="false" customHeight="true" outlineLevel="0" collapsed="false">
      <c r="A1065" s="14"/>
      <c r="B1065" s="7"/>
      <c r="C1065" s="7"/>
      <c r="D1065" s="7"/>
      <c r="E1065" s="7"/>
      <c r="F1065" s="7"/>
      <c r="G1065" s="9"/>
      <c r="H1065" s="9"/>
      <c r="I1065" s="9"/>
      <c r="J1065" s="7"/>
      <c r="K1065" s="7"/>
    </row>
    <row r="1066" customFormat="false" ht="15" hidden="false" customHeight="true" outlineLevel="0" collapsed="false">
      <c r="A1066" s="14"/>
      <c r="B1066" s="7"/>
      <c r="C1066" s="7"/>
      <c r="D1066" s="7"/>
      <c r="E1066" s="7"/>
      <c r="F1066" s="7"/>
      <c r="G1066" s="9"/>
      <c r="H1066" s="9"/>
      <c r="I1066" s="9"/>
      <c r="J1066" s="7"/>
      <c r="K1066" s="7"/>
    </row>
    <row r="1067" customFormat="false" ht="15" hidden="false" customHeight="true" outlineLevel="0" collapsed="false">
      <c r="A1067" s="14"/>
      <c r="B1067" s="7"/>
      <c r="C1067" s="7"/>
      <c r="D1067" s="7"/>
      <c r="E1067" s="7"/>
      <c r="F1067" s="7"/>
      <c r="G1067" s="9"/>
      <c r="H1067" s="9"/>
      <c r="I1067" s="9"/>
      <c r="J1067" s="7"/>
      <c r="K1067" s="7"/>
    </row>
    <row r="1068" customFormat="false" ht="15" hidden="false" customHeight="true" outlineLevel="0" collapsed="false">
      <c r="A1068" s="14"/>
      <c r="B1068" s="7"/>
      <c r="C1068" s="7"/>
      <c r="D1068" s="7"/>
      <c r="E1068" s="7"/>
      <c r="F1068" s="7"/>
      <c r="G1068" s="9"/>
      <c r="H1068" s="9"/>
      <c r="I1068" s="9"/>
      <c r="J1068" s="7"/>
      <c r="K1068" s="7"/>
    </row>
    <row r="1069" customFormat="false" ht="15" hidden="false" customHeight="true" outlineLevel="0" collapsed="false">
      <c r="A1069" s="14"/>
      <c r="B1069" s="7"/>
      <c r="C1069" s="7"/>
      <c r="D1069" s="7"/>
      <c r="E1069" s="7"/>
      <c r="F1069" s="7"/>
      <c r="G1069" s="9"/>
      <c r="H1069" s="9"/>
      <c r="I1069" s="9"/>
      <c r="J1069" s="7"/>
      <c r="K1069" s="7"/>
    </row>
    <row r="1070" customFormat="false" ht="15" hidden="false" customHeight="true" outlineLevel="0" collapsed="false">
      <c r="A1070" s="14"/>
      <c r="B1070" s="7"/>
      <c r="C1070" s="7"/>
      <c r="D1070" s="7"/>
      <c r="E1070" s="7"/>
      <c r="F1070" s="7"/>
      <c r="G1070" s="9"/>
      <c r="H1070" s="9"/>
      <c r="I1070" s="9"/>
      <c r="J1070" s="7"/>
      <c r="K1070" s="7"/>
    </row>
    <row r="1071" customFormat="false" ht="15" hidden="false" customHeight="true" outlineLevel="0" collapsed="false">
      <c r="A1071" s="14"/>
      <c r="B1071" s="7"/>
      <c r="C1071" s="7"/>
      <c r="D1071" s="7"/>
      <c r="E1071" s="7"/>
      <c r="F1071" s="7"/>
      <c r="G1071" s="9"/>
      <c r="H1071" s="9"/>
      <c r="I1071" s="9"/>
      <c r="J1071" s="7"/>
      <c r="K1071" s="7"/>
    </row>
    <row r="1072" customFormat="false" ht="15" hidden="false" customHeight="true" outlineLevel="0" collapsed="false">
      <c r="A1072" s="14"/>
      <c r="B1072" s="7"/>
      <c r="C1072" s="7"/>
      <c r="D1072" s="7"/>
      <c r="E1072" s="7"/>
      <c r="F1072" s="7"/>
      <c r="G1072" s="9"/>
      <c r="H1072" s="9"/>
      <c r="I1072" s="9"/>
      <c r="J1072" s="7"/>
      <c r="K1072" s="7"/>
    </row>
    <row r="1073" customFormat="false" ht="15" hidden="false" customHeight="true" outlineLevel="0" collapsed="false">
      <c r="A1073" s="14"/>
      <c r="B1073" s="7"/>
      <c r="C1073" s="7"/>
      <c r="D1073" s="7"/>
      <c r="E1073" s="7"/>
      <c r="F1073" s="7"/>
      <c r="G1073" s="9"/>
      <c r="H1073" s="9"/>
      <c r="I1073" s="9"/>
      <c r="J1073" s="7"/>
      <c r="K1073" s="7"/>
    </row>
    <row r="1074" customFormat="false" ht="15" hidden="false" customHeight="true" outlineLevel="0" collapsed="false">
      <c r="A1074" s="14"/>
      <c r="B1074" s="7"/>
      <c r="C1074" s="7"/>
      <c r="D1074" s="7"/>
      <c r="E1074" s="7"/>
      <c r="F1074" s="7"/>
      <c r="G1074" s="9"/>
      <c r="H1074" s="9"/>
      <c r="I1074" s="9"/>
      <c r="J1074" s="7"/>
      <c r="K1074" s="7"/>
    </row>
    <row r="1075" customFormat="false" ht="15" hidden="false" customHeight="true" outlineLevel="0" collapsed="false">
      <c r="A1075" s="14"/>
      <c r="B1075" s="7"/>
      <c r="C1075" s="7"/>
      <c r="D1075" s="7"/>
      <c r="E1075" s="7"/>
      <c r="F1075" s="7"/>
      <c r="G1075" s="9"/>
      <c r="H1075" s="9"/>
      <c r="I1075" s="9"/>
      <c r="J1075" s="7"/>
      <c r="K1075" s="7"/>
    </row>
    <row r="1076" customFormat="false" ht="15" hidden="false" customHeight="true" outlineLevel="0" collapsed="false">
      <c r="A1076" s="14"/>
      <c r="B1076" s="7"/>
      <c r="C1076" s="7"/>
      <c r="D1076" s="7"/>
      <c r="E1076" s="7"/>
      <c r="F1076" s="7"/>
      <c r="G1076" s="9"/>
      <c r="H1076" s="9"/>
      <c r="I1076" s="9"/>
      <c r="J1076" s="7"/>
      <c r="K1076" s="7"/>
    </row>
    <row r="1077" customFormat="false" ht="15" hidden="false" customHeight="true" outlineLevel="0" collapsed="false">
      <c r="A1077" s="14"/>
      <c r="B1077" s="7"/>
      <c r="C1077" s="7"/>
      <c r="D1077" s="7"/>
      <c r="E1077" s="7"/>
      <c r="F1077" s="7"/>
      <c r="G1077" s="9"/>
      <c r="H1077" s="9"/>
      <c r="I1077" s="9"/>
      <c r="J1077" s="7"/>
      <c r="K1077" s="7"/>
    </row>
    <row r="1078" customFormat="false" ht="15" hidden="false" customHeight="true" outlineLevel="0" collapsed="false">
      <c r="A1078" s="14"/>
      <c r="B1078" s="7"/>
      <c r="C1078" s="7"/>
      <c r="D1078" s="7"/>
      <c r="E1078" s="7"/>
      <c r="F1078" s="7"/>
      <c r="G1078" s="9"/>
      <c r="H1078" s="9"/>
      <c r="I1078" s="9"/>
      <c r="J1078" s="7"/>
      <c r="K1078" s="7"/>
    </row>
    <row r="1079" customFormat="false" ht="15" hidden="false" customHeight="true" outlineLevel="0" collapsed="false">
      <c r="A1079" s="14"/>
      <c r="B1079" s="7"/>
      <c r="C1079" s="7"/>
      <c r="D1079" s="7"/>
      <c r="E1079" s="7"/>
      <c r="F1079" s="7"/>
      <c r="G1079" s="9"/>
      <c r="H1079" s="9"/>
      <c r="I1079" s="9"/>
      <c r="J1079" s="7"/>
      <c r="K1079" s="7"/>
    </row>
    <row r="1080" customFormat="false" ht="15" hidden="false" customHeight="true" outlineLevel="0" collapsed="false">
      <c r="A1080" s="14"/>
      <c r="B1080" s="7"/>
      <c r="C1080" s="7"/>
      <c r="D1080" s="7"/>
      <c r="E1080" s="7"/>
      <c r="F1080" s="7"/>
      <c r="G1080" s="9"/>
      <c r="H1080" s="9"/>
      <c r="I1080" s="9"/>
      <c r="J1080" s="7"/>
      <c r="K1080" s="7"/>
    </row>
    <row r="1081" customFormat="false" ht="15" hidden="false" customHeight="true" outlineLevel="0" collapsed="false">
      <c r="A1081" s="14"/>
      <c r="B1081" s="7"/>
      <c r="C1081" s="7"/>
      <c r="D1081" s="7"/>
      <c r="E1081" s="7"/>
      <c r="F1081" s="7"/>
      <c r="G1081" s="9"/>
      <c r="H1081" s="9"/>
      <c r="I1081" s="9"/>
      <c r="J1081" s="7"/>
      <c r="K1081" s="7"/>
    </row>
    <row r="1082" customFormat="false" ht="15" hidden="false" customHeight="true" outlineLevel="0" collapsed="false">
      <c r="A1082" s="14"/>
      <c r="B1082" s="7"/>
      <c r="C1082" s="7"/>
      <c r="D1082" s="7"/>
      <c r="E1082" s="7"/>
      <c r="F1082" s="7"/>
      <c r="G1082" s="9"/>
      <c r="H1082" s="9"/>
      <c r="I1082" s="9"/>
      <c r="J1082" s="7"/>
      <c r="K1082" s="7"/>
    </row>
    <row r="1083" customFormat="false" ht="15" hidden="false" customHeight="true" outlineLevel="0" collapsed="false">
      <c r="A1083" s="14"/>
      <c r="B1083" s="7"/>
      <c r="C1083" s="7"/>
      <c r="D1083" s="7"/>
      <c r="E1083" s="7"/>
      <c r="F1083" s="7"/>
      <c r="G1083" s="9"/>
      <c r="H1083" s="9"/>
      <c r="I1083" s="9"/>
      <c r="J1083" s="7"/>
      <c r="K1083" s="7"/>
    </row>
    <row r="1084" customFormat="false" ht="15" hidden="false" customHeight="true" outlineLevel="0" collapsed="false">
      <c r="A1084" s="14"/>
      <c r="B1084" s="7"/>
      <c r="C1084" s="7"/>
      <c r="D1084" s="7"/>
      <c r="E1084" s="7"/>
      <c r="F1084" s="7"/>
      <c r="G1084" s="9"/>
      <c r="H1084" s="9"/>
      <c r="I1084" s="9"/>
      <c r="J1084" s="7"/>
      <c r="K1084" s="7"/>
    </row>
    <row r="1085" customFormat="false" ht="15" hidden="false" customHeight="true" outlineLevel="0" collapsed="false">
      <c r="A1085" s="14"/>
      <c r="B1085" s="7"/>
      <c r="C1085" s="7"/>
      <c r="D1085" s="7"/>
      <c r="E1085" s="7"/>
      <c r="F1085" s="7"/>
      <c r="G1085" s="9"/>
      <c r="H1085" s="9"/>
      <c r="I1085" s="9"/>
      <c r="J1085" s="7"/>
      <c r="K1085" s="7"/>
    </row>
    <row r="1086" customFormat="false" ht="15" hidden="false" customHeight="true" outlineLevel="0" collapsed="false">
      <c r="A1086" s="14"/>
      <c r="B1086" s="7"/>
      <c r="C1086" s="7"/>
      <c r="D1086" s="7"/>
      <c r="E1086" s="7"/>
      <c r="F1086" s="7"/>
      <c r="G1086" s="9"/>
      <c r="H1086" s="9"/>
      <c r="I1086" s="9"/>
      <c r="J1086" s="7"/>
      <c r="K1086" s="7"/>
    </row>
    <row r="1087" customFormat="false" ht="15" hidden="false" customHeight="true" outlineLevel="0" collapsed="false">
      <c r="A1087" s="14"/>
      <c r="B1087" s="7"/>
      <c r="C1087" s="7"/>
      <c r="D1087" s="7"/>
      <c r="E1087" s="7"/>
      <c r="F1087" s="7"/>
      <c r="G1087" s="9"/>
      <c r="H1087" s="9"/>
      <c r="I1087" s="9"/>
      <c r="J1087" s="7"/>
      <c r="K1087" s="7"/>
    </row>
    <row r="1088" customFormat="false" ht="15" hidden="false" customHeight="true" outlineLevel="0" collapsed="false">
      <c r="A1088" s="14"/>
      <c r="B1088" s="7"/>
      <c r="C1088" s="7"/>
      <c r="D1088" s="7"/>
      <c r="E1088" s="7"/>
      <c r="F1088" s="7"/>
      <c r="G1088" s="9"/>
      <c r="H1088" s="9"/>
      <c r="I1088" s="9"/>
      <c r="J1088" s="7"/>
      <c r="K1088" s="7"/>
    </row>
    <row r="1089" customFormat="false" ht="15" hidden="false" customHeight="true" outlineLevel="0" collapsed="false">
      <c r="A1089" s="14"/>
      <c r="B1089" s="7"/>
      <c r="C1089" s="7"/>
      <c r="D1089" s="7"/>
      <c r="E1089" s="7"/>
      <c r="F1089" s="7"/>
      <c r="G1089" s="9"/>
      <c r="H1089" s="9"/>
      <c r="I1089" s="9"/>
      <c r="J1089" s="7"/>
      <c r="K1089" s="7"/>
    </row>
    <row r="1090" customFormat="false" ht="15" hidden="false" customHeight="true" outlineLevel="0" collapsed="false">
      <c r="A1090" s="14"/>
      <c r="B1090" s="7"/>
      <c r="C1090" s="7"/>
      <c r="D1090" s="7"/>
      <c r="E1090" s="7"/>
      <c r="F1090" s="7"/>
      <c r="G1090" s="9"/>
      <c r="H1090" s="9"/>
      <c r="I1090" s="9"/>
      <c r="J1090" s="7"/>
      <c r="K1090" s="7"/>
    </row>
    <row r="1091" customFormat="false" ht="15" hidden="false" customHeight="true" outlineLevel="0" collapsed="false">
      <c r="A1091" s="14"/>
      <c r="B1091" s="7"/>
      <c r="C1091" s="7"/>
      <c r="D1091" s="7"/>
      <c r="E1091" s="7"/>
      <c r="F1091" s="7"/>
      <c r="G1091" s="9"/>
      <c r="H1091" s="9"/>
      <c r="I1091" s="9"/>
      <c r="J1091" s="7"/>
      <c r="K1091" s="7"/>
    </row>
    <row r="1092" customFormat="false" ht="15" hidden="false" customHeight="true" outlineLevel="0" collapsed="false">
      <c r="A1092" s="14"/>
      <c r="B1092" s="7"/>
      <c r="C1092" s="7"/>
      <c r="D1092" s="7"/>
      <c r="E1092" s="7"/>
      <c r="F1092" s="7"/>
      <c r="G1092" s="9"/>
      <c r="H1092" s="9"/>
      <c r="I1092" s="9"/>
      <c r="J1092" s="7"/>
      <c r="K1092" s="7"/>
    </row>
    <row r="1093" customFormat="false" ht="15" hidden="false" customHeight="true" outlineLevel="0" collapsed="false">
      <c r="A1093" s="14"/>
      <c r="B1093" s="7"/>
      <c r="C1093" s="7"/>
      <c r="D1093" s="7"/>
      <c r="E1093" s="7"/>
      <c r="F1093" s="7"/>
      <c r="G1093" s="9"/>
      <c r="H1093" s="9"/>
      <c r="I1093" s="9"/>
      <c r="J1093" s="7"/>
      <c r="K1093" s="7"/>
    </row>
    <row r="1094" customFormat="false" ht="15" hidden="false" customHeight="true" outlineLevel="0" collapsed="false">
      <c r="A1094" s="14"/>
      <c r="B1094" s="7"/>
      <c r="C1094" s="7"/>
      <c r="D1094" s="7"/>
      <c r="E1094" s="7"/>
      <c r="F1094" s="7"/>
      <c r="G1094" s="9"/>
      <c r="H1094" s="9"/>
      <c r="I1094" s="9"/>
      <c r="J1094" s="7"/>
      <c r="K1094" s="7"/>
    </row>
    <row r="1095" customFormat="false" ht="15" hidden="false" customHeight="true" outlineLevel="0" collapsed="false">
      <c r="A1095" s="14"/>
      <c r="B1095" s="7"/>
      <c r="C1095" s="7"/>
      <c r="D1095" s="7"/>
      <c r="E1095" s="7"/>
      <c r="F1095" s="7"/>
      <c r="G1095" s="9"/>
      <c r="H1095" s="9"/>
      <c r="I1095" s="9"/>
      <c r="J1095" s="7"/>
      <c r="K1095" s="7"/>
    </row>
    <row r="1096" customFormat="false" ht="15" hidden="false" customHeight="true" outlineLevel="0" collapsed="false">
      <c r="A1096" s="14"/>
      <c r="B1096" s="7"/>
      <c r="C1096" s="7"/>
      <c r="D1096" s="7"/>
      <c r="E1096" s="7"/>
      <c r="F1096" s="7"/>
      <c r="G1096" s="9"/>
      <c r="H1096" s="9"/>
      <c r="I1096" s="9"/>
      <c r="J1096" s="7"/>
      <c r="K1096" s="7"/>
    </row>
    <row r="1097" customFormat="false" ht="15" hidden="false" customHeight="true" outlineLevel="0" collapsed="false">
      <c r="A1097" s="14"/>
      <c r="B1097" s="7"/>
      <c r="C1097" s="7"/>
      <c r="D1097" s="7"/>
      <c r="E1097" s="7"/>
      <c r="F1097" s="7"/>
      <c r="G1097" s="9"/>
      <c r="H1097" s="9"/>
      <c r="I1097" s="9"/>
      <c r="J1097" s="7"/>
      <c r="K1097" s="7"/>
    </row>
    <row r="1098" customFormat="false" ht="15" hidden="false" customHeight="true" outlineLevel="0" collapsed="false">
      <c r="A1098" s="14"/>
      <c r="B1098" s="7"/>
      <c r="C1098" s="7"/>
      <c r="D1098" s="7"/>
      <c r="E1098" s="7"/>
      <c r="F1098" s="7"/>
      <c r="G1098" s="9"/>
      <c r="H1098" s="9"/>
      <c r="I1098" s="9"/>
      <c r="J1098" s="7"/>
      <c r="K1098" s="7"/>
    </row>
    <row r="1099" customFormat="false" ht="15" hidden="false" customHeight="true" outlineLevel="0" collapsed="false">
      <c r="A1099" s="14"/>
      <c r="B1099" s="7"/>
      <c r="C1099" s="7"/>
      <c r="D1099" s="7"/>
      <c r="E1099" s="7"/>
      <c r="F1099" s="7"/>
      <c r="G1099" s="9"/>
      <c r="H1099" s="9"/>
      <c r="I1099" s="9"/>
      <c r="J1099" s="7"/>
      <c r="K1099" s="7"/>
    </row>
    <row r="1100" customFormat="false" ht="15" hidden="false" customHeight="true" outlineLevel="0" collapsed="false">
      <c r="A1100" s="14"/>
      <c r="B1100" s="7"/>
      <c r="C1100" s="7"/>
      <c r="D1100" s="7"/>
      <c r="E1100" s="7"/>
      <c r="F1100" s="7"/>
      <c r="G1100" s="9"/>
      <c r="H1100" s="9"/>
      <c r="I1100" s="9"/>
      <c r="J1100" s="7"/>
      <c r="K1100" s="7"/>
    </row>
    <row r="1101" customFormat="false" ht="15" hidden="false" customHeight="true" outlineLevel="0" collapsed="false">
      <c r="A1101" s="14"/>
      <c r="B1101" s="7"/>
      <c r="C1101" s="7"/>
      <c r="D1101" s="7"/>
      <c r="E1101" s="7"/>
      <c r="F1101" s="7"/>
      <c r="G1101" s="9"/>
      <c r="H1101" s="9"/>
      <c r="I1101" s="9"/>
      <c r="J1101" s="7"/>
      <c r="K1101" s="7"/>
    </row>
    <row r="1102" customFormat="false" ht="15" hidden="false" customHeight="true" outlineLevel="0" collapsed="false">
      <c r="A1102" s="14"/>
      <c r="B1102" s="7"/>
      <c r="C1102" s="7"/>
      <c r="D1102" s="7"/>
      <c r="E1102" s="7"/>
      <c r="F1102" s="7"/>
      <c r="G1102" s="9"/>
      <c r="H1102" s="9"/>
      <c r="I1102" s="9"/>
      <c r="J1102" s="7"/>
      <c r="K1102" s="7"/>
    </row>
    <row r="1103" customFormat="false" ht="15" hidden="false" customHeight="true" outlineLevel="0" collapsed="false">
      <c r="A1103" s="14"/>
      <c r="B1103" s="7"/>
      <c r="C1103" s="7"/>
      <c r="D1103" s="7"/>
      <c r="E1103" s="7"/>
      <c r="F1103" s="7"/>
      <c r="G1103" s="9"/>
      <c r="H1103" s="9"/>
      <c r="I1103" s="9"/>
      <c r="J1103" s="7"/>
      <c r="K1103" s="7"/>
    </row>
    <row r="1104" customFormat="false" ht="15" hidden="false" customHeight="true" outlineLevel="0" collapsed="false">
      <c r="A1104" s="14"/>
      <c r="B1104" s="7"/>
      <c r="C1104" s="7"/>
      <c r="D1104" s="7"/>
      <c r="E1104" s="7"/>
      <c r="F1104" s="7"/>
      <c r="G1104" s="9"/>
      <c r="H1104" s="9"/>
      <c r="I1104" s="9"/>
      <c r="J1104" s="7"/>
      <c r="K1104" s="7"/>
    </row>
    <row r="1105" customFormat="false" ht="15" hidden="false" customHeight="true" outlineLevel="0" collapsed="false">
      <c r="A1105" s="14"/>
      <c r="B1105" s="7"/>
      <c r="C1105" s="7"/>
      <c r="D1105" s="7"/>
      <c r="E1105" s="7"/>
      <c r="F1105" s="7"/>
      <c r="G1105" s="9"/>
      <c r="H1105" s="9"/>
      <c r="I1105" s="9"/>
      <c r="J1105" s="7"/>
      <c r="K1105" s="7"/>
    </row>
    <row r="1106" customFormat="false" ht="15" hidden="false" customHeight="true" outlineLevel="0" collapsed="false">
      <c r="A1106" s="14"/>
      <c r="B1106" s="7"/>
      <c r="C1106" s="7"/>
      <c r="D1106" s="7"/>
      <c r="E1106" s="7"/>
      <c r="F1106" s="7"/>
      <c r="G1106" s="9"/>
      <c r="H1106" s="9"/>
      <c r="I1106" s="9"/>
      <c r="J1106" s="7"/>
      <c r="K1106" s="7"/>
    </row>
    <row r="1107" customFormat="false" ht="15" hidden="false" customHeight="true" outlineLevel="0" collapsed="false">
      <c r="A1107" s="14"/>
      <c r="B1107" s="7"/>
      <c r="C1107" s="7"/>
      <c r="D1107" s="7"/>
      <c r="E1107" s="7"/>
      <c r="F1107" s="7"/>
      <c r="G1107" s="9"/>
      <c r="H1107" s="9"/>
      <c r="I1107" s="9"/>
      <c r="J1107" s="7"/>
      <c r="K1107" s="7"/>
    </row>
    <row r="1108" customFormat="false" ht="15" hidden="false" customHeight="true" outlineLevel="0" collapsed="false">
      <c r="A1108" s="14"/>
      <c r="B1108" s="7"/>
      <c r="C1108" s="7"/>
      <c r="D1108" s="7"/>
      <c r="E1108" s="7"/>
      <c r="F1108" s="7"/>
      <c r="G1108" s="9"/>
      <c r="H1108" s="9"/>
      <c r="I1108" s="9"/>
      <c r="J1108" s="7"/>
      <c r="K1108" s="7"/>
    </row>
    <row r="1109" customFormat="false" ht="15" hidden="false" customHeight="true" outlineLevel="0" collapsed="false">
      <c r="A1109" s="14"/>
      <c r="B1109" s="7"/>
      <c r="C1109" s="7"/>
      <c r="D1109" s="7"/>
      <c r="E1109" s="7"/>
      <c r="F1109" s="7"/>
      <c r="G1109" s="9"/>
      <c r="H1109" s="9"/>
      <c r="I1109" s="9"/>
      <c r="J1109" s="7"/>
      <c r="K1109" s="7"/>
    </row>
    <row r="1110" customFormat="false" ht="15" hidden="false" customHeight="true" outlineLevel="0" collapsed="false">
      <c r="A1110" s="14"/>
      <c r="B1110" s="7"/>
      <c r="C1110" s="7"/>
      <c r="D1110" s="7"/>
      <c r="E1110" s="7"/>
      <c r="F1110" s="7"/>
      <c r="G1110" s="9"/>
      <c r="H1110" s="9"/>
      <c r="I1110" s="9"/>
      <c r="J1110" s="7"/>
      <c r="K1110" s="7"/>
    </row>
    <row r="1111" customFormat="false" ht="15" hidden="false" customHeight="true" outlineLevel="0" collapsed="false">
      <c r="A1111" s="14"/>
      <c r="B1111" s="7"/>
      <c r="C1111" s="7"/>
      <c r="D1111" s="7"/>
      <c r="E1111" s="7"/>
      <c r="F1111" s="7"/>
      <c r="G1111" s="9"/>
      <c r="H1111" s="9"/>
      <c r="I1111" s="9"/>
      <c r="J1111" s="7"/>
      <c r="K1111" s="7"/>
    </row>
    <row r="1112" customFormat="false" ht="15" hidden="false" customHeight="true" outlineLevel="0" collapsed="false">
      <c r="A1112" s="14"/>
      <c r="B1112" s="7"/>
      <c r="C1112" s="7"/>
      <c r="D1112" s="7"/>
      <c r="E1112" s="7"/>
      <c r="F1112" s="7"/>
      <c r="G1112" s="9"/>
      <c r="H1112" s="9"/>
      <c r="I1112" s="9"/>
      <c r="J1112" s="7"/>
      <c r="K1112" s="7"/>
    </row>
    <row r="1113" customFormat="false" ht="15" hidden="false" customHeight="true" outlineLevel="0" collapsed="false">
      <c r="A1113" s="14"/>
      <c r="B1113" s="7"/>
      <c r="C1113" s="7"/>
      <c r="D1113" s="7"/>
      <c r="E1113" s="7"/>
      <c r="F1113" s="7"/>
      <c r="G1113" s="9"/>
      <c r="H1113" s="9"/>
      <c r="I1113" s="9"/>
      <c r="J1113" s="7"/>
      <c r="K1113" s="7"/>
    </row>
    <row r="1114" customFormat="false" ht="15" hidden="false" customHeight="true" outlineLevel="0" collapsed="false">
      <c r="A1114" s="14"/>
      <c r="B1114" s="7"/>
      <c r="C1114" s="7"/>
      <c r="D1114" s="7"/>
      <c r="E1114" s="7"/>
      <c r="F1114" s="7"/>
      <c r="G1114" s="9"/>
      <c r="H1114" s="9"/>
      <c r="I1114" s="9"/>
      <c r="J1114" s="7"/>
      <c r="K1114" s="7"/>
    </row>
    <row r="1115" customFormat="false" ht="15" hidden="false" customHeight="true" outlineLevel="0" collapsed="false">
      <c r="A1115" s="14"/>
      <c r="B1115" s="7"/>
      <c r="C1115" s="7"/>
      <c r="D1115" s="7"/>
      <c r="E1115" s="7"/>
      <c r="F1115" s="7"/>
      <c r="G1115" s="9"/>
      <c r="H1115" s="9"/>
      <c r="I1115" s="9"/>
      <c r="J1115" s="7"/>
      <c r="K1115" s="7"/>
    </row>
    <row r="1116" customFormat="false" ht="15" hidden="false" customHeight="true" outlineLevel="0" collapsed="false">
      <c r="A1116" s="14"/>
      <c r="B1116" s="7"/>
      <c r="C1116" s="7"/>
      <c r="D1116" s="7"/>
      <c r="E1116" s="7"/>
      <c r="F1116" s="7"/>
      <c r="G1116" s="9"/>
      <c r="H1116" s="9"/>
      <c r="I1116" s="9"/>
      <c r="J1116" s="7"/>
      <c r="K1116" s="7"/>
    </row>
    <row r="1117" customFormat="false" ht="15" hidden="false" customHeight="true" outlineLevel="0" collapsed="false">
      <c r="A1117" s="14"/>
      <c r="B1117" s="7"/>
      <c r="C1117" s="7"/>
      <c r="D1117" s="7"/>
      <c r="E1117" s="7"/>
      <c r="F1117" s="7"/>
      <c r="G1117" s="9"/>
      <c r="H1117" s="9"/>
      <c r="I1117" s="9"/>
      <c r="J1117" s="7"/>
      <c r="K1117" s="7"/>
    </row>
    <row r="1118" customFormat="false" ht="15" hidden="false" customHeight="true" outlineLevel="0" collapsed="false">
      <c r="A1118" s="14"/>
      <c r="B1118" s="7"/>
      <c r="C1118" s="7"/>
      <c r="D1118" s="7"/>
      <c r="E1118" s="7"/>
      <c r="F1118" s="7"/>
      <c r="G1118" s="9"/>
      <c r="H1118" s="9"/>
      <c r="I1118" s="9"/>
      <c r="J1118" s="7"/>
      <c r="K1118" s="7"/>
    </row>
    <row r="1119" customFormat="false" ht="15" hidden="false" customHeight="true" outlineLevel="0" collapsed="false">
      <c r="A1119" s="14"/>
      <c r="B1119" s="7"/>
      <c r="C1119" s="7"/>
      <c r="D1119" s="7"/>
      <c r="E1119" s="7"/>
      <c r="F1119" s="7"/>
      <c r="G1119" s="9"/>
      <c r="H1119" s="9"/>
      <c r="I1119" s="9"/>
      <c r="J1119" s="7"/>
      <c r="K1119" s="7"/>
    </row>
    <row r="1120" customFormat="false" ht="15" hidden="false" customHeight="true" outlineLevel="0" collapsed="false">
      <c r="A1120" s="14"/>
      <c r="B1120" s="7"/>
      <c r="C1120" s="7"/>
      <c r="D1120" s="7"/>
      <c r="E1120" s="7"/>
      <c r="F1120" s="7"/>
      <c r="G1120" s="9"/>
      <c r="H1120" s="9"/>
      <c r="I1120" s="9"/>
      <c r="J1120" s="7"/>
      <c r="K1120" s="7"/>
    </row>
    <row r="1121" customFormat="false" ht="15" hidden="false" customHeight="true" outlineLevel="0" collapsed="false">
      <c r="A1121" s="14"/>
      <c r="B1121" s="7"/>
      <c r="C1121" s="7"/>
      <c r="D1121" s="7"/>
      <c r="E1121" s="7"/>
      <c r="F1121" s="7"/>
      <c r="G1121" s="9"/>
      <c r="H1121" s="9"/>
      <c r="I1121" s="9"/>
      <c r="J1121" s="7"/>
      <c r="K1121" s="7"/>
    </row>
    <row r="1122" customFormat="false" ht="15" hidden="false" customHeight="true" outlineLevel="0" collapsed="false">
      <c r="A1122" s="14"/>
      <c r="B1122" s="7"/>
      <c r="C1122" s="7"/>
      <c r="D1122" s="7"/>
      <c r="E1122" s="7"/>
      <c r="F1122" s="7"/>
      <c r="G1122" s="9"/>
      <c r="H1122" s="9"/>
      <c r="I1122" s="9"/>
      <c r="J1122" s="7"/>
      <c r="K1122" s="7"/>
    </row>
    <row r="1123" customFormat="false" ht="15" hidden="false" customHeight="true" outlineLevel="0" collapsed="false">
      <c r="A1123" s="14"/>
      <c r="B1123" s="7"/>
      <c r="C1123" s="7"/>
      <c r="D1123" s="7"/>
      <c r="E1123" s="7"/>
      <c r="F1123" s="7"/>
      <c r="G1123" s="9"/>
      <c r="H1123" s="9"/>
      <c r="I1123" s="9"/>
      <c r="J1123" s="7"/>
      <c r="K1123" s="7"/>
    </row>
    <row r="1124" customFormat="false" ht="15" hidden="false" customHeight="true" outlineLevel="0" collapsed="false">
      <c r="A1124" s="14"/>
      <c r="B1124" s="7"/>
      <c r="C1124" s="7"/>
      <c r="D1124" s="7"/>
      <c r="E1124" s="7"/>
      <c r="F1124" s="7"/>
      <c r="G1124" s="9"/>
      <c r="H1124" s="9"/>
      <c r="I1124" s="9"/>
      <c r="J1124" s="7"/>
      <c r="K1124" s="7"/>
    </row>
    <row r="1125" customFormat="false" ht="15" hidden="false" customHeight="true" outlineLevel="0" collapsed="false">
      <c r="A1125" s="14"/>
      <c r="B1125" s="7"/>
      <c r="C1125" s="7"/>
      <c r="D1125" s="7"/>
      <c r="E1125" s="7"/>
      <c r="F1125" s="7"/>
      <c r="G1125" s="9"/>
      <c r="H1125" s="9"/>
      <c r="I1125" s="9"/>
      <c r="J1125" s="7"/>
      <c r="K1125" s="7"/>
    </row>
    <row r="1126" customFormat="false" ht="15" hidden="false" customHeight="true" outlineLevel="0" collapsed="false">
      <c r="A1126" s="14"/>
      <c r="B1126" s="7"/>
      <c r="C1126" s="7"/>
      <c r="D1126" s="7"/>
      <c r="E1126" s="7"/>
      <c r="F1126" s="7"/>
      <c r="G1126" s="9"/>
      <c r="H1126" s="9"/>
      <c r="I1126" s="9"/>
      <c r="J1126" s="7"/>
      <c r="K1126" s="7"/>
    </row>
    <row r="1127" customFormat="false" ht="15" hidden="false" customHeight="true" outlineLevel="0" collapsed="false">
      <c r="A1127" s="14"/>
      <c r="B1127" s="7"/>
      <c r="C1127" s="7"/>
      <c r="D1127" s="7"/>
      <c r="E1127" s="7"/>
      <c r="F1127" s="7"/>
      <c r="G1127" s="9"/>
      <c r="H1127" s="9"/>
      <c r="I1127" s="9"/>
      <c r="J1127" s="7"/>
      <c r="K1127" s="7"/>
    </row>
    <row r="1128" customFormat="false" ht="15" hidden="false" customHeight="true" outlineLevel="0" collapsed="false">
      <c r="A1128" s="14"/>
      <c r="B1128" s="7"/>
      <c r="C1128" s="7"/>
      <c r="D1128" s="7"/>
      <c r="E1128" s="7"/>
      <c r="F1128" s="7"/>
      <c r="G1128" s="9"/>
      <c r="H1128" s="9"/>
      <c r="I1128" s="9"/>
      <c r="J1128" s="7"/>
      <c r="K1128" s="7"/>
    </row>
    <row r="1129" customFormat="false" ht="15" hidden="false" customHeight="true" outlineLevel="0" collapsed="false">
      <c r="A1129" s="14"/>
      <c r="B1129" s="7"/>
      <c r="C1129" s="7"/>
      <c r="D1129" s="7"/>
      <c r="E1129" s="7"/>
      <c r="F1129" s="7"/>
      <c r="G1129" s="9"/>
      <c r="H1129" s="9"/>
      <c r="I1129" s="9"/>
      <c r="J1129" s="7"/>
      <c r="K1129" s="7"/>
    </row>
    <row r="1130" customFormat="false" ht="15" hidden="false" customHeight="true" outlineLevel="0" collapsed="false">
      <c r="A1130" s="14"/>
      <c r="B1130" s="7"/>
      <c r="C1130" s="7"/>
      <c r="D1130" s="7"/>
      <c r="E1130" s="7"/>
      <c r="F1130" s="7"/>
      <c r="G1130" s="9"/>
      <c r="H1130" s="9"/>
      <c r="I1130" s="9"/>
      <c r="J1130" s="7"/>
      <c r="K1130" s="7"/>
    </row>
    <row r="1131" customFormat="false" ht="15" hidden="false" customHeight="true" outlineLevel="0" collapsed="false">
      <c r="A1131" s="14"/>
      <c r="B1131" s="7"/>
      <c r="C1131" s="7"/>
      <c r="D1131" s="7"/>
      <c r="E1131" s="7"/>
      <c r="F1131" s="7"/>
      <c r="G1131" s="9"/>
      <c r="H1131" s="9"/>
      <c r="I1131" s="9"/>
      <c r="J1131" s="7"/>
      <c r="K1131" s="7"/>
    </row>
    <row r="1132" customFormat="false" ht="15" hidden="false" customHeight="true" outlineLevel="0" collapsed="false">
      <c r="A1132" s="14"/>
      <c r="B1132" s="7"/>
      <c r="C1132" s="7"/>
      <c r="D1132" s="7"/>
      <c r="E1132" s="7"/>
      <c r="F1132" s="7"/>
      <c r="G1132" s="9"/>
      <c r="H1132" s="9"/>
      <c r="I1132" s="9"/>
      <c r="J1132" s="7"/>
      <c r="K1132" s="7"/>
    </row>
    <row r="1133" customFormat="false" ht="15" hidden="false" customHeight="true" outlineLevel="0" collapsed="false">
      <c r="A1133" s="14"/>
      <c r="B1133" s="7"/>
      <c r="C1133" s="7"/>
      <c r="D1133" s="7"/>
      <c r="E1133" s="7"/>
      <c r="F1133" s="7"/>
      <c r="G1133" s="9"/>
      <c r="H1133" s="9"/>
      <c r="I1133" s="9"/>
      <c r="J1133" s="7"/>
      <c r="K1133" s="7"/>
    </row>
    <row r="1134" customFormat="false" ht="15" hidden="false" customHeight="true" outlineLevel="0" collapsed="false">
      <c r="A1134" s="14"/>
      <c r="B1134" s="7"/>
      <c r="C1134" s="7"/>
      <c r="D1134" s="7"/>
      <c r="E1134" s="7"/>
      <c r="F1134" s="7"/>
      <c r="G1134" s="9"/>
      <c r="H1134" s="9"/>
      <c r="I1134" s="9"/>
      <c r="J1134" s="7"/>
      <c r="K1134" s="7"/>
    </row>
    <row r="1135" customFormat="false" ht="15" hidden="false" customHeight="true" outlineLevel="0" collapsed="false">
      <c r="A1135" s="14"/>
      <c r="B1135" s="7"/>
      <c r="C1135" s="7"/>
      <c r="D1135" s="7"/>
      <c r="E1135" s="7"/>
      <c r="F1135" s="7"/>
      <c r="G1135" s="9"/>
      <c r="H1135" s="9"/>
      <c r="I1135" s="9"/>
      <c r="J1135" s="7"/>
      <c r="K1135" s="7"/>
    </row>
    <row r="1136" customFormat="false" ht="15" hidden="false" customHeight="true" outlineLevel="0" collapsed="false">
      <c r="A1136" s="14"/>
      <c r="B1136" s="7"/>
      <c r="C1136" s="7"/>
      <c r="D1136" s="7"/>
      <c r="E1136" s="7"/>
      <c r="F1136" s="7"/>
      <c r="G1136" s="9"/>
      <c r="H1136" s="9"/>
      <c r="I1136" s="9"/>
      <c r="J1136" s="7"/>
      <c r="K1136" s="7"/>
    </row>
    <row r="1137" customFormat="false" ht="15" hidden="false" customHeight="true" outlineLevel="0" collapsed="false">
      <c r="A1137" s="14"/>
      <c r="B1137" s="7"/>
      <c r="C1137" s="7"/>
      <c r="D1137" s="7"/>
      <c r="E1137" s="7"/>
      <c r="F1137" s="7"/>
      <c r="G1137" s="9"/>
      <c r="H1137" s="9"/>
      <c r="I1137" s="9"/>
      <c r="J1137" s="7"/>
      <c r="K1137" s="7"/>
    </row>
    <row r="1138" customFormat="false" ht="15" hidden="false" customHeight="true" outlineLevel="0" collapsed="false">
      <c r="A1138" s="14"/>
      <c r="B1138" s="7"/>
      <c r="C1138" s="7"/>
      <c r="D1138" s="7"/>
      <c r="E1138" s="7"/>
      <c r="F1138" s="7"/>
      <c r="G1138" s="9"/>
      <c r="H1138" s="9"/>
      <c r="I1138" s="9"/>
      <c r="J1138" s="7"/>
      <c r="K1138" s="7"/>
    </row>
    <row r="1139" customFormat="false" ht="15" hidden="false" customHeight="true" outlineLevel="0" collapsed="false">
      <c r="A1139" s="14"/>
      <c r="B1139" s="7"/>
      <c r="C1139" s="7"/>
      <c r="D1139" s="7"/>
      <c r="E1139" s="7"/>
      <c r="F1139" s="7"/>
      <c r="G1139" s="9"/>
      <c r="H1139" s="9"/>
      <c r="I1139" s="9"/>
      <c r="J1139" s="7"/>
      <c r="K1139" s="7"/>
    </row>
    <row r="1140" customFormat="false" ht="15" hidden="false" customHeight="true" outlineLevel="0" collapsed="false">
      <c r="A1140" s="14"/>
      <c r="B1140" s="7"/>
      <c r="C1140" s="7"/>
      <c r="D1140" s="7"/>
      <c r="E1140" s="7"/>
      <c r="F1140" s="7"/>
      <c r="G1140" s="9"/>
      <c r="H1140" s="9"/>
      <c r="I1140" s="9"/>
      <c r="J1140" s="7"/>
      <c r="K1140" s="7"/>
    </row>
    <row r="1141" customFormat="false" ht="15" hidden="false" customHeight="true" outlineLevel="0" collapsed="false">
      <c r="A1141" s="14"/>
      <c r="B1141" s="7"/>
      <c r="C1141" s="7"/>
      <c r="D1141" s="7"/>
      <c r="E1141" s="7"/>
      <c r="F1141" s="7"/>
      <c r="G1141" s="9"/>
      <c r="H1141" s="9"/>
      <c r="I1141" s="9"/>
      <c r="J1141" s="7"/>
      <c r="K1141" s="7"/>
    </row>
    <row r="1142" customFormat="false" ht="15" hidden="false" customHeight="true" outlineLevel="0" collapsed="false">
      <c r="A1142" s="14"/>
      <c r="B1142" s="7"/>
      <c r="C1142" s="7"/>
      <c r="D1142" s="7"/>
      <c r="E1142" s="7"/>
      <c r="F1142" s="7"/>
      <c r="G1142" s="9"/>
      <c r="H1142" s="9"/>
      <c r="I1142" s="9"/>
      <c r="J1142" s="7"/>
      <c r="K1142" s="7"/>
    </row>
    <row r="1143" customFormat="false" ht="15" hidden="false" customHeight="true" outlineLevel="0" collapsed="false">
      <c r="A1143" s="14"/>
      <c r="B1143" s="7"/>
      <c r="C1143" s="7"/>
      <c r="D1143" s="7"/>
      <c r="E1143" s="7"/>
      <c r="F1143" s="7"/>
      <c r="G1143" s="9"/>
      <c r="H1143" s="9"/>
      <c r="I1143" s="9"/>
      <c r="J1143" s="7"/>
      <c r="K1143" s="7"/>
    </row>
    <row r="1144" customFormat="false" ht="15" hidden="false" customHeight="true" outlineLevel="0" collapsed="false">
      <c r="A1144" s="14"/>
      <c r="B1144" s="7"/>
      <c r="C1144" s="7"/>
      <c r="D1144" s="7"/>
      <c r="E1144" s="7"/>
      <c r="F1144" s="7"/>
      <c r="G1144" s="9"/>
      <c r="H1144" s="9"/>
      <c r="I1144" s="9"/>
      <c r="J1144" s="7"/>
      <c r="K1144" s="7"/>
    </row>
    <row r="1145" customFormat="false" ht="15" hidden="false" customHeight="true" outlineLevel="0" collapsed="false">
      <c r="A1145" s="14"/>
      <c r="B1145" s="7"/>
      <c r="C1145" s="7"/>
      <c r="D1145" s="7"/>
      <c r="E1145" s="7"/>
      <c r="F1145" s="7"/>
      <c r="G1145" s="9"/>
      <c r="H1145" s="9"/>
      <c r="I1145" s="9"/>
      <c r="J1145" s="7"/>
      <c r="K1145" s="7"/>
    </row>
    <row r="1146" customFormat="false" ht="15" hidden="false" customHeight="true" outlineLevel="0" collapsed="false">
      <c r="A1146" s="14"/>
      <c r="B1146" s="7"/>
      <c r="C1146" s="7"/>
      <c r="D1146" s="7"/>
      <c r="E1146" s="7"/>
      <c r="F1146" s="7"/>
      <c r="G1146" s="9"/>
      <c r="H1146" s="9"/>
      <c r="I1146" s="9"/>
      <c r="J1146" s="7"/>
      <c r="K1146" s="7"/>
    </row>
    <row r="1147" customFormat="false" ht="15" hidden="false" customHeight="true" outlineLevel="0" collapsed="false">
      <c r="A1147" s="14"/>
      <c r="B1147" s="7"/>
      <c r="C1147" s="7"/>
      <c r="D1147" s="7"/>
      <c r="E1147" s="7"/>
      <c r="F1147" s="7"/>
      <c r="G1147" s="9"/>
      <c r="H1147" s="9"/>
      <c r="I1147" s="9"/>
      <c r="J1147" s="7"/>
      <c r="K1147" s="7"/>
    </row>
    <row r="1148" customFormat="false" ht="15" hidden="false" customHeight="true" outlineLevel="0" collapsed="false">
      <c r="A1148" s="14"/>
      <c r="B1148" s="7"/>
      <c r="C1148" s="7"/>
      <c r="D1148" s="7"/>
      <c r="E1148" s="7"/>
      <c r="F1148" s="7"/>
      <c r="G1148" s="9"/>
      <c r="H1148" s="9"/>
      <c r="I1148" s="9"/>
      <c r="J1148" s="7"/>
      <c r="K1148" s="7"/>
    </row>
    <row r="1149" customFormat="false" ht="15" hidden="false" customHeight="true" outlineLevel="0" collapsed="false">
      <c r="A1149" s="14"/>
      <c r="B1149" s="7"/>
      <c r="C1149" s="7"/>
      <c r="D1149" s="7"/>
      <c r="E1149" s="7"/>
      <c r="F1149" s="7"/>
      <c r="G1149" s="9"/>
      <c r="H1149" s="9"/>
      <c r="I1149" s="9"/>
      <c r="J1149" s="7"/>
      <c r="K1149" s="7"/>
    </row>
    <row r="1150" customFormat="false" ht="15" hidden="false" customHeight="true" outlineLevel="0" collapsed="false">
      <c r="A1150" s="14"/>
      <c r="B1150" s="7"/>
      <c r="C1150" s="7"/>
      <c r="D1150" s="7"/>
      <c r="E1150" s="7"/>
      <c r="F1150" s="7"/>
      <c r="G1150" s="9"/>
      <c r="H1150" s="9"/>
      <c r="I1150" s="9"/>
      <c r="J1150" s="7"/>
      <c r="K1150" s="7"/>
    </row>
    <row r="1151" customFormat="false" ht="15" hidden="false" customHeight="true" outlineLevel="0" collapsed="false">
      <c r="A1151" s="14"/>
      <c r="B1151" s="7"/>
      <c r="C1151" s="7"/>
      <c r="D1151" s="7"/>
      <c r="E1151" s="7"/>
      <c r="F1151" s="7"/>
      <c r="G1151" s="9"/>
      <c r="H1151" s="9"/>
      <c r="I1151" s="9"/>
      <c r="J1151" s="7"/>
      <c r="K1151" s="7"/>
    </row>
    <row r="1152" customFormat="false" ht="15" hidden="false" customHeight="true" outlineLevel="0" collapsed="false">
      <c r="A1152" s="14"/>
      <c r="B1152" s="7"/>
      <c r="C1152" s="7"/>
      <c r="D1152" s="7"/>
      <c r="E1152" s="7"/>
      <c r="F1152" s="7"/>
      <c r="G1152" s="9"/>
      <c r="H1152" s="9"/>
      <c r="I1152" s="9"/>
      <c r="J1152" s="7"/>
      <c r="K1152" s="7"/>
    </row>
    <row r="1153" customFormat="false" ht="15" hidden="false" customHeight="true" outlineLevel="0" collapsed="false">
      <c r="A1153" s="14"/>
      <c r="B1153" s="7"/>
      <c r="C1153" s="7"/>
      <c r="D1153" s="7"/>
      <c r="E1153" s="7"/>
      <c r="F1153" s="7"/>
      <c r="G1153" s="9"/>
      <c r="H1153" s="9"/>
      <c r="I1153" s="9"/>
      <c r="J1153" s="7"/>
      <c r="K1153" s="7"/>
    </row>
    <row r="1154" customFormat="false" ht="15" hidden="false" customHeight="true" outlineLevel="0" collapsed="false">
      <c r="A1154" s="14"/>
      <c r="B1154" s="7"/>
      <c r="C1154" s="7"/>
      <c r="D1154" s="7"/>
      <c r="E1154" s="7"/>
      <c r="F1154" s="7"/>
      <c r="G1154" s="9"/>
      <c r="H1154" s="9"/>
      <c r="I1154" s="9"/>
      <c r="J1154" s="7"/>
      <c r="K1154" s="7"/>
    </row>
    <row r="1155" customFormat="false" ht="15" hidden="false" customHeight="true" outlineLevel="0" collapsed="false">
      <c r="A1155" s="14"/>
      <c r="B1155" s="7"/>
      <c r="C1155" s="7"/>
      <c r="D1155" s="7"/>
      <c r="E1155" s="7"/>
      <c r="F1155" s="7"/>
      <c r="G1155" s="9"/>
      <c r="H1155" s="9"/>
      <c r="I1155" s="9"/>
      <c r="J1155" s="7"/>
      <c r="K1155" s="7"/>
    </row>
    <row r="1156" customFormat="false" ht="15" hidden="false" customHeight="true" outlineLevel="0" collapsed="false">
      <c r="A1156" s="14"/>
      <c r="B1156" s="7"/>
      <c r="C1156" s="7"/>
      <c r="D1156" s="7"/>
      <c r="E1156" s="7"/>
      <c r="F1156" s="7"/>
      <c r="G1156" s="9"/>
      <c r="H1156" s="9"/>
      <c r="I1156" s="9"/>
      <c r="J1156" s="7"/>
      <c r="K1156" s="7"/>
    </row>
    <row r="1157" customFormat="false" ht="15" hidden="false" customHeight="true" outlineLevel="0" collapsed="false">
      <c r="A1157" s="14"/>
      <c r="B1157" s="7"/>
      <c r="C1157" s="7"/>
      <c r="D1157" s="7"/>
      <c r="E1157" s="7"/>
      <c r="F1157" s="7"/>
      <c r="G1157" s="9"/>
      <c r="H1157" s="9"/>
      <c r="I1157" s="9"/>
      <c r="J1157" s="7"/>
      <c r="K1157" s="7"/>
    </row>
    <row r="1158" customFormat="false" ht="15" hidden="false" customHeight="true" outlineLevel="0" collapsed="false">
      <c r="A1158" s="14"/>
      <c r="B1158" s="7"/>
      <c r="C1158" s="7"/>
      <c r="D1158" s="7"/>
      <c r="E1158" s="7"/>
      <c r="F1158" s="7"/>
      <c r="G1158" s="9"/>
      <c r="H1158" s="9"/>
      <c r="I1158" s="9"/>
      <c r="J1158" s="7"/>
      <c r="K1158" s="7"/>
    </row>
    <row r="1159" customFormat="false" ht="15" hidden="false" customHeight="true" outlineLevel="0" collapsed="false">
      <c r="A1159" s="14"/>
      <c r="B1159" s="7"/>
      <c r="C1159" s="7"/>
      <c r="D1159" s="7"/>
      <c r="E1159" s="7"/>
      <c r="F1159" s="7"/>
      <c r="G1159" s="9"/>
      <c r="H1159" s="9"/>
      <c r="I1159" s="9"/>
      <c r="J1159" s="7"/>
      <c r="K1159" s="7"/>
    </row>
    <row r="1160" customFormat="false" ht="15" hidden="false" customHeight="true" outlineLevel="0" collapsed="false">
      <c r="A1160" s="14"/>
      <c r="B1160" s="7"/>
      <c r="C1160" s="7"/>
      <c r="D1160" s="7"/>
      <c r="E1160" s="7"/>
      <c r="F1160" s="7"/>
      <c r="G1160" s="9"/>
      <c r="H1160" s="9"/>
      <c r="I1160" s="9"/>
      <c r="J1160" s="7"/>
      <c r="K1160" s="7"/>
    </row>
    <row r="1161" customFormat="false" ht="15" hidden="false" customHeight="true" outlineLevel="0" collapsed="false">
      <c r="A1161" s="14"/>
      <c r="B1161" s="7"/>
      <c r="C1161" s="7"/>
      <c r="D1161" s="7"/>
      <c r="E1161" s="7"/>
      <c r="F1161" s="7"/>
      <c r="G1161" s="9"/>
      <c r="H1161" s="9"/>
      <c r="I1161" s="9"/>
      <c r="J1161" s="7"/>
      <c r="K1161" s="7"/>
    </row>
    <row r="1162" customFormat="false" ht="15" hidden="false" customHeight="true" outlineLevel="0" collapsed="false">
      <c r="A1162" s="14"/>
      <c r="B1162" s="7"/>
      <c r="C1162" s="7"/>
      <c r="D1162" s="7"/>
      <c r="E1162" s="7"/>
      <c r="F1162" s="7"/>
      <c r="G1162" s="9"/>
      <c r="H1162" s="9"/>
      <c r="I1162" s="9"/>
      <c r="J1162" s="7"/>
      <c r="K1162" s="7"/>
    </row>
    <row r="1163" customFormat="false" ht="15" hidden="false" customHeight="true" outlineLevel="0" collapsed="false">
      <c r="A1163" s="14"/>
      <c r="B1163" s="7"/>
      <c r="C1163" s="7"/>
      <c r="D1163" s="7"/>
      <c r="E1163" s="7"/>
      <c r="F1163" s="7"/>
      <c r="G1163" s="9"/>
      <c r="H1163" s="9"/>
      <c r="I1163" s="9"/>
      <c r="J1163" s="7"/>
      <c r="K1163" s="7"/>
    </row>
    <row r="1164" customFormat="false" ht="15" hidden="false" customHeight="true" outlineLevel="0" collapsed="false">
      <c r="A1164" s="14"/>
      <c r="B1164" s="7"/>
      <c r="C1164" s="7"/>
      <c r="D1164" s="7"/>
      <c r="E1164" s="7"/>
      <c r="F1164" s="7"/>
      <c r="G1164" s="9"/>
      <c r="H1164" s="9"/>
      <c r="I1164" s="9"/>
      <c r="J1164" s="7"/>
      <c r="K1164" s="7"/>
    </row>
    <row r="1165" customFormat="false" ht="15" hidden="false" customHeight="true" outlineLevel="0" collapsed="false">
      <c r="A1165" s="14"/>
      <c r="B1165" s="7"/>
      <c r="C1165" s="7"/>
      <c r="D1165" s="7"/>
      <c r="E1165" s="7"/>
      <c r="F1165" s="7"/>
      <c r="G1165" s="9"/>
      <c r="H1165" s="9"/>
      <c r="I1165" s="9"/>
      <c r="J1165" s="7"/>
      <c r="K1165" s="7"/>
    </row>
    <row r="1166" customFormat="false" ht="15" hidden="false" customHeight="true" outlineLevel="0" collapsed="false">
      <c r="A1166" s="14"/>
      <c r="B1166" s="7"/>
      <c r="C1166" s="7"/>
      <c r="D1166" s="7"/>
      <c r="E1166" s="7"/>
      <c r="F1166" s="7"/>
      <c r="G1166" s="9"/>
      <c r="H1166" s="9"/>
      <c r="I1166" s="9"/>
      <c r="J1166" s="7"/>
      <c r="K1166" s="7"/>
    </row>
    <row r="1167" customFormat="false" ht="15" hidden="false" customHeight="true" outlineLevel="0" collapsed="false">
      <c r="A1167" s="14"/>
      <c r="B1167" s="7"/>
      <c r="C1167" s="7"/>
      <c r="D1167" s="7"/>
      <c r="E1167" s="7"/>
      <c r="F1167" s="7"/>
      <c r="G1167" s="9"/>
      <c r="H1167" s="9"/>
      <c r="I1167" s="9"/>
      <c r="J1167" s="7"/>
      <c r="K1167" s="7"/>
    </row>
    <row r="1168" customFormat="false" ht="15" hidden="false" customHeight="true" outlineLevel="0" collapsed="false">
      <c r="A1168" s="14"/>
      <c r="B1168" s="7"/>
      <c r="C1168" s="7"/>
      <c r="D1168" s="7"/>
      <c r="E1168" s="7"/>
      <c r="F1168" s="7"/>
      <c r="G1168" s="9"/>
      <c r="H1168" s="9"/>
      <c r="I1168" s="9"/>
      <c r="J1168" s="7"/>
      <c r="K1168" s="7"/>
    </row>
    <row r="1169" customFormat="false" ht="15" hidden="false" customHeight="true" outlineLevel="0" collapsed="false">
      <c r="A1169" s="14"/>
      <c r="B1169" s="7"/>
      <c r="C1169" s="7"/>
      <c r="D1169" s="7"/>
      <c r="E1169" s="7"/>
      <c r="F1169" s="7"/>
      <c r="G1169" s="9"/>
      <c r="H1169" s="9"/>
      <c r="I1169" s="9"/>
      <c r="J1169" s="7"/>
      <c r="K1169" s="7"/>
    </row>
    <row r="1170" customFormat="false" ht="15" hidden="false" customHeight="true" outlineLevel="0" collapsed="false">
      <c r="A1170" s="14"/>
      <c r="B1170" s="7"/>
      <c r="C1170" s="7"/>
      <c r="D1170" s="7"/>
      <c r="E1170" s="7"/>
      <c r="F1170" s="7"/>
      <c r="G1170" s="9"/>
      <c r="H1170" s="9"/>
      <c r="I1170" s="9"/>
      <c r="J1170" s="7"/>
      <c r="K1170" s="7"/>
    </row>
    <row r="1171" customFormat="false" ht="15" hidden="false" customHeight="true" outlineLevel="0" collapsed="false">
      <c r="A1171" s="14"/>
      <c r="B1171" s="7"/>
      <c r="C1171" s="7"/>
      <c r="D1171" s="7"/>
      <c r="E1171" s="7"/>
      <c r="F1171" s="7"/>
      <c r="G1171" s="9"/>
      <c r="H1171" s="9"/>
      <c r="I1171" s="9"/>
      <c r="J1171" s="7"/>
      <c r="K1171" s="7"/>
    </row>
    <row r="1172" customFormat="false" ht="15" hidden="false" customHeight="true" outlineLevel="0" collapsed="false">
      <c r="A1172" s="14"/>
      <c r="B1172" s="7"/>
      <c r="C1172" s="7"/>
      <c r="D1172" s="7"/>
      <c r="E1172" s="7"/>
      <c r="F1172" s="7"/>
      <c r="G1172" s="9"/>
      <c r="H1172" s="9"/>
      <c r="I1172" s="9"/>
      <c r="J1172" s="7"/>
      <c r="K1172" s="7"/>
    </row>
    <row r="1173" customFormat="false" ht="15" hidden="false" customHeight="true" outlineLevel="0" collapsed="false">
      <c r="A1173" s="14"/>
      <c r="B1173" s="7"/>
      <c r="C1173" s="7"/>
      <c r="D1173" s="7"/>
      <c r="E1173" s="7"/>
      <c r="F1173" s="7"/>
      <c r="G1173" s="9"/>
      <c r="H1173" s="9"/>
      <c r="I1173" s="9"/>
      <c r="J1173" s="7"/>
      <c r="K1173" s="7"/>
    </row>
    <row r="1174" customFormat="false" ht="15" hidden="false" customHeight="true" outlineLevel="0" collapsed="false">
      <c r="A1174" s="14"/>
      <c r="B1174" s="7"/>
      <c r="C1174" s="7"/>
      <c r="D1174" s="7"/>
      <c r="E1174" s="7"/>
      <c r="F1174" s="7"/>
      <c r="G1174" s="9"/>
      <c r="H1174" s="9"/>
      <c r="I1174" s="9"/>
      <c r="J1174" s="7"/>
      <c r="K1174" s="7"/>
    </row>
    <row r="1175" customFormat="false" ht="15" hidden="false" customHeight="true" outlineLevel="0" collapsed="false">
      <c r="A1175" s="14"/>
      <c r="B1175" s="7"/>
      <c r="C1175" s="7"/>
      <c r="D1175" s="7"/>
      <c r="E1175" s="7"/>
      <c r="F1175" s="7"/>
      <c r="G1175" s="9"/>
      <c r="H1175" s="9"/>
      <c r="I1175" s="9"/>
      <c r="J1175" s="7"/>
      <c r="K1175" s="7"/>
    </row>
    <row r="1176" customFormat="false" ht="15" hidden="false" customHeight="true" outlineLevel="0" collapsed="false">
      <c r="A1176" s="14"/>
      <c r="B1176" s="7"/>
      <c r="C1176" s="7"/>
      <c r="D1176" s="7"/>
      <c r="E1176" s="7"/>
      <c r="F1176" s="7"/>
      <c r="G1176" s="9"/>
      <c r="H1176" s="9"/>
      <c r="I1176" s="9"/>
      <c r="J1176" s="7"/>
      <c r="K1176" s="7"/>
    </row>
    <row r="1177" customFormat="false" ht="15" hidden="false" customHeight="true" outlineLevel="0" collapsed="false">
      <c r="A1177" s="14"/>
      <c r="B1177" s="7"/>
      <c r="C1177" s="7"/>
      <c r="D1177" s="7"/>
      <c r="E1177" s="7"/>
      <c r="F1177" s="7"/>
      <c r="G1177" s="9"/>
      <c r="H1177" s="9"/>
      <c r="I1177" s="9"/>
      <c r="J1177" s="7"/>
      <c r="K1177" s="7"/>
    </row>
    <row r="1178" customFormat="false" ht="15" hidden="false" customHeight="true" outlineLevel="0" collapsed="false">
      <c r="A1178" s="14"/>
      <c r="B1178" s="7"/>
      <c r="C1178" s="7"/>
      <c r="D1178" s="7"/>
      <c r="E1178" s="7"/>
      <c r="F1178" s="7"/>
      <c r="G1178" s="9"/>
      <c r="H1178" s="9"/>
      <c r="I1178" s="9"/>
      <c r="J1178" s="7"/>
      <c r="K1178" s="7"/>
    </row>
    <row r="1179" customFormat="false" ht="15" hidden="false" customHeight="true" outlineLevel="0" collapsed="false">
      <c r="A1179" s="14"/>
      <c r="B1179" s="7"/>
      <c r="C1179" s="7"/>
      <c r="D1179" s="7"/>
      <c r="E1179" s="7"/>
      <c r="F1179" s="7"/>
      <c r="G1179" s="9"/>
      <c r="H1179" s="9"/>
      <c r="I1179" s="9"/>
      <c r="J1179" s="7"/>
      <c r="K1179" s="7"/>
    </row>
    <row r="1180" customFormat="false" ht="15" hidden="false" customHeight="true" outlineLevel="0" collapsed="false">
      <c r="A1180" s="14"/>
      <c r="B1180" s="7"/>
      <c r="C1180" s="7"/>
      <c r="D1180" s="7"/>
      <c r="E1180" s="7"/>
      <c r="F1180" s="7"/>
      <c r="G1180" s="9"/>
      <c r="H1180" s="9"/>
      <c r="I1180" s="9"/>
      <c r="J1180" s="7"/>
      <c r="K1180" s="7"/>
    </row>
    <row r="1181" customFormat="false" ht="15" hidden="false" customHeight="true" outlineLevel="0" collapsed="false">
      <c r="A1181" s="14"/>
      <c r="B1181" s="7"/>
      <c r="C1181" s="7"/>
      <c r="D1181" s="7"/>
      <c r="E1181" s="7"/>
      <c r="F1181" s="7"/>
      <c r="G1181" s="9"/>
      <c r="H1181" s="9"/>
      <c r="I1181" s="9"/>
      <c r="J1181" s="7"/>
      <c r="K1181" s="7"/>
    </row>
    <row r="1182" customFormat="false" ht="15" hidden="false" customHeight="true" outlineLevel="0" collapsed="false">
      <c r="A1182" s="14"/>
      <c r="B1182" s="7"/>
      <c r="C1182" s="7"/>
      <c r="D1182" s="7"/>
      <c r="E1182" s="7"/>
      <c r="F1182" s="7"/>
      <c r="G1182" s="9"/>
      <c r="H1182" s="9"/>
      <c r="I1182" s="9"/>
      <c r="J1182" s="7"/>
      <c r="K1182" s="7"/>
    </row>
    <row r="1183" customFormat="false" ht="15" hidden="false" customHeight="true" outlineLevel="0" collapsed="false">
      <c r="A1183" s="14"/>
      <c r="B1183" s="7"/>
      <c r="C1183" s="7"/>
      <c r="D1183" s="7"/>
      <c r="E1183" s="7"/>
      <c r="F1183" s="7"/>
      <c r="G1183" s="9"/>
      <c r="H1183" s="9"/>
      <c r="I1183" s="9"/>
      <c r="J1183" s="7"/>
      <c r="K1183" s="7"/>
    </row>
    <row r="1184" customFormat="false" ht="15" hidden="false" customHeight="true" outlineLevel="0" collapsed="false">
      <c r="A1184" s="14"/>
      <c r="B1184" s="7"/>
      <c r="C1184" s="7"/>
      <c r="D1184" s="7"/>
      <c r="E1184" s="7"/>
      <c r="F1184" s="7"/>
      <c r="G1184" s="9"/>
      <c r="H1184" s="9"/>
      <c r="I1184" s="9"/>
      <c r="J1184" s="7"/>
      <c r="K1184" s="7"/>
    </row>
    <row r="1185" customFormat="false" ht="15" hidden="false" customHeight="true" outlineLevel="0" collapsed="false">
      <c r="A1185" s="14"/>
      <c r="B1185" s="7"/>
      <c r="C1185" s="7"/>
      <c r="D1185" s="7"/>
      <c r="E1185" s="7"/>
      <c r="F1185" s="7"/>
      <c r="G1185" s="9"/>
      <c r="H1185" s="9"/>
      <c r="I1185" s="9"/>
      <c r="J1185" s="7"/>
      <c r="K1185" s="7"/>
    </row>
    <row r="1186" customFormat="false" ht="15" hidden="false" customHeight="true" outlineLevel="0" collapsed="false">
      <c r="A1186" s="14"/>
      <c r="B1186" s="7"/>
      <c r="C1186" s="7"/>
      <c r="D1186" s="7"/>
      <c r="E1186" s="7"/>
      <c r="F1186" s="7"/>
      <c r="G1186" s="9"/>
      <c r="H1186" s="9"/>
      <c r="I1186" s="9"/>
      <c r="J1186" s="7"/>
      <c r="K1186" s="7"/>
    </row>
    <row r="1187" customFormat="false" ht="15" hidden="false" customHeight="true" outlineLevel="0" collapsed="false">
      <c r="A1187" s="14"/>
      <c r="B1187" s="7"/>
      <c r="C1187" s="7"/>
      <c r="D1187" s="7"/>
      <c r="E1187" s="7"/>
      <c r="F1187" s="7"/>
      <c r="G1187" s="9"/>
      <c r="H1187" s="9"/>
      <c r="I1187" s="9"/>
      <c r="J1187" s="7"/>
      <c r="K1187" s="7"/>
    </row>
    <row r="1188" customFormat="false" ht="15" hidden="false" customHeight="true" outlineLevel="0" collapsed="false">
      <c r="A1188" s="14"/>
      <c r="B1188" s="7"/>
      <c r="C1188" s="7"/>
      <c r="D1188" s="7"/>
      <c r="E1188" s="7"/>
      <c r="F1188" s="7"/>
      <c r="G1188" s="9"/>
      <c r="H1188" s="9"/>
      <c r="I1188" s="9"/>
      <c r="J1188" s="7"/>
      <c r="K1188" s="7"/>
    </row>
    <row r="1189" customFormat="false" ht="15" hidden="false" customHeight="true" outlineLevel="0" collapsed="false">
      <c r="A1189" s="14"/>
      <c r="B1189" s="7"/>
      <c r="C1189" s="7"/>
      <c r="D1189" s="7"/>
      <c r="E1189" s="7"/>
      <c r="F1189" s="7"/>
      <c r="G1189" s="9"/>
      <c r="H1189" s="9"/>
      <c r="I1189" s="9"/>
      <c r="J1189" s="7"/>
      <c r="K1189" s="7"/>
    </row>
    <row r="1190" customFormat="false" ht="15" hidden="false" customHeight="true" outlineLevel="0" collapsed="false">
      <c r="A1190" s="14"/>
      <c r="B1190" s="7"/>
      <c r="C1190" s="7"/>
      <c r="D1190" s="7"/>
      <c r="E1190" s="7"/>
      <c r="F1190" s="7"/>
      <c r="G1190" s="9"/>
      <c r="H1190" s="9"/>
      <c r="I1190" s="9"/>
      <c r="J1190" s="7"/>
      <c r="K1190" s="7"/>
    </row>
    <row r="1191" customFormat="false" ht="15" hidden="false" customHeight="true" outlineLevel="0" collapsed="false">
      <c r="A1191" s="14"/>
      <c r="B1191" s="7"/>
      <c r="C1191" s="7"/>
      <c r="D1191" s="7"/>
      <c r="E1191" s="7"/>
      <c r="F1191" s="7"/>
      <c r="G1191" s="9"/>
      <c r="H1191" s="9"/>
      <c r="I1191" s="9"/>
      <c r="J1191" s="7"/>
      <c r="K1191" s="7"/>
    </row>
    <row r="1192" customFormat="false" ht="15" hidden="false" customHeight="true" outlineLevel="0" collapsed="false">
      <c r="A1192" s="14"/>
      <c r="B1192" s="7"/>
      <c r="C1192" s="7"/>
      <c r="D1192" s="7"/>
      <c r="E1192" s="7"/>
      <c r="F1192" s="7"/>
      <c r="G1192" s="9"/>
      <c r="H1192" s="9"/>
      <c r="I1192" s="9"/>
      <c r="J1192" s="7"/>
      <c r="K1192" s="7"/>
    </row>
    <row r="1193" customFormat="false" ht="15" hidden="false" customHeight="true" outlineLevel="0" collapsed="false">
      <c r="A1193" s="14"/>
      <c r="B1193" s="7"/>
      <c r="C1193" s="7"/>
      <c r="D1193" s="7"/>
      <c r="E1193" s="7"/>
      <c r="F1193" s="7"/>
      <c r="G1193" s="9"/>
      <c r="H1193" s="9"/>
      <c r="I1193" s="9"/>
      <c r="J1193" s="7"/>
      <c r="K1193" s="7"/>
    </row>
    <row r="1194" customFormat="false" ht="15" hidden="false" customHeight="true" outlineLevel="0" collapsed="false">
      <c r="A1194" s="14"/>
      <c r="B1194" s="7"/>
      <c r="C1194" s="7"/>
      <c r="D1194" s="7"/>
      <c r="E1194" s="7"/>
      <c r="F1194" s="7"/>
      <c r="G1194" s="9"/>
      <c r="H1194" s="9"/>
      <c r="I1194" s="9"/>
      <c r="J1194" s="7"/>
      <c r="K1194" s="7"/>
    </row>
    <row r="1195" customFormat="false" ht="15" hidden="false" customHeight="true" outlineLevel="0" collapsed="false">
      <c r="A1195" s="14"/>
      <c r="B1195" s="7"/>
      <c r="C1195" s="7"/>
      <c r="D1195" s="7"/>
      <c r="E1195" s="7"/>
      <c r="F1195" s="7"/>
      <c r="G1195" s="9"/>
      <c r="H1195" s="9"/>
      <c r="I1195" s="9"/>
      <c r="J1195" s="7"/>
      <c r="K1195" s="7"/>
    </row>
    <row r="1196" customFormat="false" ht="15" hidden="false" customHeight="true" outlineLevel="0" collapsed="false">
      <c r="A1196" s="14"/>
      <c r="B1196" s="7"/>
      <c r="C1196" s="7"/>
      <c r="D1196" s="7"/>
      <c r="E1196" s="7"/>
      <c r="F1196" s="7"/>
      <c r="G1196" s="9"/>
      <c r="H1196" s="9"/>
      <c r="I1196" s="9"/>
      <c r="J1196" s="7"/>
      <c r="K1196" s="7"/>
    </row>
    <row r="1197" customFormat="false" ht="15" hidden="false" customHeight="true" outlineLevel="0" collapsed="false">
      <c r="A1197" s="14"/>
      <c r="B1197" s="7"/>
      <c r="C1197" s="7"/>
      <c r="D1197" s="7"/>
      <c r="E1197" s="7"/>
      <c r="F1197" s="7"/>
      <c r="G1197" s="9"/>
      <c r="H1197" s="9"/>
      <c r="I1197" s="9"/>
      <c r="J1197" s="7"/>
      <c r="K1197" s="7"/>
    </row>
    <row r="1198" customFormat="false" ht="15" hidden="false" customHeight="true" outlineLevel="0" collapsed="false">
      <c r="A1198" s="14"/>
      <c r="B1198" s="7"/>
      <c r="C1198" s="7"/>
      <c r="D1198" s="7"/>
      <c r="E1198" s="7"/>
      <c r="F1198" s="7"/>
      <c r="G1198" s="9"/>
      <c r="H1198" s="9"/>
      <c r="I1198" s="9"/>
      <c r="J1198" s="7"/>
      <c r="K1198" s="7"/>
    </row>
    <row r="1199" customFormat="false" ht="15" hidden="false" customHeight="true" outlineLevel="0" collapsed="false">
      <c r="A1199" s="14"/>
      <c r="B1199" s="7"/>
      <c r="C1199" s="7"/>
      <c r="D1199" s="7"/>
      <c r="E1199" s="7"/>
      <c r="F1199" s="7"/>
      <c r="G1199" s="9"/>
      <c r="H1199" s="9"/>
      <c r="I1199" s="9"/>
      <c r="J1199" s="7"/>
      <c r="K1199" s="7"/>
    </row>
    <row r="1200" customFormat="false" ht="15" hidden="false" customHeight="true" outlineLevel="0" collapsed="false">
      <c r="A1200" s="14"/>
      <c r="B1200" s="7"/>
      <c r="C1200" s="7"/>
      <c r="D1200" s="7"/>
      <c r="E1200" s="7"/>
      <c r="F1200" s="7"/>
      <c r="G1200" s="9"/>
      <c r="H1200" s="9"/>
      <c r="I1200" s="9"/>
      <c r="J1200" s="7"/>
      <c r="K1200" s="7"/>
    </row>
    <row r="1201" customFormat="false" ht="15" hidden="false" customHeight="true" outlineLevel="0" collapsed="false">
      <c r="A1201" s="14"/>
      <c r="B1201" s="7"/>
      <c r="C1201" s="7"/>
      <c r="D1201" s="7"/>
      <c r="E1201" s="7"/>
      <c r="F1201" s="7"/>
      <c r="G1201" s="9"/>
      <c r="H1201" s="9"/>
      <c r="I1201" s="9"/>
      <c r="J1201" s="7"/>
      <c r="K1201" s="7"/>
    </row>
    <row r="1202" customFormat="false" ht="15" hidden="false" customHeight="true" outlineLevel="0" collapsed="false">
      <c r="A1202" s="14"/>
      <c r="B1202" s="7"/>
      <c r="C1202" s="7"/>
      <c r="D1202" s="7"/>
      <c r="E1202" s="7"/>
      <c r="F1202" s="7"/>
      <c r="G1202" s="9"/>
      <c r="H1202" s="9"/>
      <c r="I1202" s="9"/>
      <c r="J1202" s="7"/>
      <c r="K1202" s="7"/>
    </row>
    <row r="1203" customFormat="false" ht="15" hidden="false" customHeight="true" outlineLevel="0" collapsed="false">
      <c r="A1203" s="14"/>
      <c r="B1203" s="7"/>
      <c r="C1203" s="7"/>
      <c r="D1203" s="7"/>
      <c r="E1203" s="7"/>
      <c r="F1203" s="7"/>
      <c r="G1203" s="9"/>
      <c r="H1203" s="9"/>
      <c r="I1203" s="9"/>
      <c r="J1203" s="7"/>
      <c r="K1203" s="7"/>
    </row>
    <row r="1204" customFormat="false" ht="15" hidden="false" customHeight="true" outlineLevel="0" collapsed="false">
      <c r="A1204" s="14"/>
      <c r="B1204" s="7"/>
      <c r="C1204" s="7"/>
      <c r="D1204" s="7"/>
      <c r="E1204" s="7"/>
      <c r="F1204" s="7"/>
      <c r="G1204" s="9"/>
      <c r="H1204" s="9"/>
      <c r="I1204" s="9"/>
      <c r="J1204" s="7"/>
      <c r="K1204" s="7"/>
    </row>
    <row r="1205" customFormat="false" ht="15" hidden="false" customHeight="true" outlineLevel="0" collapsed="false">
      <c r="A1205" s="14"/>
      <c r="B1205" s="7"/>
      <c r="C1205" s="7"/>
      <c r="D1205" s="7"/>
      <c r="E1205" s="7"/>
      <c r="F1205" s="7"/>
      <c r="G1205" s="9"/>
      <c r="H1205" s="9"/>
      <c r="I1205" s="9"/>
      <c r="J1205" s="7"/>
      <c r="K1205" s="7"/>
    </row>
    <row r="1206" customFormat="false" ht="15" hidden="false" customHeight="true" outlineLevel="0" collapsed="false">
      <c r="A1206" s="14"/>
      <c r="B1206" s="7"/>
      <c r="C1206" s="7"/>
      <c r="D1206" s="7"/>
      <c r="E1206" s="7"/>
      <c r="F1206" s="7"/>
      <c r="G1206" s="9"/>
      <c r="H1206" s="9"/>
      <c r="I1206" s="9"/>
      <c r="J1206" s="7"/>
      <c r="K1206" s="7"/>
    </row>
    <row r="1207" customFormat="false" ht="15" hidden="false" customHeight="true" outlineLevel="0" collapsed="false">
      <c r="A1207" s="14"/>
      <c r="B1207" s="7"/>
      <c r="C1207" s="7"/>
      <c r="D1207" s="7"/>
      <c r="E1207" s="7"/>
      <c r="F1207" s="7"/>
      <c r="G1207" s="9"/>
      <c r="H1207" s="9"/>
      <c r="I1207" s="9"/>
      <c r="J1207" s="7"/>
      <c r="K1207" s="7"/>
    </row>
    <row r="1208" customFormat="false" ht="15" hidden="false" customHeight="true" outlineLevel="0" collapsed="false">
      <c r="A1208" s="14"/>
      <c r="B1208" s="7"/>
      <c r="C1208" s="7"/>
      <c r="D1208" s="7"/>
      <c r="E1208" s="7"/>
      <c r="F1208" s="7"/>
      <c r="G1208" s="9"/>
      <c r="H1208" s="9"/>
      <c r="I1208" s="9"/>
      <c r="J1208" s="7"/>
      <c r="K1208" s="7"/>
    </row>
    <row r="1209" customFormat="false" ht="15" hidden="false" customHeight="true" outlineLevel="0" collapsed="false">
      <c r="A1209" s="14"/>
      <c r="B1209" s="7"/>
      <c r="C1209" s="7"/>
      <c r="D1209" s="7"/>
      <c r="E1209" s="7"/>
      <c r="F1209" s="7"/>
      <c r="G1209" s="9"/>
      <c r="H1209" s="9"/>
      <c r="I1209" s="9"/>
      <c r="J1209" s="7"/>
      <c r="K1209" s="7"/>
    </row>
    <row r="1210" customFormat="false" ht="15" hidden="false" customHeight="true" outlineLevel="0" collapsed="false">
      <c r="A1210" s="14"/>
      <c r="B1210" s="7"/>
      <c r="C1210" s="7"/>
      <c r="D1210" s="7"/>
      <c r="E1210" s="7"/>
      <c r="F1210" s="7"/>
      <c r="G1210" s="9"/>
      <c r="H1210" s="9"/>
      <c r="I1210" s="9"/>
      <c r="J1210" s="7"/>
      <c r="K1210" s="7"/>
    </row>
    <row r="1211" customFormat="false" ht="15" hidden="false" customHeight="true" outlineLevel="0" collapsed="false">
      <c r="A1211" s="14"/>
      <c r="B1211" s="7"/>
      <c r="C1211" s="7"/>
      <c r="D1211" s="7"/>
      <c r="E1211" s="7"/>
      <c r="F1211" s="7"/>
      <c r="G1211" s="9"/>
      <c r="H1211" s="9"/>
      <c r="I1211" s="9"/>
      <c r="J1211" s="7"/>
      <c r="K1211" s="7"/>
    </row>
    <row r="1212" customFormat="false" ht="15" hidden="false" customHeight="true" outlineLevel="0" collapsed="false">
      <c r="A1212" s="14"/>
      <c r="B1212" s="7"/>
      <c r="C1212" s="7"/>
      <c r="D1212" s="7"/>
      <c r="E1212" s="7"/>
      <c r="F1212" s="7"/>
      <c r="G1212" s="9"/>
      <c r="H1212" s="9"/>
      <c r="I1212" s="9"/>
      <c r="J1212" s="7"/>
      <c r="K1212" s="7"/>
    </row>
    <row r="1213" customFormat="false" ht="15" hidden="false" customHeight="true" outlineLevel="0" collapsed="false">
      <c r="A1213" s="14"/>
      <c r="B1213" s="7"/>
      <c r="C1213" s="7"/>
      <c r="D1213" s="7"/>
      <c r="E1213" s="7"/>
      <c r="F1213" s="7"/>
      <c r="G1213" s="9"/>
      <c r="H1213" s="9"/>
      <c r="I1213" s="9"/>
      <c r="J1213" s="7"/>
      <c r="K1213" s="7"/>
    </row>
    <row r="1214" customFormat="false" ht="15" hidden="false" customHeight="true" outlineLevel="0" collapsed="false">
      <c r="A1214" s="14"/>
      <c r="B1214" s="7"/>
      <c r="C1214" s="7"/>
      <c r="D1214" s="7"/>
      <c r="E1214" s="7"/>
      <c r="F1214" s="7"/>
      <c r="G1214" s="9"/>
      <c r="H1214" s="9"/>
      <c r="I1214" s="9"/>
      <c r="J1214" s="7"/>
      <c r="K1214" s="7"/>
    </row>
    <row r="1215" customFormat="false" ht="15" hidden="false" customHeight="true" outlineLevel="0" collapsed="false">
      <c r="A1215" s="14"/>
      <c r="B1215" s="7"/>
      <c r="C1215" s="7"/>
      <c r="D1215" s="7"/>
      <c r="E1215" s="7"/>
      <c r="F1215" s="7"/>
      <c r="G1215" s="9"/>
      <c r="H1215" s="9"/>
      <c r="I1215" s="9"/>
      <c r="J1215" s="7"/>
      <c r="K1215" s="7"/>
    </row>
    <row r="1216" customFormat="false" ht="15" hidden="false" customHeight="true" outlineLevel="0" collapsed="false">
      <c r="A1216" s="14"/>
      <c r="B1216" s="7"/>
      <c r="C1216" s="7"/>
      <c r="D1216" s="7"/>
      <c r="E1216" s="7"/>
      <c r="F1216" s="7"/>
      <c r="G1216" s="9"/>
      <c r="H1216" s="9"/>
      <c r="I1216" s="9"/>
      <c r="J1216" s="7"/>
      <c r="K1216" s="7"/>
    </row>
    <row r="1217" customFormat="false" ht="15" hidden="false" customHeight="true" outlineLevel="0" collapsed="false">
      <c r="A1217" s="14"/>
      <c r="B1217" s="7"/>
      <c r="C1217" s="7"/>
      <c r="D1217" s="7"/>
      <c r="E1217" s="7"/>
      <c r="F1217" s="7"/>
      <c r="G1217" s="9"/>
      <c r="H1217" s="9"/>
      <c r="I1217" s="9"/>
      <c r="J1217" s="7"/>
      <c r="K1217" s="7"/>
    </row>
    <row r="1218" customFormat="false" ht="15" hidden="false" customHeight="true" outlineLevel="0" collapsed="false">
      <c r="A1218" s="14"/>
      <c r="B1218" s="7"/>
      <c r="C1218" s="7"/>
      <c r="D1218" s="7"/>
      <c r="E1218" s="7"/>
      <c r="F1218" s="7"/>
      <c r="G1218" s="9"/>
      <c r="H1218" s="9"/>
      <c r="I1218" s="9"/>
      <c r="J1218" s="7"/>
      <c r="K1218" s="7"/>
    </row>
    <row r="1219" customFormat="false" ht="15" hidden="false" customHeight="true" outlineLevel="0" collapsed="false">
      <c r="A1219" s="14"/>
      <c r="B1219" s="7"/>
      <c r="C1219" s="7"/>
      <c r="D1219" s="7"/>
      <c r="E1219" s="7"/>
      <c r="F1219" s="7"/>
      <c r="G1219" s="9"/>
      <c r="H1219" s="9"/>
      <c r="I1219" s="9"/>
      <c r="J1219" s="7"/>
      <c r="K1219" s="7"/>
    </row>
    <row r="1220" customFormat="false" ht="15" hidden="false" customHeight="true" outlineLevel="0" collapsed="false">
      <c r="A1220" s="14"/>
      <c r="B1220" s="7"/>
      <c r="C1220" s="7"/>
      <c r="D1220" s="7"/>
      <c r="E1220" s="7"/>
      <c r="F1220" s="7"/>
      <c r="G1220" s="9"/>
      <c r="H1220" s="9"/>
      <c r="I1220" s="9"/>
      <c r="J1220" s="7"/>
      <c r="K1220" s="7"/>
    </row>
    <row r="1221" customFormat="false" ht="15" hidden="false" customHeight="true" outlineLevel="0" collapsed="false">
      <c r="A1221" s="14"/>
      <c r="B1221" s="7"/>
      <c r="C1221" s="7"/>
      <c r="D1221" s="7"/>
      <c r="E1221" s="7"/>
      <c r="F1221" s="7"/>
      <c r="G1221" s="9"/>
      <c r="H1221" s="9"/>
      <c r="I1221" s="9"/>
      <c r="J1221" s="7"/>
      <c r="K1221" s="7"/>
    </row>
    <row r="1222" customFormat="false" ht="15" hidden="false" customHeight="true" outlineLevel="0" collapsed="false">
      <c r="A1222" s="14"/>
      <c r="B1222" s="7"/>
      <c r="C1222" s="7"/>
      <c r="D1222" s="7"/>
      <c r="E1222" s="7"/>
      <c r="F1222" s="7"/>
      <c r="G1222" s="9"/>
      <c r="H1222" s="9"/>
      <c r="I1222" s="9"/>
      <c r="J1222" s="7"/>
      <c r="K1222" s="7"/>
    </row>
    <row r="1223" customFormat="false" ht="15" hidden="false" customHeight="true" outlineLevel="0" collapsed="false">
      <c r="A1223" s="14"/>
      <c r="B1223" s="7"/>
      <c r="C1223" s="7"/>
      <c r="D1223" s="7"/>
      <c r="E1223" s="7"/>
      <c r="F1223" s="7"/>
      <c r="G1223" s="9"/>
      <c r="H1223" s="9"/>
      <c r="I1223" s="9"/>
      <c r="J1223" s="7"/>
      <c r="K1223" s="7"/>
    </row>
    <row r="1224" customFormat="false" ht="15" hidden="false" customHeight="true" outlineLevel="0" collapsed="false">
      <c r="A1224" s="14"/>
      <c r="B1224" s="7"/>
      <c r="C1224" s="7"/>
      <c r="D1224" s="7"/>
      <c r="E1224" s="7"/>
      <c r="F1224" s="7"/>
      <c r="G1224" s="9"/>
      <c r="H1224" s="9"/>
      <c r="I1224" s="9"/>
      <c r="J1224" s="7"/>
      <c r="K1224" s="7"/>
    </row>
    <row r="1225" customFormat="false" ht="15" hidden="false" customHeight="true" outlineLevel="0" collapsed="false">
      <c r="A1225" s="14"/>
      <c r="B1225" s="7"/>
      <c r="C1225" s="7"/>
      <c r="D1225" s="7"/>
      <c r="E1225" s="7"/>
      <c r="F1225" s="7"/>
      <c r="G1225" s="9"/>
      <c r="H1225" s="9"/>
      <c r="I1225" s="9"/>
      <c r="J1225" s="7"/>
      <c r="K1225" s="7"/>
    </row>
    <row r="1226" customFormat="false" ht="15" hidden="false" customHeight="true" outlineLevel="0" collapsed="false">
      <c r="A1226" s="14"/>
      <c r="B1226" s="7"/>
      <c r="C1226" s="7"/>
      <c r="D1226" s="7"/>
      <c r="E1226" s="7"/>
      <c r="F1226" s="7"/>
      <c r="G1226" s="9"/>
      <c r="H1226" s="9"/>
      <c r="I1226" s="9"/>
      <c r="J1226" s="7"/>
      <c r="K1226" s="7"/>
    </row>
    <row r="1227" customFormat="false" ht="15" hidden="false" customHeight="true" outlineLevel="0" collapsed="false">
      <c r="A1227" s="14"/>
      <c r="B1227" s="7"/>
      <c r="C1227" s="7"/>
      <c r="D1227" s="7"/>
      <c r="E1227" s="7"/>
      <c r="F1227" s="7"/>
      <c r="G1227" s="9"/>
      <c r="H1227" s="9"/>
      <c r="I1227" s="9"/>
      <c r="J1227" s="7"/>
      <c r="K1227" s="7"/>
    </row>
    <row r="1228" customFormat="false" ht="15" hidden="false" customHeight="true" outlineLevel="0" collapsed="false">
      <c r="A1228" s="14"/>
      <c r="B1228" s="7"/>
      <c r="C1228" s="7"/>
      <c r="D1228" s="7"/>
      <c r="E1228" s="7"/>
      <c r="F1228" s="7"/>
      <c r="G1228" s="9"/>
      <c r="H1228" s="9"/>
      <c r="I1228" s="9"/>
      <c r="J1228" s="7"/>
      <c r="K1228" s="7"/>
    </row>
    <row r="1229" customFormat="false" ht="15" hidden="false" customHeight="true" outlineLevel="0" collapsed="false">
      <c r="A1229" s="14"/>
      <c r="B1229" s="7"/>
      <c r="C1229" s="7"/>
      <c r="D1229" s="7"/>
      <c r="E1229" s="7"/>
      <c r="F1229" s="7"/>
      <c r="G1229" s="9"/>
      <c r="H1229" s="9"/>
      <c r="I1229" s="9"/>
      <c r="J1229" s="7"/>
      <c r="K1229" s="7"/>
    </row>
    <row r="1230" customFormat="false" ht="15" hidden="false" customHeight="true" outlineLevel="0" collapsed="false">
      <c r="A1230" s="14"/>
      <c r="B1230" s="7"/>
      <c r="C1230" s="7"/>
      <c r="D1230" s="7"/>
      <c r="E1230" s="7"/>
      <c r="F1230" s="7"/>
      <c r="G1230" s="9"/>
      <c r="H1230" s="9"/>
      <c r="I1230" s="9"/>
      <c r="J1230" s="7"/>
      <c r="K1230" s="7"/>
    </row>
    <row r="1231" customFormat="false" ht="15" hidden="false" customHeight="true" outlineLevel="0" collapsed="false">
      <c r="A1231" s="14"/>
      <c r="B1231" s="7"/>
      <c r="C1231" s="7"/>
      <c r="D1231" s="7"/>
      <c r="E1231" s="7"/>
      <c r="F1231" s="7"/>
      <c r="G1231" s="9"/>
      <c r="H1231" s="9"/>
      <c r="I1231" s="9"/>
      <c r="J1231" s="7"/>
      <c r="K1231" s="7"/>
    </row>
    <row r="1232" customFormat="false" ht="15" hidden="false" customHeight="true" outlineLevel="0" collapsed="false">
      <c r="A1232" s="14"/>
      <c r="B1232" s="7"/>
      <c r="C1232" s="7"/>
      <c r="D1232" s="7"/>
      <c r="E1232" s="7"/>
      <c r="F1232" s="7"/>
      <c r="G1232" s="9"/>
      <c r="H1232" s="9"/>
      <c r="I1232" s="9"/>
      <c r="J1232" s="7"/>
      <c r="K1232" s="7"/>
    </row>
    <row r="1233" customFormat="false" ht="15" hidden="false" customHeight="true" outlineLevel="0" collapsed="false">
      <c r="A1233" s="14"/>
      <c r="B1233" s="7"/>
      <c r="C1233" s="7"/>
      <c r="D1233" s="7"/>
      <c r="E1233" s="7"/>
      <c r="F1233" s="7"/>
      <c r="G1233" s="9"/>
      <c r="H1233" s="9"/>
      <c r="I1233" s="9"/>
      <c r="J1233" s="7"/>
      <c r="K1233" s="7"/>
    </row>
    <row r="1234" customFormat="false" ht="15" hidden="false" customHeight="true" outlineLevel="0" collapsed="false">
      <c r="A1234" s="14"/>
      <c r="B1234" s="7"/>
      <c r="C1234" s="7"/>
      <c r="D1234" s="7"/>
      <c r="E1234" s="7"/>
      <c r="F1234" s="7"/>
      <c r="G1234" s="9"/>
      <c r="H1234" s="9"/>
      <c r="I1234" s="9"/>
      <c r="J1234" s="7"/>
      <c r="K1234" s="7"/>
    </row>
    <row r="1235" customFormat="false" ht="15" hidden="false" customHeight="true" outlineLevel="0" collapsed="false">
      <c r="A1235" s="14"/>
      <c r="B1235" s="7"/>
      <c r="C1235" s="7"/>
      <c r="D1235" s="7"/>
      <c r="E1235" s="7"/>
      <c r="F1235" s="7"/>
      <c r="G1235" s="9"/>
      <c r="H1235" s="9"/>
      <c r="I1235" s="9"/>
      <c r="J1235" s="7"/>
      <c r="K1235" s="7"/>
    </row>
    <row r="1236" customFormat="false" ht="15" hidden="false" customHeight="true" outlineLevel="0" collapsed="false">
      <c r="A1236" s="14"/>
      <c r="B1236" s="7"/>
      <c r="C1236" s="7"/>
      <c r="D1236" s="7"/>
      <c r="E1236" s="7"/>
      <c r="F1236" s="7"/>
      <c r="G1236" s="9"/>
      <c r="H1236" s="9"/>
      <c r="I1236" s="9"/>
      <c r="J1236" s="7"/>
      <c r="K1236" s="7"/>
    </row>
    <row r="1237" customFormat="false" ht="15" hidden="false" customHeight="true" outlineLevel="0" collapsed="false">
      <c r="A1237" s="14"/>
      <c r="B1237" s="7"/>
      <c r="C1237" s="7"/>
      <c r="D1237" s="7"/>
      <c r="E1237" s="7"/>
      <c r="F1237" s="7"/>
      <c r="G1237" s="9"/>
      <c r="H1237" s="9"/>
      <c r="I1237" s="9"/>
      <c r="J1237" s="7"/>
      <c r="K1237" s="7"/>
    </row>
    <row r="1238" customFormat="false" ht="15" hidden="false" customHeight="true" outlineLevel="0" collapsed="false">
      <c r="A1238" s="14"/>
      <c r="B1238" s="7"/>
      <c r="C1238" s="7"/>
      <c r="D1238" s="7"/>
      <c r="E1238" s="7"/>
      <c r="F1238" s="7"/>
      <c r="G1238" s="9"/>
      <c r="H1238" s="9"/>
      <c r="I1238" s="9"/>
      <c r="J1238" s="7"/>
      <c r="K1238" s="7"/>
    </row>
    <row r="1239" customFormat="false" ht="15" hidden="false" customHeight="true" outlineLevel="0" collapsed="false">
      <c r="A1239" s="14"/>
      <c r="B1239" s="7"/>
      <c r="C1239" s="7"/>
      <c r="D1239" s="7"/>
      <c r="E1239" s="7"/>
      <c r="F1239" s="7"/>
      <c r="G1239" s="9"/>
      <c r="H1239" s="9"/>
      <c r="I1239" s="9"/>
      <c r="J1239" s="7"/>
      <c r="K1239" s="7"/>
    </row>
    <row r="1240" customFormat="false" ht="15" hidden="false" customHeight="true" outlineLevel="0" collapsed="false">
      <c r="A1240" s="14"/>
      <c r="B1240" s="7"/>
      <c r="C1240" s="7"/>
      <c r="D1240" s="7"/>
      <c r="E1240" s="7"/>
      <c r="F1240" s="7"/>
      <c r="G1240" s="9"/>
      <c r="H1240" s="9"/>
      <c r="I1240" s="9"/>
      <c r="J1240" s="7"/>
      <c r="K1240" s="7"/>
    </row>
    <row r="1241" customFormat="false" ht="15" hidden="false" customHeight="true" outlineLevel="0" collapsed="false">
      <c r="A1241" s="14"/>
      <c r="B1241" s="7"/>
      <c r="C1241" s="7"/>
      <c r="D1241" s="7"/>
      <c r="E1241" s="7"/>
      <c r="F1241" s="7"/>
      <c r="G1241" s="9"/>
      <c r="H1241" s="9"/>
      <c r="I1241" s="9"/>
      <c r="J1241" s="7"/>
      <c r="K1241" s="7"/>
    </row>
    <row r="1242" customFormat="false" ht="15" hidden="false" customHeight="true" outlineLevel="0" collapsed="false">
      <c r="A1242" s="14"/>
      <c r="B1242" s="7"/>
      <c r="C1242" s="7"/>
      <c r="D1242" s="7"/>
      <c r="E1242" s="7"/>
      <c r="F1242" s="7"/>
      <c r="G1242" s="9"/>
      <c r="H1242" s="9"/>
      <c r="I1242" s="9"/>
      <c r="J1242" s="7"/>
      <c r="K1242" s="7"/>
    </row>
    <row r="1243" customFormat="false" ht="15" hidden="false" customHeight="true" outlineLevel="0" collapsed="false">
      <c r="A1243" s="14"/>
      <c r="B1243" s="7"/>
      <c r="C1243" s="7"/>
      <c r="D1243" s="7"/>
      <c r="E1243" s="7"/>
      <c r="F1243" s="7"/>
      <c r="G1243" s="9"/>
      <c r="H1243" s="9"/>
      <c r="I1243" s="9"/>
      <c r="J1243" s="7"/>
      <c r="K1243" s="7"/>
    </row>
    <row r="1244" customFormat="false" ht="15" hidden="false" customHeight="true" outlineLevel="0" collapsed="false">
      <c r="A1244" s="14"/>
      <c r="B1244" s="7"/>
      <c r="C1244" s="7"/>
      <c r="D1244" s="7"/>
      <c r="E1244" s="7"/>
      <c r="F1244" s="7"/>
      <c r="G1244" s="9"/>
      <c r="H1244" s="9"/>
      <c r="I1244" s="9"/>
      <c r="J1244" s="7"/>
      <c r="K1244" s="7"/>
    </row>
    <row r="1245" customFormat="false" ht="15" hidden="false" customHeight="true" outlineLevel="0" collapsed="false">
      <c r="A1245" s="14"/>
      <c r="B1245" s="7"/>
      <c r="C1245" s="7"/>
      <c r="D1245" s="7"/>
      <c r="E1245" s="7"/>
      <c r="F1245" s="7"/>
      <c r="G1245" s="9"/>
      <c r="H1245" s="9"/>
      <c r="I1245" s="9"/>
      <c r="J1245" s="7"/>
      <c r="K1245" s="7"/>
    </row>
    <row r="1246" customFormat="false" ht="15" hidden="false" customHeight="true" outlineLevel="0" collapsed="false">
      <c r="A1246" s="14"/>
      <c r="B1246" s="7"/>
      <c r="C1246" s="7"/>
      <c r="D1246" s="7"/>
      <c r="E1246" s="7"/>
      <c r="F1246" s="7"/>
      <c r="G1246" s="9"/>
      <c r="H1246" s="9"/>
      <c r="I1246" s="9"/>
      <c r="J1246" s="7"/>
      <c r="K1246" s="7"/>
    </row>
    <row r="1247" customFormat="false" ht="15" hidden="false" customHeight="true" outlineLevel="0" collapsed="false">
      <c r="A1247" s="14"/>
      <c r="B1247" s="7"/>
      <c r="C1247" s="7"/>
      <c r="D1247" s="7"/>
      <c r="E1247" s="7"/>
      <c r="F1247" s="7"/>
      <c r="G1247" s="9"/>
      <c r="H1247" s="9"/>
      <c r="I1247" s="9"/>
      <c r="J1247" s="7"/>
      <c r="K1247" s="7"/>
    </row>
    <row r="1248" customFormat="false" ht="15" hidden="false" customHeight="true" outlineLevel="0" collapsed="false">
      <c r="A1248" s="14"/>
      <c r="B1248" s="7"/>
      <c r="C1248" s="7"/>
      <c r="D1248" s="7"/>
      <c r="E1248" s="7"/>
      <c r="F1248" s="7"/>
      <c r="G1248" s="9"/>
      <c r="H1248" s="9"/>
      <c r="I1248" s="9"/>
      <c r="J1248" s="7"/>
      <c r="K1248" s="7"/>
    </row>
    <row r="1249" customFormat="false" ht="15" hidden="false" customHeight="true" outlineLevel="0" collapsed="false">
      <c r="A1249" s="14"/>
      <c r="B1249" s="7"/>
      <c r="C1249" s="7"/>
      <c r="D1249" s="7"/>
      <c r="E1249" s="7"/>
      <c r="F1249" s="7"/>
      <c r="G1249" s="9"/>
      <c r="H1249" s="9"/>
      <c r="I1249" s="9"/>
      <c r="J1249" s="7"/>
      <c r="K1249" s="7"/>
    </row>
    <row r="1250" customFormat="false" ht="15" hidden="false" customHeight="true" outlineLevel="0" collapsed="false">
      <c r="A1250" s="14"/>
      <c r="B1250" s="7"/>
      <c r="C1250" s="7"/>
      <c r="D1250" s="7"/>
      <c r="E1250" s="7"/>
      <c r="F1250" s="7"/>
      <c r="G1250" s="9"/>
      <c r="H1250" s="9"/>
      <c r="I1250" s="9"/>
      <c r="J1250" s="7"/>
      <c r="K1250" s="7"/>
    </row>
    <row r="1251" customFormat="false" ht="15" hidden="false" customHeight="true" outlineLevel="0" collapsed="false">
      <c r="A1251" s="14"/>
      <c r="B1251" s="7"/>
      <c r="C1251" s="7"/>
      <c r="D1251" s="7"/>
      <c r="E1251" s="7"/>
      <c r="F1251" s="7"/>
      <c r="G1251" s="9"/>
      <c r="H1251" s="9"/>
      <c r="I1251" s="9"/>
      <c r="J1251" s="7"/>
      <c r="K1251" s="7"/>
    </row>
    <row r="1252" customFormat="false" ht="15" hidden="false" customHeight="true" outlineLevel="0" collapsed="false">
      <c r="A1252" s="14"/>
      <c r="B1252" s="7"/>
      <c r="C1252" s="7"/>
      <c r="D1252" s="7"/>
      <c r="E1252" s="7"/>
      <c r="F1252" s="7"/>
      <c r="G1252" s="9"/>
      <c r="H1252" s="9"/>
      <c r="I1252" s="9"/>
      <c r="J1252" s="7"/>
      <c r="K1252" s="7"/>
    </row>
    <row r="1253" customFormat="false" ht="15" hidden="false" customHeight="true" outlineLevel="0" collapsed="false">
      <c r="A1253" s="14"/>
      <c r="B1253" s="7"/>
      <c r="C1253" s="7"/>
      <c r="D1253" s="7"/>
      <c r="E1253" s="7"/>
      <c r="F1253" s="7"/>
      <c r="G1253" s="9"/>
      <c r="H1253" s="9"/>
      <c r="I1253" s="9"/>
      <c r="J1253" s="7"/>
      <c r="K1253" s="7"/>
    </row>
    <row r="1254" customFormat="false" ht="15" hidden="false" customHeight="true" outlineLevel="0" collapsed="false">
      <c r="A1254" s="14"/>
      <c r="B1254" s="7"/>
      <c r="C1254" s="7"/>
      <c r="D1254" s="7"/>
      <c r="E1254" s="7"/>
      <c r="F1254" s="7"/>
      <c r="G1254" s="9"/>
      <c r="H1254" s="9"/>
      <c r="I1254" s="9"/>
      <c r="J1254" s="7"/>
      <c r="K1254" s="7"/>
    </row>
    <row r="1255" customFormat="false" ht="15" hidden="false" customHeight="true" outlineLevel="0" collapsed="false">
      <c r="A1255" s="14"/>
      <c r="B1255" s="7"/>
      <c r="C1255" s="7"/>
      <c r="D1255" s="7"/>
      <c r="E1255" s="7"/>
      <c r="F1255" s="7"/>
      <c r="G1255" s="9"/>
      <c r="H1255" s="9"/>
      <c r="I1255" s="9"/>
      <c r="J1255" s="7"/>
      <c r="K1255" s="7"/>
    </row>
    <row r="1256" customFormat="false" ht="15" hidden="false" customHeight="true" outlineLevel="0" collapsed="false">
      <c r="A1256" s="14"/>
      <c r="B1256" s="7"/>
      <c r="C1256" s="7"/>
      <c r="D1256" s="7"/>
      <c r="E1256" s="7"/>
      <c r="F1256" s="7"/>
      <c r="G1256" s="9"/>
      <c r="H1256" s="9"/>
      <c r="I1256" s="9"/>
      <c r="J1256" s="7"/>
      <c r="K1256" s="7"/>
    </row>
    <row r="1257" customFormat="false" ht="15" hidden="false" customHeight="true" outlineLevel="0" collapsed="false">
      <c r="A1257" s="14"/>
      <c r="B1257" s="7"/>
      <c r="C1257" s="7"/>
      <c r="D1257" s="7"/>
      <c r="E1257" s="7"/>
      <c r="F1257" s="7"/>
      <c r="G1257" s="9"/>
      <c r="H1257" s="9"/>
      <c r="I1257" s="9"/>
      <c r="J1257" s="7"/>
      <c r="K1257" s="7"/>
    </row>
    <row r="1258" customFormat="false" ht="15" hidden="false" customHeight="true" outlineLevel="0" collapsed="false">
      <c r="A1258" s="14"/>
      <c r="B1258" s="7"/>
      <c r="C1258" s="7"/>
      <c r="D1258" s="7"/>
      <c r="E1258" s="7"/>
      <c r="F1258" s="7"/>
      <c r="G1258" s="9"/>
      <c r="H1258" s="9"/>
      <c r="I1258" s="9"/>
      <c r="J1258" s="7"/>
      <c r="K1258" s="7"/>
    </row>
    <row r="1259" customFormat="false" ht="15" hidden="false" customHeight="true" outlineLevel="0" collapsed="false">
      <c r="A1259" s="14"/>
      <c r="B1259" s="7"/>
      <c r="C1259" s="7"/>
      <c r="D1259" s="7"/>
      <c r="E1259" s="7"/>
      <c r="F1259" s="7"/>
      <c r="G1259" s="9"/>
      <c r="H1259" s="9"/>
      <c r="I1259" s="9"/>
      <c r="J1259" s="7"/>
      <c r="K1259" s="7"/>
    </row>
    <row r="1260" customFormat="false" ht="15" hidden="false" customHeight="true" outlineLevel="0" collapsed="false">
      <c r="A1260" s="14"/>
      <c r="B1260" s="7"/>
      <c r="C1260" s="7"/>
      <c r="D1260" s="7"/>
      <c r="E1260" s="7"/>
      <c r="F1260" s="7"/>
      <c r="G1260" s="9"/>
      <c r="H1260" s="9"/>
      <c r="I1260" s="9"/>
      <c r="J1260" s="7"/>
      <c r="K1260" s="7"/>
    </row>
    <row r="1261" customFormat="false" ht="15" hidden="false" customHeight="true" outlineLevel="0" collapsed="false">
      <c r="A1261" s="14"/>
      <c r="B1261" s="7"/>
      <c r="C1261" s="7"/>
      <c r="D1261" s="7"/>
      <c r="E1261" s="7"/>
      <c r="F1261" s="7"/>
      <c r="G1261" s="9"/>
      <c r="H1261" s="9"/>
      <c r="I1261" s="9"/>
      <c r="J1261" s="7"/>
      <c r="K1261" s="7"/>
    </row>
    <row r="1262" customFormat="false" ht="15" hidden="false" customHeight="true" outlineLevel="0" collapsed="false">
      <c r="A1262" s="14"/>
      <c r="B1262" s="7"/>
      <c r="C1262" s="7"/>
      <c r="D1262" s="7"/>
      <c r="E1262" s="7"/>
      <c r="F1262" s="7"/>
      <c r="G1262" s="9"/>
      <c r="H1262" s="9"/>
      <c r="I1262" s="9"/>
      <c r="J1262" s="7"/>
      <c r="K1262" s="7"/>
    </row>
    <row r="1263" customFormat="false" ht="15" hidden="false" customHeight="true" outlineLevel="0" collapsed="false">
      <c r="A1263" s="14"/>
      <c r="B1263" s="7"/>
      <c r="C1263" s="7"/>
      <c r="D1263" s="7"/>
      <c r="E1263" s="7"/>
      <c r="F1263" s="7"/>
      <c r="G1263" s="9"/>
      <c r="H1263" s="9"/>
      <c r="I1263" s="9"/>
      <c r="J1263" s="7"/>
      <c r="K1263" s="7"/>
    </row>
    <row r="1264" customFormat="false" ht="15" hidden="false" customHeight="true" outlineLevel="0" collapsed="false">
      <c r="A1264" s="14"/>
      <c r="B1264" s="7"/>
      <c r="C1264" s="7"/>
      <c r="D1264" s="7"/>
      <c r="E1264" s="7"/>
      <c r="F1264" s="7"/>
      <c r="G1264" s="9"/>
      <c r="H1264" s="9"/>
      <c r="I1264" s="9"/>
      <c r="J1264" s="7"/>
      <c r="K1264" s="7"/>
    </row>
    <row r="1265" customFormat="false" ht="15" hidden="false" customHeight="true" outlineLevel="0" collapsed="false">
      <c r="A1265" s="14"/>
      <c r="B1265" s="7"/>
      <c r="C1265" s="7"/>
      <c r="D1265" s="7"/>
      <c r="E1265" s="7"/>
      <c r="F1265" s="7"/>
      <c r="G1265" s="9"/>
      <c r="H1265" s="9"/>
      <c r="I1265" s="9"/>
      <c r="J1265" s="7"/>
      <c r="K1265" s="7"/>
    </row>
    <row r="1266" customFormat="false" ht="15" hidden="false" customHeight="true" outlineLevel="0" collapsed="false">
      <c r="A1266" s="14"/>
      <c r="B1266" s="7"/>
      <c r="C1266" s="7"/>
      <c r="D1266" s="7"/>
      <c r="E1266" s="7"/>
      <c r="F1266" s="7"/>
      <c r="G1266" s="9"/>
      <c r="H1266" s="9"/>
      <c r="I1266" s="9"/>
      <c r="J1266" s="7"/>
      <c r="K1266" s="7"/>
    </row>
    <row r="1267" customFormat="false" ht="15" hidden="false" customHeight="true" outlineLevel="0" collapsed="false">
      <c r="A1267" s="14"/>
      <c r="B1267" s="7"/>
      <c r="C1267" s="7"/>
      <c r="D1267" s="7"/>
      <c r="E1267" s="7"/>
      <c r="F1267" s="7"/>
      <c r="G1267" s="9"/>
      <c r="H1267" s="9"/>
      <c r="I1267" s="9"/>
      <c r="J1267" s="7"/>
      <c r="K1267" s="7"/>
    </row>
    <row r="1268" customFormat="false" ht="15" hidden="false" customHeight="true" outlineLevel="0" collapsed="false">
      <c r="A1268" s="14"/>
      <c r="B1268" s="7"/>
      <c r="C1268" s="7"/>
      <c r="D1268" s="7"/>
      <c r="E1268" s="7"/>
      <c r="F1268" s="7"/>
      <c r="G1268" s="9"/>
      <c r="H1268" s="9"/>
      <c r="I1268" s="9"/>
      <c r="J1268" s="7"/>
      <c r="K1268" s="7"/>
    </row>
    <row r="1269" customFormat="false" ht="15" hidden="false" customHeight="true" outlineLevel="0" collapsed="false">
      <c r="A1269" s="14"/>
      <c r="B1269" s="7"/>
      <c r="C1269" s="7"/>
      <c r="D1269" s="7"/>
      <c r="E1269" s="7"/>
      <c r="F1269" s="7"/>
      <c r="G1269" s="9"/>
      <c r="H1269" s="9"/>
      <c r="I1269" s="9"/>
      <c r="J1269" s="7"/>
      <c r="K1269" s="7"/>
    </row>
    <row r="1270" customFormat="false" ht="15" hidden="false" customHeight="true" outlineLevel="0" collapsed="false">
      <c r="A1270" s="14"/>
      <c r="B1270" s="7"/>
      <c r="C1270" s="7"/>
      <c r="D1270" s="7"/>
      <c r="E1270" s="7"/>
      <c r="F1270" s="7"/>
      <c r="G1270" s="9"/>
      <c r="H1270" s="9"/>
      <c r="I1270" s="9"/>
      <c r="J1270" s="7"/>
      <c r="K1270" s="7"/>
    </row>
    <row r="1271" customFormat="false" ht="15" hidden="false" customHeight="true" outlineLevel="0" collapsed="false">
      <c r="A1271" s="14"/>
      <c r="B1271" s="7"/>
      <c r="C1271" s="7"/>
      <c r="D1271" s="7"/>
      <c r="E1271" s="7"/>
      <c r="F1271" s="7"/>
      <c r="G1271" s="9"/>
      <c r="H1271" s="9"/>
      <c r="I1271" s="9"/>
      <c r="J1271" s="7"/>
      <c r="K1271" s="7"/>
    </row>
    <row r="1272" customFormat="false" ht="15" hidden="false" customHeight="true" outlineLevel="0" collapsed="false">
      <c r="A1272" s="14"/>
      <c r="B1272" s="7"/>
      <c r="C1272" s="7"/>
      <c r="D1272" s="7"/>
      <c r="E1272" s="7"/>
      <c r="F1272" s="7"/>
      <c r="G1272" s="9"/>
      <c r="H1272" s="9"/>
      <c r="I1272" s="9"/>
      <c r="J1272" s="7"/>
      <c r="K1272" s="7"/>
    </row>
    <row r="1273" customFormat="false" ht="15" hidden="false" customHeight="true" outlineLevel="0" collapsed="false">
      <c r="A1273" s="14"/>
      <c r="B1273" s="7"/>
      <c r="C1273" s="7"/>
      <c r="D1273" s="7"/>
      <c r="E1273" s="7"/>
      <c r="F1273" s="7"/>
      <c r="G1273" s="9"/>
      <c r="H1273" s="9"/>
      <c r="I1273" s="9"/>
      <c r="J1273" s="7"/>
      <c r="K1273" s="7"/>
    </row>
    <row r="1274" customFormat="false" ht="15" hidden="false" customHeight="true" outlineLevel="0" collapsed="false">
      <c r="A1274" s="14"/>
      <c r="B1274" s="7"/>
      <c r="C1274" s="7"/>
      <c r="D1274" s="7"/>
      <c r="E1274" s="7"/>
      <c r="F1274" s="7"/>
      <c r="G1274" s="9"/>
      <c r="H1274" s="9"/>
      <c r="I1274" s="9"/>
      <c r="J1274" s="7"/>
      <c r="K1274" s="7"/>
    </row>
    <row r="1275" customFormat="false" ht="15" hidden="false" customHeight="true" outlineLevel="0" collapsed="false">
      <c r="A1275" s="14"/>
      <c r="B1275" s="7"/>
      <c r="C1275" s="7"/>
      <c r="D1275" s="7"/>
      <c r="E1275" s="7"/>
      <c r="F1275" s="7"/>
      <c r="G1275" s="9"/>
      <c r="H1275" s="9"/>
      <c r="I1275" s="9"/>
      <c r="J1275" s="7"/>
      <c r="K1275" s="7"/>
    </row>
    <row r="1276" customFormat="false" ht="15" hidden="false" customHeight="true" outlineLevel="0" collapsed="false">
      <c r="A1276" s="14"/>
      <c r="B1276" s="7"/>
      <c r="C1276" s="7"/>
      <c r="D1276" s="7"/>
      <c r="E1276" s="7"/>
      <c r="F1276" s="7"/>
      <c r="G1276" s="9"/>
      <c r="H1276" s="9"/>
      <c r="I1276" s="9"/>
      <c r="J1276" s="7"/>
      <c r="K1276" s="7"/>
    </row>
    <row r="1277" customFormat="false" ht="15" hidden="false" customHeight="true" outlineLevel="0" collapsed="false">
      <c r="A1277" s="14"/>
      <c r="B1277" s="7"/>
      <c r="C1277" s="7"/>
      <c r="D1277" s="7"/>
      <c r="E1277" s="7"/>
      <c r="F1277" s="7"/>
      <c r="G1277" s="9"/>
      <c r="H1277" s="9"/>
      <c r="I1277" s="9"/>
      <c r="J1277" s="7"/>
      <c r="K1277" s="7"/>
    </row>
    <row r="1278" customFormat="false" ht="15" hidden="false" customHeight="true" outlineLevel="0" collapsed="false">
      <c r="A1278" s="14"/>
      <c r="B1278" s="7"/>
      <c r="C1278" s="7"/>
      <c r="D1278" s="7"/>
      <c r="E1278" s="7"/>
      <c r="F1278" s="7"/>
      <c r="G1278" s="9"/>
      <c r="H1278" s="9"/>
      <c r="I1278" s="9"/>
      <c r="J1278" s="7"/>
      <c r="K1278" s="7"/>
    </row>
    <row r="1279" customFormat="false" ht="15" hidden="false" customHeight="true" outlineLevel="0" collapsed="false">
      <c r="A1279" s="14"/>
      <c r="B1279" s="7"/>
      <c r="C1279" s="7"/>
      <c r="D1279" s="7"/>
      <c r="E1279" s="7"/>
      <c r="F1279" s="7"/>
      <c r="G1279" s="9"/>
      <c r="H1279" s="9"/>
      <c r="I1279" s="9"/>
      <c r="J1279" s="7"/>
      <c r="K1279" s="7"/>
    </row>
    <row r="1280" customFormat="false" ht="15" hidden="false" customHeight="true" outlineLevel="0" collapsed="false">
      <c r="A1280" s="14"/>
      <c r="B1280" s="7"/>
      <c r="C1280" s="7"/>
      <c r="D1280" s="7"/>
      <c r="E1280" s="7"/>
      <c r="F1280" s="7"/>
      <c r="G1280" s="9"/>
      <c r="H1280" s="9"/>
      <c r="I1280" s="9"/>
      <c r="J1280" s="7"/>
      <c r="K1280" s="7"/>
    </row>
    <row r="1281" customFormat="false" ht="15" hidden="false" customHeight="true" outlineLevel="0" collapsed="false">
      <c r="A1281" s="14"/>
      <c r="B1281" s="7"/>
      <c r="C1281" s="7"/>
      <c r="D1281" s="7"/>
      <c r="E1281" s="7"/>
      <c r="F1281" s="7"/>
      <c r="G1281" s="9"/>
      <c r="H1281" s="9"/>
      <c r="I1281" s="9"/>
      <c r="J1281" s="7"/>
      <c r="K1281" s="7"/>
    </row>
    <row r="1282" customFormat="false" ht="15" hidden="false" customHeight="true" outlineLevel="0" collapsed="false">
      <c r="A1282" s="14"/>
      <c r="B1282" s="7"/>
      <c r="C1282" s="7"/>
      <c r="D1282" s="7"/>
      <c r="E1282" s="7"/>
      <c r="F1282" s="7"/>
      <c r="G1282" s="9"/>
      <c r="H1282" s="9"/>
      <c r="I1282" s="9"/>
      <c r="J1282" s="7"/>
      <c r="K1282" s="7"/>
    </row>
    <row r="1283" customFormat="false" ht="15" hidden="false" customHeight="true" outlineLevel="0" collapsed="false">
      <c r="A1283" s="14"/>
      <c r="B1283" s="7"/>
      <c r="C1283" s="7"/>
      <c r="D1283" s="7"/>
      <c r="E1283" s="7"/>
      <c r="F1283" s="7"/>
      <c r="G1283" s="9"/>
      <c r="H1283" s="9"/>
      <c r="I1283" s="9"/>
      <c r="J1283" s="7"/>
      <c r="K1283" s="7"/>
    </row>
    <row r="1284" customFormat="false" ht="15" hidden="false" customHeight="true" outlineLevel="0" collapsed="false">
      <c r="A1284" s="14"/>
      <c r="B1284" s="7"/>
      <c r="C1284" s="7"/>
      <c r="D1284" s="7"/>
      <c r="E1284" s="7"/>
      <c r="F1284" s="7"/>
      <c r="G1284" s="9"/>
      <c r="H1284" s="9"/>
      <c r="I1284" s="9"/>
      <c r="J1284" s="7"/>
      <c r="K1284" s="7"/>
    </row>
    <row r="1285" customFormat="false" ht="15" hidden="false" customHeight="true" outlineLevel="0" collapsed="false">
      <c r="A1285" s="14"/>
      <c r="B1285" s="7"/>
      <c r="C1285" s="7"/>
      <c r="D1285" s="7"/>
      <c r="E1285" s="7"/>
      <c r="F1285" s="7"/>
      <c r="G1285" s="9"/>
      <c r="H1285" s="9"/>
      <c r="I1285" s="9"/>
      <c r="J1285" s="7"/>
      <c r="K1285" s="7"/>
    </row>
    <row r="1286" customFormat="false" ht="15" hidden="false" customHeight="true" outlineLevel="0" collapsed="false">
      <c r="A1286" s="14"/>
      <c r="B1286" s="7"/>
      <c r="C1286" s="7"/>
      <c r="D1286" s="7"/>
      <c r="E1286" s="7"/>
      <c r="F1286" s="7"/>
      <c r="G1286" s="9"/>
      <c r="H1286" s="9"/>
      <c r="I1286" s="9"/>
      <c r="J1286" s="7"/>
      <c r="K1286" s="7"/>
    </row>
    <row r="1287" customFormat="false" ht="15" hidden="false" customHeight="true" outlineLevel="0" collapsed="false">
      <c r="A1287" s="14"/>
      <c r="B1287" s="7"/>
      <c r="C1287" s="7"/>
      <c r="D1287" s="7"/>
      <c r="E1287" s="7"/>
      <c r="F1287" s="7"/>
      <c r="G1287" s="9"/>
      <c r="H1287" s="9"/>
      <c r="I1287" s="9"/>
      <c r="J1287" s="7"/>
      <c r="K1287" s="7"/>
    </row>
    <row r="1288" customFormat="false" ht="15" hidden="false" customHeight="true" outlineLevel="0" collapsed="false">
      <c r="A1288" s="14"/>
      <c r="B1288" s="7"/>
      <c r="C1288" s="7"/>
      <c r="D1288" s="7"/>
      <c r="E1288" s="7"/>
      <c r="F1288" s="7"/>
      <c r="G1288" s="9"/>
      <c r="H1288" s="9"/>
      <c r="I1288" s="9"/>
      <c r="J1288" s="7"/>
      <c r="K1288" s="7"/>
    </row>
    <row r="1289" customFormat="false" ht="15" hidden="false" customHeight="true" outlineLevel="0" collapsed="false">
      <c r="A1289" s="14"/>
      <c r="B1289" s="7"/>
      <c r="C1289" s="7"/>
      <c r="D1289" s="7"/>
      <c r="E1289" s="7"/>
      <c r="F1289" s="7"/>
      <c r="G1289" s="9"/>
      <c r="H1289" s="9"/>
      <c r="I1289" s="9"/>
      <c r="J1289" s="7"/>
      <c r="K1289" s="7"/>
    </row>
    <row r="1290" customFormat="false" ht="15" hidden="false" customHeight="true" outlineLevel="0" collapsed="false">
      <c r="A1290" s="14"/>
      <c r="B1290" s="7"/>
      <c r="C1290" s="7"/>
      <c r="D1290" s="7"/>
      <c r="E1290" s="7"/>
      <c r="F1290" s="7"/>
      <c r="G1290" s="9"/>
      <c r="H1290" s="9"/>
      <c r="I1290" s="9"/>
      <c r="J1290" s="7"/>
      <c r="K1290" s="7"/>
    </row>
    <row r="1291" customFormat="false" ht="15" hidden="false" customHeight="true" outlineLevel="0" collapsed="false">
      <c r="A1291" s="14"/>
      <c r="B1291" s="7"/>
      <c r="C1291" s="7"/>
      <c r="D1291" s="7"/>
      <c r="E1291" s="7"/>
      <c r="F1291" s="7"/>
      <c r="G1291" s="9"/>
      <c r="H1291" s="9"/>
      <c r="I1291" s="9"/>
      <c r="J1291" s="7"/>
      <c r="K1291" s="7"/>
    </row>
    <row r="1292" customFormat="false" ht="15" hidden="false" customHeight="true" outlineLevel="0" collapsed="false">
      <c r="A1292" s="14"/>
      <c r="B1292" s="7"/>
      <c r="C1292" s="7"/>
      <c r="D1292" s="7"/>
      <c r="E1292" s="7"/>
      <c r="F1292" s="7"/>
      <c r="G1292" s="9"/>
      <c r="H1292" s="9"/>
      <c r="I1292" s="9"/>
      <c r="J1292" s="7"/>
      <c r="K1292" s="7"/>
    </row>
    <row r="1293" customFormat="false" ht="15" hidden="false" customHeight="true" outlineLevel="0" collapsed="false">
      <c r="A1293" s="14"/>
      <c r="B1293" s="7"/>
      <c r="C1293" s="7"/>
      <c r="D1293" s="7"/>
      <c r="E1293" s="7"/>
      <c r="F1293" s="7"/>
      <c r="G1293" s="9"/>
      <c r="H1293" s="9"/>
      <c r="I1293" s="9"/>
      <c r="J1293" s="7"/>
      <c r="K1293" s="7"/>
    </row>
    <row r="1294" customFormat="false" ht="15" hidden="false" customHeight="true" outlineLevel="0" collapsed="false">
      <c r="A1294" s="14"/>
      <c r="B1294" s="7"/>
      <c r="C1294" s="7"/>
      <c r="D1294" s="7"/>
      <c r="E1294" s="7"/>
      <c r="F1294" s="7"/>
      <c r="G1294" s="9"/>
      <c r="H1294" s="9"/>
      <c r="I1294" s="9"/>
      <c r="J1294" s="7"/>
      <c r="K1294" s="7"/>
    </row>
    <row r="1295" customFormat="false" ht="15" hidden="false" customHeight="true" outlineLevel="0" collapsed="false">
      <c r="A1295" s="14"/>
      <c r="B1295" s="7"/>
      <c r="C1295" s="7"/>
      <c r="D1295" s="7"/>
      <c r="E1295" s="7"/>
      <c r="F1295" s="7"/>
      <c r="G1295" s="9"/>
      <c r="H1295" s="9"/>
      <c r="I1295" s="9"/>
      <c r="J1295" s="7"/>
      <c r="K1295" s="7"/>
    </row>
    <row r="1296" customFormat="false" ht="15" hidden="false" customHeight="true" outlineLevel="0" collapsed="false">
      <c r="A1296" s="14"/>
      <c r="B1296" s="7"/>
      <c r="C1296" s="7"/>
      <c r="D1296" s="7"/>
      <c r="E1296" s="7"/>
      <c r="F1296" s="7"/>
      <c r="G1296" s="9"/>
      <c r="H1296" s="9"/>
      <c r="I1296" s="9"/>
      <c r="J1296" s="7"/>
      <c r="K1296" s="7"/>
    </row>
    <row r="1297" customFormat="false" ht="15" hidden="false" customHeight="true" outlineLevel="0" collapsed="false">
      <c r="A1297" s="14"/>
      <c r="B1297" s="7"/>
      <c r="C1297" s="7"/>
      <c r="D1297" s="7"/>
      <c r="E1297" s="7"/>
      <c r="F1297" s="7"/>
      <c r="G1297" s="9"/>
      <c r="H1297" s="9"/>
      <c r="I1297" s="9"/>
      <c r="J1297" s="7"/>
      <c r="K1297" s="7"/>
    </row>
    <row r="1298" customFormat="false" ht="15" hidden="false" customHeight="true" outlineLevel="0" collapsed="false">
      <c r="A1298" s="14"/>
      <c r="B1298" s="7"/>
      <c r="C1298" s="7"/>
      <c r="D1298" s="7"/>
      <c r="E1298" s="7"/>
      <c r="F1298" s="7"/>
      <c r="G1298" s="9"/>
      <c r="H1298" s="9"/>
      <c r="I1298" s="9"/>
      <c r="J1298" s="7"/>
      <c r="K1298" s="7"/>
    </row>
    <row r="1299" customFormat="false" ht="15" hidden="false" customHeight="true" outlineLevel="0" collapsed="false">
      <c r="A1299" s="14"/>
      <c r="B1299" s="7"/>
      <c r="C1299" s="7"/>
      <c r="D1299" s="7"/>
      <c r="E1299" s="7"/>
      <c r="F1299" s="7"/>
      <c r="G1299" s="9"/>
      <c r="H1299" s="9"/>
      <c r="I1299" s="9"/>
      <c r="J1299" s="7"/>
      <c r="K1299" s="7"/>
    </row>
    <row r="1300" customFormat="false" ht="15" hidden="false" customHeight="true" outlineLevel="0" collapsed="false">
      <c r="A1300" s="14"/>
      <c r="B1300" s="7"/>
      <c r="C1300" s="7"/>
      <c r="D1300" s="7"/>
      <c r="E1300" s="7"/>
      <c r="F1300" s="7"/>
      <c r="G1300" s="9"/>
      <c r="H1300" s="9"/>
      <c r="I1300" s="9"/>
      <c r="J1300" s="7"/>
      <c r="K1300" s="7"/>
    </row>
    <row r="1301" customFormat="false" ht="15" hidden="false" customHeight="true" outlineLevel="0" collapsed="false">
      <c r="A1301" s="14"/>
      <c r="B1301" s="7"/>
      <c r="C1301" s="7"/>
      <c r="D1301" s="7"/>
      <c r="E1301" s="7"/>
      <c r="F1301" s="7"/>
      <c r="G1301" s="9"/>
      <c r="H1301" s="9"/>
      <c r="I1301" s="9"/>
      <c r="J1301" s="7"/>
      <c r="K1301" s="7"/>
    </row>
    <row r="1302" customFormat="false" ht="15" hidden="false" customHeight="true" outlineLevel="0" collapsed="false">
      <c r="A1302" s="14"/>
      <c r="B1302" s="7"/>
      <c r="C1302" s="7"/>
      <c r="D1302" s="7"/>
      <c r="E1302" s="7"/>
      <c r="F1302" s="7"/>
      <c r="G1302" s="9"/>
      <c r="H1302" s="9"/>
      <c r="I1302" s="9"/>
      <c r="J1302" s="7"/>
      <c r="K1302" s="7"/>
    </row>
    <row r="1303" customFormat="false" ht="15" hidden="false" customHeight="true" outlineLevel="0" collapsed="false">
      <c r="A1303" s="14"/>
      <c r="B1303" s="7"/>
      <c r="C1303" s="7"/>
      <c r="D1303" s="7"/>
      <c r="E1303" s="7"/>
      <c r="F1303" s="7"/>
      <c r="G1303" s="9"/>
      <c r="H1303" s="9"/>
      <c r="I1303" s="9"/>
      <c r="J1303" s="7"/>
      <c r="K1303" s="7"/>
    </row>
    <row r="1304" customFormat="false" ht="15" hidden="false" customHeight="true" outlineLevel="0" collapsed="false">
      <c r="A1304" s="14"/>
      <c r="B1304" s="7"/>
      <c r="C1304" s="7"/>
      <c r="D1304" s="7"/>
      <c r="E1304" s="7"/>
      <c r="F1304" s="7"/>
      <c r="G1304" s="9"/>
      <c r="H1304" s="9"/>
      <c r="I1304" s="9"/>
      <c r="J1304" s="7"/>
      <c r="K1304" s="7"/>
    </row>
    <row r="1305" customFormat="false" ht="15" hidden="false" customHeight="true" outlineLevel="0" collapsed="false">
      <c r="A1305" s="14"/>
      <c r="B1305" s="7"/>
      <c r="C1305" s="7"/>
      <c r="D1305" s="7"/>
      <c r="E1305" s="7"/>
      <c r="F1305" s="7"/>
      <c r="G1305" s="9"/>
      <c r="H1305" s="9"/>
      <c r="I1305" s="9"/>
      <c r="J1305" s="7"/>
      <c r="K1305" s="7"/>
    </row>
    <row r="1306" customFormat="false" ht="15" hidden="false" customHeight="true" outlineLevel="0" collapsed="false">
      <c r="A1306" s="14"/>
      <c r="B1306" s="7"/>
      <c r="C1306" s="7"/>
      <c r="D1306" s="7"/>
      <c r="E1306" s="7"/>
      <c r="F1306" s="7"/>
      <c r="G1306" s="9"/>
      <c r="H1306" s="9"/>
      <c r="I1306" s="9"/>
      <c r="J1306" s="7"/>
      <c r="K1306" s="7"/>
    </row>
    <row r="1307" customFormat="false" ht="15" hidden="false" customHeight="true" outlineLevel="0" collapsed="false">
      <c r="A1307" s="14"/>
      <c r="B1307" s="7"/>
      <c r="C1307" s="7"/>
      <c r="D1307" s="7"/>
      <c r="E1307" s="7"/>
      <c r="F1307" s="7"/>
      <c r="G1307" s="9"/>
      <c r="H1307" s="9"/>
      <c r="I1307" s="9"/>
      <c r="J1307" s="7"/>
      <c r="K1307" s="7"/>
    </row>
    <row r="1308" customFormat="false" ht="15" hidden="false" customHeight="true" outlineLevel="0" collapsed="false">
      <c r="A1308" s="14"/>
      <c r="B1308" s="7"/>
      <c r="C1308" s="7"/>
      <c r="D1308" s="7"/>
      <c r="E1308" s="7"/>
      <c r="F1308" s="7"/>
      <c r="G1308" s="9"/>
      <c r="H1308" s="9"/>
      <c r="I1308" s="9"/>
      <c r="J1308" s="7"/>
      <c r="K1308" s="7"/>
    </row>
    <row r="1309" customFormat="false" ht="15" hidden="false" customHeight="true" outlineLevel="0" collapsed="false">
      <c r="A1309" s="14"/>
      <c r="B1309" s="7"/>
      <c r="C1309" s="7"/>
      <c r="D1309" s="7"/>
      <c r="E1309" s="7"/>
      <c r="F1309" s="7"/>
      <c r="G1309" s="9"/>
      <c r="H1309" s="9"/>
      <c r="I1309" s="9"/>
      <c r="J1309" s="7"/>
      <c r="K1309" s="7"/>
    </row>
    <row r="1310" customFormat="false" ht="15" hidden="false" customHeight="true" outlineLevel="0" collapsed="false">
      <c r="A1310" s="14"/>
      <c r="B1310" s="7"/>
      <c r="C1310" s="7"/>
      <c r="D1310" s="7"/>
      <c r="E1310" s="7"/>
      <c r="F1310" s="7"/>
      <c r="G1310" s="9"/>
      <c r="H1310" s="9"/>
      <c r="I1310" s="9"/>
      <c r="J1310" s="7"/>
      <c r="K1310" s="7"/>
    </row>
    <row r="1311" customFormat="false" ht="15" hidden="false" customHeight="true" outlineLevel="0" collapsed="false">
      <c r="A1311" s="14"/>
      <c r="B1311" s="7"/>
      <c r="C1311" s="7"/>
      <c r="D1311" s="7"/>
      <c r="E1311" s="7"/>
      <c r="F1311" s="7"/>
      <c r="G1311" s="9"/>
      <c r="H1311" s="9"/>
      <c r="I1311" s="9"/>
      <c r="J1311" s="7"/>
      <c r="K1311" s="7"/>
    </row>
    <row r="1312" customFormat="false" ht="15" hidden="false" customHeight="true" outlineLevel="0" collapsed="false">
      <c r="A1312" s="14"/>
      <c r="B1312" s="7"/>
      <c r="C1312" s="7"/>
      <c r="D1312" s="7"/>
      <c r="E1312" s="7"/>
      <c r="F1312" s="7"/>
      <c r="G1312" s="9"/>
      <c r="H1312" s="9"/>
      <c r="I1312" s="9"/>
      <c r="J1312" s="7"/>
      <c r="K1312" s="7"/>
    </row>
    <row r="1313" customFormat="false" ht="15" hidden="false" customHeight="true" outlineLevel="0" collapsed="false">
      <c r="A1313" s="14"/>
      <c r="B1313" s="7"/>
      <c r="C1313" s="7"/>
      <c r="D1313" s="7"/>
      <c r="E1313" s="7"/>
      <c r="F1313" s="7"/>
      <c r="G1313" s="9"/>
      <c r="H1313" s="9"/>
      <c r="I1313" s="9"/>
      <c r="J1313" s="7"/>
      <c r="K1313" s="7"/>
    </row>
    <row r="1314" customFormat="false" ht="15" hidden="false" customHeight="true" outlineLevel="0" collapsed="false">
      <c r="A1314" s="14"/>
      <c r="B1314" s="7"/>
      <c r="C1314" s="7"/>
      <c r="D1314" s="7"/>
      <c r="E1314" s="7"/>
      <c r="F1314" s="7"/>
      <c r="G1314" s="9"/>
      <c r="H1314" s="9"/>
      <c r="I1314" s="9"/>
      <c r="J1314" s="7"/>
      <c r="K1314" s="7"/>
    </row>
    <row r="1315" customFormat="false" ht="15" hidden="false" customHeight="true" outlineLevel="0" collapsed="false">
      <c r="A1315" s="14"/>
      <c r="B1315" s="7"/>
      <c r="C1315" s="7"/>
      <c r="D1315" s="7"/>
      <c r="E1315" s="7"/>
      <c r="F1315" s="7"/>
      <c r="G1315" s="9"/>
      <c r="H1315" s="9"/>
      <c r="I1315" s="9"/>
      <c r="J1315" s="7"/>
      <c r="K1315" s="7"/>
    </row>
    <row r="1316" customFormat="false" ht="15" hidden="false" customHeight="true" outlineLevel="0" collapsed="false">
      <c r="A1316" s="14"/>
      <c r="B1316" s="7"/>
      <c r="C1316" s="7"/>
      <c r="D1316" s="7"/>
      <c r="E1316" s="7"/>
      <c r="F1316" s="7"/>
      <c r="G1316" s="9"/>
      <c r="H1316" s="9"/>
      <c r="I1316" s="9"/>
      <c r="J1316" s="7"/>
      <c r="K1316" s="7"/>
    </row>
    <row r="1317" customFormat="false" ht="15" hidden="false" customHeight="true" outlineLevel="0" collapsed="false">
      <c r="A1317" s="14"/>
      <c r="B1317" s="7"/>
      <c r="C1317" s="7"/>
      <c r="D1317" s="7"/>
      <c r="E1317" s="7"/>
      <c r="F1317" s="7"/>
      <c r="G1317" s="9"/>
      <c r="H1317" s="9"/>
      <c r="I1317" s="9"/>
      <c r="J1317" s="7"/>
      <c r="K1317" s="7"/>
    </row>
    <row r="1318" customFormat="false" ht="15" hidden="false" customHeight="true" outlineLevel="0" collapsed="false">
      <c r="A1318" s="14"/>
      <c r="B1318" s="7"/>
      <c r="C1318" s="7"/>
      <c r="D1318" s="7"/>
      <c r="E1318" s="7"/>
      <c r="F1318" s="7"/>
      <c r="G1318" s="9"/>
      <c r="H1318" s="9"/>
      <c r="I1318" s="9"/>
      <c r="J1318" s="7"/>
      <c r="K1318" s="7"/>
    </row>
    <row r="1319" customFormat="false" ht="15" hidden="false" customHeight="true" outlineLevel="0" collapsed="false">
      <c r="A1319" s="14"/>
      <c r="B1319" s="7"/>
      <c r="C1319" s="7"/>
      <c r="D1319" s="7"/>
      <c r="E1319" s="7"/>
      <c r="F1319" s="7"/>
      <c r="G1319" s="9"/>
      <c r="H1319" s="9"/>
      <c r="I1319" s="9"/>
      <c r="J1319" s="7"/>
      <c r="K1319" s="7"/>
    </row>
    <row r="1320" customFormat="false" ht="15" hidden="false" customHeight="true" outlineLevel="0" collapsed="false">
      <c r="A1320" s="14"/>
      <c r="B1320" s="7"/>
      <c r="C1320" s="7"/>
      <c r="D1320" s="7"/>
      <c r="E1320" s="7"/>
      <c r="F1320" s="7"/>
      <c r="G1320" s="9"/>
      <c r="H1320" s="9"/>
      <c r="I1320" s="9"/>
      <c r="J1320" s="7"/>
      <c r="K1320" s="7"/>
    </row>
    <row r="1321" customFormat="false" ht="15" hidden="false" customHeight="true" outlineLevel="0" collapsed="false">
      <c r="A1321" s="14"/>
      <c r="B1321" s="7"/>
      <c r="C1321" s="7"/>
      <c r="D1321" s="7"/>
      <c r="E1321" s="7"/>
      <c r="F1321" s="7"/>
      <c r="G1321" s="9"/>
      <c r="H1321" s="9"/>
      <c r="I1321" s="9"/>
      <c r="J1321" s="7"/>
      <c r="K1321" s="7"/>
    </row>
    <row r="1322" customFormat="false" ht="15" hidden="false" customHeight="true" outlineLevel="0" collapsed="false">
      <c r="A1322" s="14"/>
      <c r="B1322" s="7"/>
      <c r="C1322" s="7"/>
      <c r="D1322" s="7"/>
      <c r="E1322" s="7"/>
      <c r="F1322" s="7"/>
      <c r="G1322" s="9"/>
      <c r="H1322" s="9"/>
      <c r="I1322" s="9"/>
      <c r="J1322" s="7"/>
      <c r="K1322" s="7"/>
    </row>
    <row r="1323" customFormat="false" ht="15" hidden="false" customHeight="true" outlineLevel="0" collapsed="false">
      <c r="A1323" s="14"/>
      <c r="B1323" s="7"/>
      <c r="C1323" s="7"/>
      <c r="D1323" s="7"/>
      <c r="E1323" s="7"/>
      <c r="F1323" s="7"/>
      <c r="G1323" s="9"/>
      <c r="H1323" s="9"/>
      <c r="I1323" s="9"/>
      <c r="J1323" s="7"/>
      <c r="K1323" s="7"/>
    </row>
    <row r="1324" customFormat="false" ht="15" hidden="false" customHeight="true" outlineLevel="0" collapsed="false">
      <c r="A1324" s="14"/>
      <c r="B1324" s="7"/>
      <c r="C1324" s="7"/>
      <c r="D1324" s="7"/>
      <c r="E1324" s="7"/>
      <c r="F1324" s="7"/>
      <c r="G1324" s="9"/>
      <c r="H1324" s="9"/>
      <c r="I1324" s="9"/>
      <c r="J1324" s="7"/>
      <c r="K1324" s="7"/>
    </row>
    <row r="1325" customFormat="false" ht="15" hidden="false" customHeight="true" outlineLevel="0" collapsed="false">
      <c r="A1325" s="14"/>
      <c r="B1325" s="7"/>
      <c r="C1325" s="7"/>
      <c r="D1325" s="7"/>
      <c r="E1325" s="7"/>
      <c r="F1325" s="7"/>
      <c r="G1325" s="9"/>
      <c r="H1325" s="9"/>
      <c r="I1325" s="9"/>
      <c r="J1325" s="7"/>
      <c r="K1325" s="7"/>
    </row>
    <row r="1326" customFormat="false" ht="15" hidden="false" customHeight="true" outlineLevel="0" collapsed="false">
      <c r="A1326" s="14"/>
      <c r="B1326" s="7"/>
      <c r="C1326" s="7"/>
      <c r="D1326" s="7"/>
      <c r="E1326" s="7"/>
      <c r="F1326" s="7"/>
      <c r="G1326" s="9"/>
      <c r="H1326" s="9"/>
      <c r="I1326" s="9"/>
      <c r="J1326" s="7"/>
      <c r="K1326" s="7"/>
    </row>
    <row r="1327" customFormat="false" ht="15" hidden="false" customHeight="true" outlineLevel="0" collapsed="false">
      <c r="A1327" s="14"/>
      <c r="B1327" s="7"/>
      <c r="C1327" s="7"/>
      <c r="D1327" s="7"/>
      <c r="E1327" s="7"/>
      <c r="F1327" s="7"/>
      <c r="G1327" s="9"/>
      <c r="H1327" s="9"/>
      <c r="I1327" s="9"/>
      <c r="J1327" s="7"/>
      <c r="K1327" s="7"/>
    </row>
    <row r="1328" customFormat="false" ht="15" hidden="false" customHeight="true" outlineLevel="0" collapsed="false">
      <c r="A1328" s="14"/>
      <c r="B1328" s="7"/>
      <c r="C1328" s="7"/>
      <c r="D1328" s="7"/>
      <c r="E1328" s="7"/>
      <c r="F1328" s="7"/>
      <c r="G1328" s="9"/>
      <c r="H1328" s="9"/>
      <c r="I1328" s="9"/>
      <c r="J1328" s="7"/>
      <c r="K1328" s="7"/>
    </row>
    <row r="1329" customFormat="false" ht="15" hidden="false" customHeight="true" outlineLevel="0" collapsed="false">
      <c r="A1329" s="14"/>
      <c r="B1329" s="7"/>
      <c r="C1329" s="7"/>
      <c r="D1329" s="7"/>
      <c r="E1329" s="7"/>
      <c r="F1329" s="7"/>
      <c r="G1329" s="9"/>
      <c r="H1329" s="9"/>
      <c r="I1329" s="9"/>
      <c r="J1329" s="7"/>
      <c r="K1329" s="7"/>
    </row>
    <row r="1330" customFormat="false" ht="15" hidden="false" customHeight="true" outlineLevel="0" collapsed="false">
      <c r="A1330" s="14"/>
      <c r="B1330" s="7"/>
      <c r="C1330" s="7"/>
      <c r="D1330" s="7"/>
      <c r="E1330" s="7"/>
      <c r="F1330" s="7"/>
      <c r="G1330" s="9"/>
      <c r="H1330" s="9"/>
      <c r="I1330" s="9"/>
      <c r="J1330" s="7"/>
      <c r="K1330" s="7"/>
    </row>
    <row r="1331" customFormat="false" ht="15" hidden="false" customHeight="true" outlineLevel="0" collapsed="false">
      <c r="A1331" s="14"/>
      <c r="B1331" s="7"/>
      <c r="C1331" s="7"/>
      <c r="D1331" s="7"/>
      <c r="E1331" s="7"/>
      <c r="F1331" s="7"/>
      <c r="G1331" s="9"/>
      <c r="H1331" s="9"/>
      <c r="I1331" s="9"/>
      <c r="J1331" s="7"/>
      <c r="K1331" s="7"/>
    </row>
    <row r="1332" customFormat="false" ht="15" hidden="false" customHeight="true" outlineLevel="0" collapsed="false">
      <c r="A1332" s="14"/>
      <c r="B1332" s="7"/>
      <c r="C1332" s="7"/>
      <c r="D1332" s="7"/>
      <c r="E1332" s="7"/>
      <c r="F1332" s="7"/>
      <c r="G1332" s="9"/>
      <c r="H1332" s="9"/>
      <c r="I1332" s="9"/>
      <c r="J1332" s="7"/>
      <c r="K1332" s="7"/>
    </row>
    <row r="1333" customFormat="false" ht="15" hidden="false" customHeight="true" outlineLevel="0" collapsed="false">
      <c r="A1333" s="14"/>
      <c r="B1333" s="7"/>
      <c r="C1333" s="7"/>
      <c r="D1333" s="7"/>
      <c r="E1333" s="7"/>
      <c r="F1333" s="7"/>
      <c r="G1333" s="9"/>
      <c r="H1333" s="9"/>
      <c r="I1333" s="9"/>
      <c r="J1333" s="7"/>
      <c r="K1333" s="7"/>
    </row>
    <row r="1334" customFormat="false" ht="15" hidden="false" customHeight="true" outlineLevel="0" collapsed="false">
      <c r="A1334" s="14"/>
      <c r="B1334" s="7"/>
      <c r="C1334" s="7"/>
      <c r="D1334" s="7"/>
      <c r="E1334" s="7"/>
      <c r="F1334" s="7"/>
      <c r="G1334" s="9"/>
      <c r="H1334" s="9"/>
      <c r="I1334" s="9"/>
      <c r="J1334" s="7"/>
      <c r="K1334" s="7"/>
    </row>
    <row r="1335" customFormat="false" ht="15" hidden="false" customHeight="true" outlineLevel="0" collapsed="false">
      <c r="A1335" s="14"/>
      <c r="B1335" s="7"/>
      <c r="C1335" s="7"/>
      <c r="D1335" s="7"/>
      <c r="E1335" s="7"/>
      <c r="F1335" s="7"/>
      <c r="G1335" s="9"/>
      <c r="H1335" s="9"/>
      <c r="I1335" s="9"/>
      <c r="J1335" s="7"/>
      <c r="K1335" s="7"/>
    </row>
    <row r="1336" customFormat="false" ht="15" hidden="false" customHeight="true" outlineLevel="0" collapsed="false">
      <c r="A1336" s="14"/>
      <c r="B1336" s="7"/>
      <c r="C1336" s="7"/>
      <c r="D1336" s="7"/>
      <c r="E1336" s="7"/>
      <c r="F1336" s="7"/>
      <c r="G1336" s="9"/>
      <c r="H1336" s="9"/>
      <c r="I1336" s="9"/>
      <c r="J1336" s="7"/>
      <c r="K1336" s="7"/>
    </row>
    <row r="1337" customFormat="false" ht="15" hidden="false" customHeight="true" outlineLevel="0" collapsed="false">
      <c r="A1337" s="14"/>
      <c r="B1337" s="7"/>
      <c r="C1337" s="7"/>
      <c r="D1337" s="7"/>
      <c r="E1337" s="7"/>
      <c r="F1337" s="7"/>
      <c r="G1337" s="9"/>
      <c r="H1337" s="9"/>
      <c r="I1337" s="9"/>
      <c r="J1337" s="7"/>
      <c r="K1337" s="7"/>
    </row>
    <row r="1338" customFormat="false" ht="15" hidden="false" customHeight="true" outlineLevel="0" collapsed="false">
      <c r="A1338" s="14"/>
      <c r="B1338" s="7"/>
      <c r="C1338" s="7"/>
      <c r="D1338" s="7"/>
      <c r="E1338" s="7"/>
      <c r="F1338" s="7"/>
      <c r="G1338" s="9"/>
      <c r="H1338" s="9"/>
      <c r="I1338" s="9"/>
      <c r="J1338" s="7"/>
      <c r="K1338" s="7"/>
    </row>
    <row r="1339" customFormat="false" ht="15" hidden="false" customHeight="true" outlineLevel="0" collapsed="false">
      <c r="A1339" s="14"/>
      <c r="B1339" s="7"/>
      <c r="C1339" s="7"/>
      <c r="D1339" s="7"/>
      <c r="E1339" s="7"/>
      <c r="F1339" s="7"/>
      <c r="G1339" s="9"/>
      <c r="H1339" s="9"/>
      <c r="I1339" s="9"/>
      <c r="J1339" s="7"/>
      <c r="K1339" s="7"/>
    </row>
    <row r="1340" customFormat="false" ht="15" hidden="false" customHeight="true" outlineLevel="0" collapsed="false">
      <c r="A1340" s="14"/>
      <c r="B1340" s="7"/>
      <c r="C1340" s="7"/>
      <c r="D1340" s="7"/>
      <c r="E1340" s="7"/>
      <c r="F1340" s="7"/>
      <c r="G1340" s="9"/>
      <c r="H1340" s="9"/>
      <c r="I1340" s="9"/>
      <c r="J1340" s="7"/>
      <c r="K1340" s="7"/>
    </row>
    <row r="1341" customFormat="false" ht="15" hidden="false" customHeight="true" outlineLevel="0" collapsed="false">
      <c r="A1341" s="14"/>
      <c r="B1341" s="7"/>
      <c r="C1341" s="7"/>
      <c r="D1341" s="7"/>
      <c r="E1341" s="7"/>
      <c r="F1341" s="7"/>
      <c r="G1341" s="9"/>
      <c r="H1341" s="9"/>
      <c r="I1341" s="9"/>
      <c r="J1341" s="7"/>
      <c r="K1341" s="7"/>
    </row>
    <row r="1342" customFormat="false" ht="15" hidden="false" customHeight="true" outlineLevel="0" collapsed="false">
      <c r="A1342" s="14"/>
      <c r="B1342" s="7"/>
      <c r="C1342" s="7"/>
      <c r="D1342" s="7"/>
      <c r="E1342" s="7"/>
      <c r="F1342" s="7"/>
      <c r="G1342" s="9"/>
      <c r="H1342" s="9"/>
      <c r="I1342" s="9"/>
      <c r="J1342" s="7"/>
      <c r="K1342" s="7"/>
    </row>
    <row r="1343" customFormat="false" ht="15" hidden="false" customHeight="true" outlineLevel="0" collapsed="false">
      <c r="A1343" s="14"/>
      <c r="B1343" s="7"/>
      <c r="C1343" s="7"/>
      <c r="D1343" s="7"/>
      <c r="E1343" s="7"/>
      <c r="F1343" s="7"/>
      <c r="G1343" s="9"/>
      <c r="H1343" s="9"/>
      <c r="I1343" s="9"/>
      <c r="J1343" s="7"/>
      <c r="K1343" s="7"/>
    </row>
    <row r="1344" customFormat="false" ht="15" hidden="false" customHeight="true" outlineLevel="0" collapsed="false">
      <c r="A1344" s="14"/>
      <c r="B1344" s="7"/>
      <c r="C1344" s="7"/>
      <c r="D1344" s="7"/>
      <c r="E1344" s="7"/>
      <c r="F1344" s="7"/>
      <c r="G1344" s="9"/>
      <c r="H1344" s="9"/>
      <c r="I1344" s="9"/>
      <c r="J1344" s="7"/>
      <c r="K1344" s="7"/>
    </row>
    <row r="1345" customFormat="false" ht="15" hidden="false" customHeight="true" outlineLevel="0" collapsed="false">
      <c r="A1345" s="14"/>
      <c r="B1345" s="7"/>
      <c r="C1345" s="7"/>
      <c r="D1345" s="7"/>
      <c r="E1345" s="7"/>
      <c r="F1345" s="7"/>
      <c r="G1345" s="9"/>
      <c r="H1345" s="9"/>
      <c r="I1345" s="9"/>
      <c r="J1345" s="7"/>
      <c r="K1345" s="7"/>
    </row>
    <row r="1346" customFormat="false" ht="15" hidden="false" customHeight="true" outlineLevel="0" collapsed="false">
      <c r="A1346" s="14"/>
      <c r="B1346" s="7"/>
      <c r="C1346" s="7"/>
      <c r="D1346" s="7"/>
      <c r="E1346" s="7"/>
      <c r="F1346" s="7"/>
      <c r="G1346" s="9"/>
      <c r="H1346" s="9"/>
      <c r="I1346" s="9"/>
      <c r="J1346" s="7"/>
      <c r="K1346" s="7"/>
    </row>
    <row r="1347" customFormat="false" ht="15" hidden="false" customHeight="true" outlineLevel="0" collapsed="false">
      <c r="A1347" s="14"/>
      <c r="B1347" s="7"/>
      <c r="C1347" s="7"/>
      <c r="D1347" s="7"/>
      <c r="E1347" s="7"/>
      <c r="F1347" s="7"/>
      <c r="G1347" s="9"/>
      <c r="H1347" s="9"/>
      <c r="I1347" s="9"/>
      <c r="J1347" s="7"/>
      <c r="K1347" s="7"/>
    </row>
    <row r="1348" customFormat="false" ht="15" hidden="false" customHeight="true" outlineLevel="0" collapsed="false">
      <c r="A1348" s="14"/>
      <c r="B1348" s="7"/>
      <c r="C1348" s="7"/>
      <c r="D1348" s="7"/>
      <c r="E1348" s="7"/>
      <c r="F1348" s="7"/>
      <c r="G1348" s="9"/>
      <c r="H1348" s="9"/>
      <c r="I1348" s="9"/>
      <c r="J1348" s="7"/>
      <c r="K1348" s="7"/>
    </row>
    <row r="1349" customFormat="false" ht="15" hidden="false" customHeight="true" outlineLevel="0" collapsed="false">
      <c r="A1349" s="14"/>
      <c r="B1349" s="7"/>
      <c r="C1349" s="7"/>
      <c r="D1349" s="7"/>
      <c r="E1349" s="7"/>
      <c r="F1349" s="7"/>
      <c r="G1349" s="9"/>
      <c r="H1349" s="9"/>
      <c r="I1349" s="9"/>
      <c r="J1349" s="7"/>
      <c r="K1349" s="7"/>
    </row>
    <row r="1350" customFormat="false" ht="15" hidden="false" customHeight="true" outlineLevel="0" collapsed="false">
      <c r="A1350" s="14"/>
      <c r="B1350" s="7"/>
      <c r="C1350" s="7"/>
      <c r="D1350" s="7"/>
      <c r="E1350" s="7"/>
      <c r="F1350" s="7"/>
      <c r="G1350" s="9"/>
      <c r="H1350" s="9"/>
      <c r="I1350" s="9"/>
      <c r="J1350" s="7"/>
      <c r="K1350" s="7"/>
    </row>
    <row r="1351" customFormat="false" ht="15" hidden="false" customHeight="true" outlineLevel="0" collapsed="false">
      <c r="A1351" s="14"/>
      <c r="B1351" s="7"/>
      <c r="C1351" s="7"/>
      <c r="D1351" s="7"/>
      <c r="E1351" s="7"/>
      <c r="F1351" s="7"/>
      <c r="G1351" s="9"/>
      <c r="H1351" s="9"/>
      <c r="I1351" s="9"/>
      <c r="J1351" s="7"/>
      <c r="K1351" s="7"/>
    </row>
    <row r="1352" customFormat="false" ht="15" hidden="false" customHeight="true" outlineLevel="0" collapsed="false">
      <c r="A1352" s="14"/>
      <c r="B1352" s="7"/>
      <c r="C1352" s="7"/>
      <c r="D1352" s="7"/>
      <c r="E1352" s="7"/>
      <c r="F1352" s="7"/>
      <c r="G1352" s="9"/>
      <c r="H1352" s="9"/>
      <c r="I1352" s="9"/>
      <c r="J1352" s="7"/>
      <c r="K1352" s="7"/>
    </row>
    <row r="1353" customFormat="false" ht="15" hidden="false" customHeight="true" outlineLevel="0" collapsed="false">
      <c r="A1353" s="14"/>
      <c r="B1353" s="7"/>
      <c r="C1353" s="7"/>
      <c r="D1353" s="7"/>
      <c r="E1353" s="7"/>
      <c r="F1353" s="7"/>
      <c r="G1353" s="9"/>
      <c r="H1353" s="9"/>
      <c r="I1353" s="9"/>
      <c r="J1353" s="7"/>
      <c r="K1353" s="7"/>
    </row>
    <row r="1354" customFormat="false" ht="15" hidden="false" customHeight="true" outlineLevel="0" collapsed="false">
      <c r="A1354" s="14"/>
      <c r="B1354" s="7"/>
      <c r="C1354" s="7"/>
      <c r="D1354" s="7"/>
      <c r="E1354" s="7"/>
      <c r="F1354" s="7"/>
      <c r="G1354" s="9"/>
      <c r="H1354" s="9"/>
      <c r="I1354" s="9"/>
      <c r="J1354" s="7"/>
      <c r="K1354" s="7"/>
    </row>
    <row r="1355" customFormat="false" ht="15" hidden="false" customHeight="true" outlineLevel="0" collapsed="false">
      <c r="A1355" s="14"/>
      <c r="B1355" s="7"/>
      <c r="C1355" s="7"/>
      <c r="D1355" s="7"/>
      <c r="E1355" s="7"/>
      <c r="F1355" s="7"/>
      <c r="G1355" s="9"/>
      <c r="H1355" s="9"/>
      <c r="I1355" s="9"/>
      <c r="J1355" s="7"/>
      <c r="K1355" s="7"/>
    </row>
    <row r="1356" customFormat="false" ht="15" hidden="false" customHeight="true" outlineLevel="0" collapsed="false">
      <c r="A1356" s="14"/>
      <c r="B1356" s="7"/>
      <c r="C1356" s="7"/>
      <c r="D1356" s="7"/>
      <c r="E1356" s="7"/>
      <c r="F1356" s="7"/>
      <c r="G1356" s="9"/>
      <c r="H1356" s="9"/>
      <c r="I1356" s="9"/>
      <c r="J1356" s="7"/>
      <c r="K1356" s="7"/>
    </row>
    <row r="1357" customFormat="false" ht="15" hidden="false" customHeight="true" outlineLevel="0" collapsed="false">
      <c r="A1357" s="14"/>
      <c r="B1357" s="7"/>
      <c r="C1357" s="7"/>
      <c r="D1357" s="7"/>
      <c r="E1357" s="7"/>
      <c r="F1357" s="7"/>
      <c r="G1357" s="9"/>
      <c r="H1357" s="9"/>
      <c r="I1357" s="9"/>
      <c r="J1357" s="7"/>
      <c r="K1357" s="7"/>
    </row>
    <row r="1358" customFormat="false" ht="15" hidden="false" customHeight="true" outlineLevel="0" collapsed="false">
      <c r="A1358" s="14"/>
      <c r="B1358" s="7"/>
      <c r="C1358" s="7"/>
      <c r="D1358" s="7"/>
      <c r="E1358" s="7"/>
      <c r="F1358" s="7"/>
      <c r="G1358" s="9"/>
      <c r="H1358" s="9"/>
      <c r="I1358" s="9"/>
      <c r="J1358" s="7"/>
      <c r="K1358" s="7"/>
    </row>
    <row r="1359" customFormat="false" ht="15" hidden="false" customHeight="true" outlineLevel="0" collapsed="false">
      <c r="A1359" s="14"/>
      <c r="B1359" s="7"/>
      <c r="C1359" s="7"/>
      <c r="D1359" s="7"/>
      <c r="E1359" s="7"/>
      <c r="F1359" s="7"/>
      <c r="G1359" s="9"/>
      <c r="H1359" s="9"/>
      <c r="I1359" s="9"/>
      <c r="J1359" s="7"/>
      <c r="K1359" s="7"/>
    </row>
    <row r="1360" customFormat="false" ht="15" hidden="false" customHeight="true" outlineLevel="0" collapsed="false">
      <c r="A1360" s="14"/>
      <c r="B1360" s="7"/>
      <c r="C1360" s="7"/>
      <c r="D1360" s="7"/>
      <c r="E1360" s="7"/>
      <c r="F1360" s="7"/>
      <c r="G1360" s="9"/>
      <c r="H1360" s="9"/>
      <c r="I1360" s="9"/>
      <c r="J1360" s="7"/>
      <c r="K1360" s="7"/>
    </row>
    <row r="1361" customFormat="false" ht="15" hidden="false" customHeight="true" outlineLevel="0" collapsed="false">
      <c r="A1361" s="14"/>
      <c r="B1361" s="7"/>
      <c r="C1361" s="7"/>
      <c r="D1361" s="7"/>
      <c r="E1361" s="7"/>
      <c r="F1361" s="7"/>
      <c r="G1361" s="9"/>
      <c r="H1361" s="9"/>
      <c r="I1361" s="9"/>
      <c r="J1361" s="7"/>
      <c r="K1361" s="7"/>
    </row>
    <row r="1362" customFormat="false" ht="15" hidden="false" customHeight="true" outlineLevel="0" collapsed="false">
      <c r="A1362" s="14"/>
      <c r="B1362" s="7"/>
      <c r="C1362" s="7"/>
      <c r="D1362" s="7"/>
      <c r="E1362" s="7"/>
      <c r="F1362" s="7"/>
      <c r="G1362" s="9"/>
      <c r="H1362" s="9"/>
      <c r="I1362" s="9"/>
      <c r="J1362" s="7"/>
      <c r="K1362" s="7"/>
    </row>
    <row r="1363" customFormat="false" ht="15" hidden="false" customHeight="true" outlineLevel="0" collapsed="false">
      <c r="A1363" s="14"/>
      <c r="B1363" s="7"/>
      <c r="C1363" s="7"/>
      <c r="D1363" s="7"/>
      <c r="E1363" s="7"/>
      <c r="F1363" s="7"/>
      <c r="G1363" s="9"/>
      <c r="H1363" s="9"/>
      <c r="I1363" s="9"/>
      <c r="J1363" s="7"/>
      <c r="K1363" s="7"/>
    </row>
    <row r="1364" customFormat="false" ht="15" hidden="false" customHeight="true" outlineLevel="0" collapsed="false">
      <c r="A1364" s="14"/>
      <c r="B1364" s="7"/>
      <c r="C1364" s="7"/>
      <c r="D1364" s="7"/>
      <c r="E1364" s="7"/>
      <c r="F1364" s="7"/>
      <c r="G1364" s="9"/>
      <c r="H1364" s="9"/>
      <c r="I1364" s="9"/>
      <c r="J1364" s="7"/>
      <c r="K1364" s="7"/>
    </row>
    <row r="1365" customFormat="false" ht="15" hidden="false" customHeight="true" outlineLevel="0" collapsed="false">
      <c r="A1365" s="14"/>
      <c r="B1365" s="7"/>
      <c r="C1365" s="7"/>
      <c r="D1365" s="7"/>
      <c r="E1365" s="7"/>
      <c r="F1365" s="7"/>
      <c r="G1365" s="9"/>
      <c r="H1365" s="9"/>
      <c r="I1365" s="9"/>
      <c r="J1365" s="7"/>
      <c r="K1365" s="7"/>
    </row>
    <row r="1366" customFormat="false" ht="15" hidden="false" customHeight="true" outlineLevel="0" collapsed="false">
      <c r="A1366" s="14"/>
      <c r="B1366" s="7"/>
      <c r="C1366" s="7"/>
      <c r="D1366" s="7"/>
      <c r="E1366" s="7"/>
      <c r="F1366" s="7"/>
      <c r="G1366" s="9"/>
      <c r="H1366" s="9"/>
      <c r="I1366" s="9"/>
      <c r="J1366" s="7"/>
      <c r="K1366" s="7"/>
    </row>
    <row r="1367" customFormat="false" ht="15" hidden="false" customHeight="true" outlineLevel="0" collapsed="false">
      <c r="A1367" s="14"/>
      <c r="B1367" s="7"/>
      <c r="C1367" s="7"/>
      <c r="D1367" s="7"/>
      <c r="E1367" s="7"/>
      <c r="F1367" s="7"/>
      <c r="G1367" s="9"/>
      <c r="H1367" s="9"/>
      <c r="I1367" s="9"/>
      <c r="J1367" s="7"/>
      <c r="K1367" s="7"/>
    </row>
    <row r="1368" customFormat="false" ht="15" hidden="false" customHeight="true" outlineLevel="0" collapsed="false">
      <c r="A1368" s="14"/>
      <c r="B1368" s="7"/>
      <c r="C1368" s="7"/>
      <c r="D1368" s="7"/>
      <c r="E1368" s="7"/>
      <c r="F1368" s="7"/>
      <c r="G1368" s="9"/>
      <c r="H1368" s="9"/>
      <c r="I1368" s="9"/>
      <c r="J1368" s="7"/>
      <c r="K1368" s="7"/>
    </row>
    <row r="1369" customFormat="false" ht="15" hidden="false" customHeight="true" outlineLevel="0" collapsed="false">
      <c r="A1369" s="14"/>
      <c r="B1369" s="7"/>
      <c r="C1369" s="7"/>
      <c r="D1369" s="7"/>
      <c r="E1369" s="7"/>
      <c r="F1369" s="7"/>
      <c r="G1369" s="9"/>
      <c r="H1369" s="9"/>
      <c r="I1369" s="9"/>
      <c r="J1369" s="7"/>
      <c r="K1369" s="7"/>
    </row>
    <row r="1370" customFormat="false" ht="15" hidden="false" customHeight="true" outlineLevel="0" collapsed="false">
      <c r="A1370" s="14"/>
      <c r="B1370" s="7"/>
      <c r="C1370" s="7"/>
      <c r="D1370" s="7"/>
      <c r="E1370" s="7"/>
      <c r="F1370" s="7"/>
      <c r="G1370" s="9"/>
      <c r="H1370" s="9"/>
      <c r="I1370" s="9"/>
      <c r="J1370" s="7"/>
      <c r="K1370" s="7"/>
    </row>
    <row r="1371" customFormat="false" ht="15" hidden="false" customHeight="true" outlineLevel="0" collapsed="false">
      <c r="A1371" s="14"/>
      <c r="B1371" s="7"/>
      <c r="C1371" s="7"/>
      <c r="D1371" s="7"/>
      <c r="E1371" s="7"/>
      <c r="F1371" s="7"/>
      <c r="G1371" s="9"/>
      <c r="H1371" s="9"/>
      <c r="I1371" s="9"/>
      <c r="J1371" s="7"/>
      <c r="K1371" s="7"/>
    </row>
    <row r="1372" customFormat="false" ht="15" hidden="false" customHeight="true" outlineLevel="0" collapsed="false">
      <c r="A1372" s="14"/>
      <c r="B1372" s="7"/>
      <c r="C1372" s="7"/>
      <c r="D1372" s="7"/>
      <c r="E1372" s="7"/>
      <c r="F1372" s="7"/>
      <c r="G1372" s="9"/>
      <c r="H1372" s="9"/>
      <c r="I1372" s="9"/>
      <c r="J1372" s="7"/>
      <c r="K1372" s="7"/>
    </row>
    <row r="1373" customFormat="false" ht="15" hidden="false" customHeight="true" outlineLevel="0" collapsed="false">
      <c r="A1373" s="14"/>
      <c r="B1373" s="7"/>
      <c r="C1373" s="7"/>
      <c r="D1373" s="7"/>
      <c r="E1373" s="7"/>
      <c r="F1373" s="7"/>
      <c r="G1373" s="9"/>
      <c r="H1373" s="9"/>
      <c r="I1373" s="9"/>
      <c r="J1373" s="7"/>
      <c r="K1373" s="7"/>
    </row>
    <row r="1374" customFormat="false" ht="15" hidden="false" customHeight="true" outlineLevel="0" collapsed="false">
      <c r="A1374" s="14"/>
      <c r="B1374" s="7"/>
      <c r="C1374" s="7"/>
      <c r="D1374" s="7"/>
      <c r="E1374" s="7"/>
      <c r="F1374" s="7"/>
      <c r="G1374" s="9"/>
      <c r="H1374" s="9"/>
      <c r="I1374" s="9"/>
      <c r="J1374" s="7"/>
      <c r="K1374" s="7"/>
    </row>
    <row r="1375" customFormat="false" ht="15" hidden="false" customHeight="true" outlineLevel="0" collapsed="false">
      <c r="A1375" s="14"/>
      <c r="B1375" s="7"/>
      <c r="C1375" s="7"/>
      <c r="D1375" s="7"/>
      <c r="E1375" s="7"/>
      <c r="F1375" s="7"/>
      <c r="G1375" s="9"/>
      <c r="H1375" s="9"/>
      <c r="I1375" s="9"/>
      <c r="J1375" s="7"/>
      <c r="K1375" s="7"/>
    </row>
    <row r="1376" customFormat="false" ht="15" hidden="false" customHeight="true" outlineLevel="0" collapsed="false">
      <c r="A1376" s="14"/>
      <c r="B1376" s="7"/>
      <c r="C1376" s="7"/>
      <c r="D1376" s="7"/>
      <c r="E1376" s="7"/>
      <c r="F1376" s="7"/>
      <c r="G1376" s="9"/>
      <c r="H1376" s="9"/>
      <c r="I1376" s="9"/>
      <c r="J1376" s="7"/>
      <c r="K1376" s="7"/>
    </row>
    <row r="1377" customFormat="false" ht="15" hidden="false" customHeight="true" outlineLevel="0" collapsed="false">
      <c r="A1377" s="14"/>
      <c r="B1377" s="7"/>
      <c r="C1377" s="7"/>
      <c r="D1377" s="7"/>
      <c r="E1377" s="7"/>
      <c r="F1377" s="7"/>
      <c r="G1377" s="9"/>
      <c r="H1377" s="9"/>
      <c r="I1377" s="9"/>
      <c r="J1377" s="7"/>
      <c r="K1377" s="7"/>
    </row>
    <row r="1378" customFormat="false" ht="15" hidden="false" customHeight="true" outlineLevel="0" collapsed="false">
      <c r="A1378" s="14"/>
      <c r="B1378" s="7"/>
      <c r="C1378" s="7"/>
      <c r="D1378" s="7"/>
      <c r="E1378" s="7"/>
      <c r="F1378" s="7"/>
      <c r="G1378" s="9"/>
      <c r="H1378" s="9"/>
      <c r="I1378" s="9"/>
      <c r="J1378" s="7"/>
      <c r="K1378" s="7"/>
    </row>
    <row r="1379" customFormat="false" ht="15" hidden="false" customHeight="true" outlineLevel="0" collapsed="false">
      <c r="A1379" s="14"/>
      <c r="B1379" s="7"/>
      <c r="C1379" s="7"/>
      <c r="D1379" s="7"/>
      <c r="E1379" s="7"/>
      <c r="F1379" s="7"/>
      <c r="G1379" s="9"/>
      <c r="H1379" s="9"/>
      <c r="I1379" s="9"/>
      <c r="J1379" s="7"/>
      <c r="K1379" s="7"/>
    </row>
    <row r="1380" customFormat="false" ht="15" hidden="false" customHeight="true" outlineLevel="0" collapsed="false">
      <c r="A1380" s="14"/>
      <c r="B1380" s="7"/>
      <c r="C1380" s="7"/>
      <c r="D1380" s="7"/>
      <c r="E1380" s="7"/>
      <c r="F1380" s="7"/>
      <c r="G1380" s="9"/>
      <c r="H1380" s="9"/>
      <c r="I1380" s="9"/>
      <c r="J1380" s="7"/>
      <c r="K1380" s="7"/>
    </row>
    <row r="1381" customFormat="false" ht="15" hidden="false" customHeight="true" outlineLevel="0" collapsed="false">
      <c r="A1381" s="14"/>
      <c r="B1381" s="7"/>
      <c r="C1381" s="7"/>
      <c r="D1381" s="7"/>
      <c r="E1381" s="7"/>
      <c r="F1381" s="7"/>
      <c r="G1381" s="9"/>
      <c r="H1381" s="9"/>
      <c r="I1381" s="9"/>
      <c r="J1381" s="7"/>
      <c r="K1381" s="7"/>
    </row>
    <row r="1382" customFormat="false" ht="15" hidden="false" customHeight="true" outlineLevel="0" collapsed="false">
      <c r="A1382" s="14"/>
      <c r="B1382" s="7"/>
      <c r="C1382" s="7"/>
      <c r="D1382" s="7"/>
      <c r="E1382" s="7"/>
      <c r="F1382" s="7"/>
      <c r="G1382" s="9"/>
      <c r="H1382" s="9"/>
      <c r="I1382" s="9"/>
      <c r="J1382" s="7"/>
      <c r="K1382" s="7"/>
    </row>
    <row r="1383" customFormat="false" ht="15" hidden="false" customHeight="true" outlineLevel="0" collapsed="false">
      <c r="A1383" s="14"/>
      <c r="B1383" s="7"/>
      <c r="C1383" s="7"/>
      <c r="D1383" s="7"/>
      <c r="E1383" s="7"/>
      <c r="F1383" s="7"/>
      <c r="G1383" s="9"/>
      <c r="H1383" s="9"/>
      <c r="I1383" s="9"/>
      <c r="J1383" s="7"/>
      <c r="K1383" s="7"/>
    </row>
    <row r="1384" customFormat="false" ht="15" hidden="false" customHeight="true" outlineLevel="0" collapsed="false">
      <c r="A1384" s="14"/>
      <c r="B1384" s="7"/>
      <c r="C1384" s="7"/>
      <c r="D1384" s="7"/>
      <c r="E1384" s="7"/>
      <c r="F1384" s="7"/>
      <c r="G1384" s="9"/>
      <c r="H1384" s="9"/>
      <c r="I1384" s="9"/>
      <c r="J1384" s="7"/>
      <c r="K1384" s="7"/>
    </row>
    <row r="1385" customFormat="false" ht="15" hidden="false" customHeight="true" outlineLevel="0" collapsed="false">
      <c r="A1385" s="14"/>
      <c r="B1385" s="7"/>
      <c r="C1385" s="7"/>
      <c r="D1385" s="7"/>
      <c r="E1385" s="7"/>
      <c r="F1385" s="7"/>
      <c r="G1385" s="9"/>
      <c r="H1385" s="9"/>
      <c r="I1385" s="9"/>
      <c r="J1385" s="7"/>
      <c r="K1385" s="7"/>
    </row>
    <row r="1386" customFormat="false" ht="15" hidden="false" customHeight="true" outlineLevel="0" collapsed="false">
      <c r="A1386" s="14"/>
      <c r="B1386" s="7"/>
      <c r="C1386" s="7"/>
      <c r="D1386" s="7"/>
      <c r="E1386" s="7"/>
      <c r="F1386" s="7"/>
      <c r="G1386" s="9"/>
      <c r="H1386" s="9"/>
      <c r="I1386" s="9"/>
      <c r="J1386" s="7"/>
      <c r="K1386" s="7"/>
    </row>
    <row r="1387" customFormat="false" ht="15" hidden="false" customHeight="true" outlineLevel="0" collapsed="false">
      <c r="A1387" s="14"/>
      <c r="B1387" s="7"/>
      <c r="C1387" s="7"/>
      <c r="D1387" s="7"/>
      <c r="E1387" s="7"/>
      <c r="F1387" s="7"/>
      <c r="G1387" s="9"/>
      <c r="H1387" s="9"/>
      <c r="I1387" s="9"/>
      <c r="J1387" s="7"/>
      <c r="K1387" s="7"/>
    </row>
    <row r="1388" customFormat="false" ht="15" hidden="false" customHeight="true" outlineLevel="0" collapsed="false">
      <c r="A1388" s="14"/>
      <c r="B1388" s="7"/>
      <c r="C1388" s="7"/>
      <c r="D1388" s="7"/>
      <c r="E1388" s="7"/>
      <c r="F1388" s="7"/>
      <c r="G1388" s="9"/>
      <c r="H1388" s="9"/>
      <c r="I1388" s="9"/>
      <c r="J1388" s="7"/>
      <c r="K1388" s="7"/>
    </row>
    <row r="1389" customFormat="false" ht="15" hidden="false" customHeight="true" outlineLevel="0" collapsed="false">
      <c r="A1389" s="14"/>
      <c r="B1389" s="7"/>
      <c r="C1389" s="7"/>
      <c r="D1389" s="7"/>
      <c r="E1389" s="7"/>
      <c r="F1389" s="7"/>
      <c r="G1389" s="9"/>
      <c r="H1389" s="9"/>
      <c r="I1389" s="9"/>
      <c r="J1389" s="7"/>
      <c r="K1389" s="7"/>
    </row>
    <row r="1390" customFormat="false" ht="15" hidden="false" customHeight="true" outlineLevel="0" collapsed="false">
      <c r="A1390" s="14"/>
      <c r="B1390" s="7"/>
      <c r="C1390" s="7"/>
      <c r="D1390" s="7"/>
      <c r="E1390" s="7"/>
      <c r="F1390" s="7"/>
      <c r="G1390" s="9"/>
      <c r="H1390" s="9"/>
      <c r="I1390" s="9"/>
      <c r="J1390" s="7"/>
      <c r="K1390" s="7"/>
    </row>
    <row r="1391" customFormat="false" ht="15" hidden="false" customHeight="true" outlineLevel="0" collapsed="false">
      <c r="A1391" s="14"/>
      <c r="B1391" s="7"/>
      <c r="C1391" s="7"/>
      <c r="D1391" s="7"/>
      <c r="E1391" s="7"/>
      <c r="F1391" s="7"/>
      <c r="G1391" s="9"/>
      <c r="H1391" s="9"/>
      <c r="I1391" s="9"/>
      <c r="J1391" s="7"/>
      <c r="K1391" s="7"/>
    </row>
    <row r="1392" customFormat="false" ht="15" hidden="false" customHeight="true" outlineLevel="0" collapsed="false">
      <c r="A1392" s="14"/>
      <c r="B1392" s="7"/>
      <c r="C1392" s="7"/>
      <c r="D1392" s="7"/>
      <c r="E1392" s="7"/>
      <c r="F1392" s="7"/>
      <c r="G1392" s="9"/>
      <c r="H1392" s="9"/>
      <c r="I1392" s="9"/>
      <c r="J1392" s="7"/>
      <c r="K1392" s="7"/>
    </row>
    <row r="1393" customFormat="false" ht="15" hidden="false" customHeight="true" outlineLevel="0" collapsed="false">
      <c r="A1393" s="14"/>
      <c r="B1393" s="7"/>
      <c r="C1393" s="7"/>
      <c r="D1393" s="7"/>
      <c r="E1393" s="7"/>
      <c r="F1393" s="7"/>
      <c r="G1393" s="9"/>
      <c r="H1393" s="9"/>
      <c r="I1393" s="9"/>
      <c r="J1393" s="7"/>
      <c r="K1393" s="7"/>
    </row>
    <row r="1394" customFormat="false" ht="15" hidden="false" customHeight="true" outlineLevel="0" collapsed="false">
      <c r="A1394" s="14"/>
      <c r="B1394" s="7"/>
      <c r="C1394" s="7"/>
      <c r="D1394" s="7"/>
      <c r="E1394" s="7"/>
      <c r="F1394" s="7"/>
      <c r="G1394" s="9"/>
      <c r="H1394" s="9"/>
      <c r="I1394" s="9"/>
      <c r="J1394" s="7"/>
      <c r="K1394" s="7"/>
    </row>
    <row r="1395" customFormat="false" ht="15" hidden="false" customHeight="true" outlineLevel="0" collapsed="false">
      <c r="A1395" s="14"/>
      <c r="B1395" s="7"/>
      <c r="C1395" s="7"/>
      <c r="D1395" s="7"/>
      <c r="E1395" s="7"/>
      <c r="F1395" s="7"/>
      <c r="G1395" s="9"/>
      <c r="H1395" s="9"/>
      <c r="I1395" s="9"/>
      <c r="J1395" s="7"/>
      <c r="K1395" s="7"/>
    </row>
    <row r="1396" customFormat="false" ht="15" hidden="false" customHeight="true" outlineLevel="0" collapsed="false">
      <c r="A1396" s="14"/>
      <c r="B1396" s="7"/>
      <c r="C1396" s="7"/>
      <c r="D1396" s="7"/>
      <c r="E1396" s="7"/>
      <c r="F1396" s="7"/>
      <c r="G1396" s="9"/>
      <c r="H1396" s="9"/>
      <c r="I1396" s="9"/>
      <c r="J1396" s="7"/>
      <c r="K1396" s="7"/>
    </row>
    <row r="1397" customFormat="false" ht="15" hidden="false" customHeight="true" outlineLevel="0" collapsed="false">
      <c r="A1397" s="14"/>
      <c r="B1397" s="7"/>
      <c r="C1397" s="7"/>
      <c r="D1397" s="7"/>
      <c r="E1397" s="7"/>
      <c r="F1397" s="7"/>
      <c r="G1397" s="9"/>
      <c r="H1397" s="9"/>
      <c r="I1397" s="9"/>
      <c r="J1397" s="7"/>
      <c r="K1397" s="7"/>
    </row>
    <row r="1398" customFormat="false" ht="15" hidden="false" customHeight="true" outlineLevel="0" collapsed="false">
      <c r="A1398" s="14"/>
      <c r="B1398" s="7"/>
      <c r="C1398" s="7"/>
      <c r="D1398" s="7"/>
      <c r="E1398" s="7"/>
      <c r="F1398" s="7"/>
      <c r="G1398" s="9"/>
      <c r="H1398" s="9"/>
      <c r="I1398" s="9"/>
      <c r="J1398" s="7"/>
      <c r="K1398" s="7"/>
    </row>
    <row r="1399" customFormat="false" ht="15" hidden="false" customHeight="true" outlineLevel="0" collapsed="false">
      <c r="A1399" s="14"/>
      <c r="B1399" s="7"/>
      <c r="C1399" s="7"/>
      <c r="D1399" s="7"/>
      <c r="E1399" s="7"/>
      <c r="F1399" s="7"/>
      <c r="G1399" s="9"/>
      <c r="H1399" s="9"/>
      <c r="I1399" s="9"/>
      <c r="J1399" s="7"/>
      <c r="K1399" s="7"/>
    </row>
    <row r="1400" customFormat="false" ht="15" hidden="false" customHeight="true" outlineLevel="0" collapsed="false">
      <c r="A1400" s="14"/>
      <c r="B1400" s="7"/>
      <c r="C1400" s="7"/>
      <c r="D1400" s="7"/>
      <c r="E1400" s="7"/>
      <c r="F1400" s="7"/>
      <c r="G1400" s="9"/>
      <c r="H1400" s="9"/>
      <c r="I1400" s="9"/>
      <c r="J1400" s="7"/>
      <c r="K1400" s="7"/>
    </row>
    <row r="1401" customFormat="false" ht="15" hidden="false" customHeight="true" outlineLevel="0" collapsed="false">
      <c r="A1401" s="14"/>
      <c r="B1401" s="7"/>
      <c r="C1401" s="7"/>
      <c r="D1401" s="7"/>
      <c r="E1401" s="7"/>
      <c r="F1401" s="7"/>
      <c r="G1401" s="9"/>
      <c r="H1401" s="9"/>
      <c r="I1401" s="9"/>
      <c r="J1401" s="7"/>
      <c r="K1401" s="7"/>
    </row>
    <row r="1402" customFormat="false" ht="15" hidden="false" customHeight="true" outlineLevel="0" collapsed="false">
      <c r="A1402" s="14"/>
      <c r="B1402" s="7"/>
      <c r="C1402" s="7"/>
      <c r="D1402" s="7"/>
      <c r="E1402" s="7"/>
      <c r="F1402" s="7"/>
      <c r="G1402" s="9"/>
      <c r="H1402" s="9"/>
      <c r="I1402" s="9"/>
      <c r="J1402" s="7"/>
      <c r="K1402" s="7"/>
    </row>
    <row r="1403" customFormat="false" ht="15" hidden="false" customHeight="true" outlineLevel="0" collapsed="false">
      <c r="A1403" s="14"/>
      <c r="B1403" s="7"/>
      <c r="C1403" s="7"/>
      <c r="D1403" s="7"/>
      <c r="E1403" s="7"/>
      <c r="F1403" s="7"/>
      <c r="G1403" s="9"/>
      <c r="H1403" s="9"/>
      <c r="I1403" s="9"/>
      <c r="J1403" s="7"/>
      <c r="K1403" s="7"/>
    </row>
    <row r="1404" customFormat="false" ht="15" hidden="false" customHeight="true" outlineLevel="0" collapsed="false">
      <c r="A1404" s="14"/>
      <c r="B1404" s="7"/>
      <c r="C1404" s="7"/>
      <c r="D1404" s="7"/>
      <c r="E1404" s="7"/>
      <c r="F1404" s="7"/>
      <c r="G1404" s="9"/>
      <c r="H1404" s="9"/>
      <c r="I1404" s="9"/>
      <c r="J1404" s="7"/>
      <c r="K1404" s="7"/>
    </row>
    <row r="1405" customFormat="false" ht="15" hidden="false" customHeight="true" outlineLevel="0" collapsed="false">
      <c r="A1405" s="14"/>
      <c r="B1405" s="7"/>
      <c r="C1405" s="7"/>
      <c r="D1405" s="7"/>
      <c r="E1405" s="7"/>
      <c r="F1405" s="7"/>
      <c r="G1405" s="9"/>
      <c r="H1405" s="9"/>
      <c r="I1405" s="9"/>
      <c r="J1405" s="7"/>
      <c r="K1405" s="7"/>
    </row>
    <row r="1406" customFormat="false" ht="15" hidden="false" customHeight="true" outlineLevel="0" collapsed="false">
      <c r="A1406" s="14"/>
      <c r="B1406" s="7"/>
      <c r="C1406" s="7"/>
      <c r="D1406" s="7"/>
      <c r="E1406" s="7"/>
      <c r="F1406" s="7"/>
      <c r="G1406" s="9"/>
      <c r="H1406" s="9"/>
      <c r="I1406" s="9"/>
      <c r="J1406" s="7"/>
      <c r="K1406" s="7"/>
    </row>
    <row r="1407" customFormat="false" ht="15" hidden="false" customHeight="true" outlineLevel="0" collapsed="false">
      <c r="A1407" s="14"/>
      <c r="B1407" s="7"/>
      <c r="C1407" s="7"/>
      <c r="D1407" s="7"/>
      <c r="E1407" s="7"/>
      <c r="F1407" s="7"/>
      <c r="G1407" s="9"/>
      <c r="H1407" s="9"/>
      <c r="I1407" s="9"/>
      <c r="J1407" s="7"/>
      <c r="K1407" s="7"/>
    </row>
    <row r="1408" customFormat="false" ht="15" hidden="false" customHeight="true" outlineLevel="0" collapsed="false">
      <c r="A1408" s="14"/>
      <c r="B1408" s="7"/>
      <c r="C1408" s="7"/>
      <c r="D1408" s="7"/>
      <c r="E1408" s="7"/>
      <c r="F1408" s="7"/>
      <c r="G1408" s="9"/>
      <c r="H1408" s="9"/>
      <c r="I1408" s="9"/>
      <c r="J1408" s="7"/>
      <c r="K1408" s="7"/>
    </row>
    <row r="1409" customFormat="false" ht="15" hidden="false" customHeight="true" outlineLevel="0" collapsed="false">
      <c r="A1409" s="14"/>
      <c r="B1409" s="7"/>
      <c r="C1409" s="7"/>
      <c r="D1409" s="7"/>
      <c r="E1409" s="7"/>
      <c r="F1409" s="7"/>
      <c r="G1409" s="9"/>
      <c r="H1409" s="9"/>
      <c r="I1409" s="9"/>
      <c r="J1409" s="7"/>
      <c r="K1409" s="7"/>
    </row>
    <row r="1410" customFormat="false" ht="15" hidden="false" customHeight="true" outlineLevel="0" collapsed="false">
      <c r="A1410" s="14"/>
      <c r="B1410" s="7"/>
      <c r="C1410" s="7"/>
      <c r="D1410" s="7"/>
      <c r="E1410" s="7"/>
      <c r="F1410" s="7"/>
      <c r="G1410" s="9"/>
      <c r="H1410" s="9"/>
      <c r="I1410" s="9"/>
      <c r="J1410" s="7"/>
      <c r="K1410" s="7"/>
    </row>
    <row r="1411" customFormat="false" ht="15" hidden="false" customHeight="true" outlineLevel="0" collapsed="false">
      <c r="A1411" s="14"/>
      <c r="B1411" s="7"/>
      <c r="C1411" s="7"/>
      <c r="D1411" s="7"/>
      <c r="E1411" s="7"/>
      <c r="F1411" s="7"/>
      <c r="G1411" s="9"/>
      <c r="H1411" s="9"/>
      <c r="I1411" s="9"/>
      <c r="J1411" s="7"/>
      <c r="K1411" s="7"/>
    </row>
    <row r="1412" customFormat="false" ht="15" hidden="false" customHeight="true" outlineLevel="0" collapsed="false">
      <c r="A1412" s="14"/>
      <c r="B1412" s="7"/>
      <c r="C1412" s="7"/>
      <c r="D1412" s="7"/>
      <c r="E1412" s="7"/>
      <c r="F1412" s="7"/>
      <c r="G1412" s="9"/>
      <c r="H1412" s="9"/>
      <c r="I1412" s="9"/>
      <c r="J1412" s="7"/>
      <c r="K1412" s="7"/>
    </row>
    <row r="1413" customFormat="false" ht="15" hidden="false" customHeight="true" outlineLevel="0" collapsed="false">
      <c r="A1413" s="14"/>
      <c r="B1413" s="7"/>
      <c r="C1413" s="7"/>
      <c r="D1413" s="7"/>
      <c r="E1413" s="7"/>
      <c r="F1413" s="7"/>
      <c r="G1413" s="9"/>
      <c r="H1413" s="9"/>
      <c r="I1413" s="9"/>
      <c r="J1413" s="7"/>
      <c r="K1413" s="7"/>
    </row>
    <row r="1414" customFormat="false" ht="15" hidden="false" customHeight="true" outlineLevel="0" collapsed="false">
      <c r="A1414" s="14"/>
      <c r="B1414" s="7"/>
      <c r="C1414" s="7"/>
      <c r="D1414" s="7"/>
      <c r="E1414" s="7"/>
      <c r="F1414" s="7"/>
      <c r="G1414" s="9"/>
      <c r="H1414" s="9"/>
      <c r="I1414" s="9"/>
      <c r="J1414" s="7"/>
      <c r="K1414" s="7"/>
    </row>
    <row r="1415" customFormat="false" ht="15" hidden="false" customHeight="true" outlineLevel="0" collapsed="false">
      <c r="A1415" s="14"/>
      <c r="B1415" s="7"/>
      <c r="C1415" s="7"/>
      <c r="D1415" s="7"/>
      <c r="E1415" s="7"/>
      <c r="F1415" s="7"/>
      <c r="G1415" s="9"/>
      <c r="H1415" s="9"/>
      <c r="I1415" s="9"/>
      <c r="J1415" s="7"/>
      <c r="K1415" s="7"/>
    </row>
    <row r="1416" customFormat="false" ht="15" hidden="false" customHeight="true" outlineLevel="0" collapsed="false">
      <c r="A1416" s="14"/>
      <c r="B1416" s="7"/>
      <c r="C1416" s="7"/>
      <c r="D1416" s="7"/>
      <c r="E1416" s="7"/>
      <c r="F1416" s="7"/>
      <c r="G1416" s="9"/>
      <c r="H1416" s="9"/>
      <c r="I1416" s="9"/>
      <c r="J1416" s="7"/>
      <c r="K1416" s="7"/>
    </row>
    <row r="1417" customFormat="false" ht="15" hidden="false" customHeight="true" outlineLevel="0" collapsed="false">
      <c r="A1417" s="14"/>
      <c r="B1417" s="7"/>
      <c r="C1417" s="7"/>
      <c r="D1417" s="7"/>
      <c r="E1417" s="7"/>
      <c r="F1417" s="7"/>
      <c r="G1417" s="9"/>
      <c r="H1417" s="9"/>
      <c r="I1417" s="9"/>
      <c r="J1417" s="7"/>
      <c r="K1417" s="7"/>
    </row>
    <row r="1418" customFormat="false" ht="15" hidden="false" customHeight="true" outlineLevel="0" collapsed="false">
      <c r="A1418" s="14"/>
      <c r="B1418" s="7"/>
      <c r="C1418" s="7"/>
      <c r="D1418" s="7"/>
      <c r="E1418" s="7"/>
      <c r="F1418" s="7"/>
      <c r="G1418" s="9"/>
      <c r="H1418" s="9"/>
      <c r="I1418" s="9"/>
      <c r="J1418" s="7"/>
      <c r="K1418" s="7"/>
    </row>
    <row r="1419" customFormat="false" ht="15" hidden="false" customHeight="true" outlineLevel="0" collapsed="false">
      <c r="A1419" s="14"/>
      <c r="B1419" s="7"/>
      <c r="C1419" s="7"/>
      <c r="D1419" s="7"/>
      <c r="E1419" s="7"/>
      <c r="F1419" s="7"/>
      <c r="G1419" s="9"/>
      <c r="H1419" s="9"/>
      <c r="I1419" s="9"/>
      <c r="J1419" s="7"/>
      <c r="K1419" s="7"/>
    </row>
    <row r="1420" customFormat="false" ht="15" hidden="false" customHeight="true" outlineLevel="0" collapsed="false">
      <c r="A1420" s="14"/>
      <c r="B1420" s="7"/>
      <c r="C1420" s="7"/>
      <c r="D1420" s="7"/>
      <c r="E1420" s="7"/>
      <c r="F1420" s="7"/>
      <c r="G1420" s="9"/>
      <c r="H1420" s="9"/>
      <c r="I1420" s="9"/>
      <c r="J1420" s="7"/>
      <c r="K1420" s="7"/>
    </row>
    <row r="1421" customFormat="false" ht="15" hidden="false" customHeight="true" outlineLevel="0" collapsed="false">
      <c r="A1421" s="14"/>
      <c r="B1421" s="7"/>
      <c r="C1421" s="7"/>
      <c r="D1421" s="7"/>
      <c r="E1421" s="7"/>
      <c r="F1421" s="7"/>
      <c r="G1421" s="9"/>
      <c r="H1421" s="9"/>
      <c r="I1421" s="9"/>
      <c r="J1421" s="7"/>
      <c r="K1421" s="7"/>
    </row>
    <row r="1422" customFormat="false" ht="15" hidden="false" customHeight="true" outlineLevel="0" collapsed="false">
      <c r="A1422" s="14"/>
      <c r="B1422" s="7"/>
      <c r="C1422" s="7"/>
      <c r="D1422" s="7"/>
      <c r="E1422" s="7"/>
      <c r="F1422" s="7"/>
      <c r="G1422" s="9"/>
      <c r="H1422" s="9"/>
      <c r="I1422" s="9"/>
      <c r="J1422" s="7"/>
      <c r="K1422" s="7"/>
    </row>
    <row r="1423" customFormat="false" ht="15" hidden="false" customHeight="true" outlineLevel="0" collapsed="false">
      <c r="A1423" s="14"/>
      <c r="B1423" s="7"/>
      <c r="C1423" s="7"/>
      <c r="D1423" s="7"/>
      <c r="E1423" s="7"/>
      <c r="F1423" s="7"/>
      <c r="G1423" s="9"/>
      <c r="H1423" s="9"/>
      <c r="I1423" s="9"/>
      <c r="J1423" s="7"/>
      <c r="K1423" s="7"/>
    </row>
    <row r="1424" customFormat="false" ht="15" hidden="false" customHeight="true" outlineLevel="0" collapsed="false">
      <c r="A1424" s="14"/>
      <c r="B1424" s="7"/>
      <c r="C1424" s="7"/>
      <c r="D1424" s="7"/>
      <c r="E1424" s="7"/>
      <c r="F1424" s="7"/>
      <c r="G1424" s="9"/>
      <c r="H1424" s="9"/>
      <c r="I1424" s="9"/>
      <c r="J1424" s="7"/>
      <c r="K1424" s="7"/>
    </row>
    <row r="1425" customFormat="false" ht="15" hidden="false" customHeight="true" outlineLevel="0" collapsed="false">
      <c r="A1425" s="14"/>
      <c r="B1425" s="7"/>
      <c r="C1425" s="7"/>
      <c r="D1425" s="7"/>
      <c r="E1425" s="7"/>
      <c r="F1425" s="7"/>
      <c r="G1425" s="9"/>
      <c r="H1425" s="9"/>
      <c r="I1425" s="9"/>
      <c r="J1425" s="7"/>
      <c r="K1425" s="7"/>
    </row>
    <row r="1426" customFormat="false" ht="15" hidden="false" customHeight="true" outlineLevel="0" collapsed="false">
      <c r="A1426" s="14"/>
      <c r="B1426" s="7"/>
      <c r="C1426" s="7"/>
      <c r="D1426" s="7"/>
      <c r="E1426" s="7"/>
      <c r="F1426" s="7"/>
      <c r="G1426" s="9"/>
      <c r="H1426" s="9"/>
      <c r="I1426" s="9"/>
      <c r="J1426" s="7"/>
      <c r="K1426" s="7"/>
    </row>
    <row r="1427" customFormat="false" ht="15" hidden="false" customHeight="true" outlineLevel="0" collapsed="false">
      <c r="A1427" s="14"/>
      <c r="B1427" s="7"/>
      <c r="C1427" s="7"/>
      <c r="D1427" s="7"/>
      <c r="E1427" s="7"/>
      <c r="F1427" s="7"/>
      <c r="G1427" s="9"/>
      <c r="H1427" s="9"/>
      <c r="I1427" s="9"/>
      <c r="J1427" s="7"/>
      <c r="K1427" s="7"/>
    </row>
    <row r="1428" customFormat="false" ht="15" hidden="false" customHeight="true" outlineLevel="0" collapsed="false">
      <c r="A1428" s="14"/>
      <c r="B1428" s="7"/>
      <c r="C1428" s="7"/>
      <c r="D1428" s="7"/>
      <c r="E1428" s="7"/>
      <c r="F1428" s="7"/>
      <c r="G1428" s="9"/>
      <c r="H1428" s="9"/>
      <c r="I1428" s="9"/>
      <c r="J1428" s="7"/>
      <c r="K1428" s="7"/>
    </row>
    <row r="1429" customFormat="false" ht="15" hidden="false" customHeight="true" outlineLevel="0" collapsed="false">
      <c r="A1429" s="14"/>
      <c r="B1429" s="7"/>
      <c r="C1429" s="7"/>
      <c r="D1429" s="7"/>
      <c r="E1429" s="7"/>
      <c r="F1429" s="7"/>
      <c r="G1429" s="9"/>
      <c r="H1429" s="9"/>
      <c r="I1429" s="9"/>
      <c r="J1429" s="7"/>
      <c r="K1429" s="7"/>
    </row>
    <row r="1430" customFormat="false" ht="15" hidden="false" customHeight="true" outlineLevel="0" collapsed="false">
      <c r="A1430" s="14"/>
      <c r="B1430" s="7"/>
      <c r="C1430" s="7"/>
      <c r="D1430" s="7"/>
      <c r="E1430" s="7"/>
      <c r="F1430" s="7"/>
      <c r="G1430" s="9"/>
      <c r="H1430" s="9"/>
      <c r="I1430" s="9"/>
      <c r="J1430" s="7"/>
      <c r="K1430" s="7"/>
    </row>
    <row r="1431" customFormat="false" ht="15" hidden="false" customHeight="true" outlineLevel="0" collapsed="false">
      <c r="A1431" s="14"/>
      <c r="B1431" s="7"/>
      <c r="C1431" s="7"/>
      <c r="D1431" s="7"/>
      <c r="E1431" s="7"/>
      <c r="F1431" s="7"/>
      <c r="G1431" s="9"/>
      <c r="H1431" s="9"/>
      <c r="I1431" s="9"/>
      <c r="J1431" s="7"/>
      <c r="K1431" s="7"/>
    </row>
    <row r="1432" customFormat="false" ht="15" hidden="false" customHeight="true" outlineLevel="0" collapsed="false">
      <c r="A1432" s="14"/>
      <c r="B1432" s="7"/>
      <c r="C1432" s="7"/>
      <c r="D1432" s="7"/>
      <c r="E1432" s="7"/>
      <c r="F1432" s="7"/>
      <c r="G1432" s="9"/>
      <c r="H1432" s="9"/>
      <c r="I1432" s="9"/>
      <c r="J1432" s="7"/>
      <c r="K1432" s="7"/>
    </row>
    <row r="1433" customFormat="false" ht="15" hidden="false" customHeight="true" outlineLevel="0" collapsed="false">
      <c r="A1433" s="14"/>
      <c r="B1433" s="7"/>
      <c r="C1433" s="7"/>
      <c r="D1433" s="7"/>
      <c r="E1433" s="7"/>
      <c r="F1433" s="7"/>
      <c r="G1433" s="9"/>
      <c r="H1433" s="9"/>
      <c r="I1433" s="9"/>
      <c r="J1433" s="7"/>
      <c r="K1433" s="7"/>
    </row>
    <row r="1434" customFormat="false" ht="15" hidden="false" customHeight="true" outlineLevel="0" collapsed="false">
      <c r="A1434" s="14"/>
      <c r="B1434" s="7"/>
      <c r="C1434" s="7"/>
      <c r="D1434" s="7"/>
      <c r="E1434" s="7"/>
      <c r="F1434" s="7"/>
      <c r="G1434" s="9"/>
      <c r="H1434" s="9"/>
      <c r="I1434" s="9"/>
      <c r="J1434" s="7"/>
      <c r="K1434" s="7"/>
    </row>
    <row r="1435" customFormat="false" ht="15" hidden="false" customHeight="true" outlineLevel="0" collapsed="false">
      <c r="A1435" s="14"/>
      <c r="B1435" s="7"/>
      <c r="C1435" s="7"/>
      <c r="D1435" s="7"/>
      <c r="E1435" s="7"/>
      <c r="F1435" s="7"/>
      <c r="G1435" s="9"/>
      <c r="H1435" s="9"/>
      <c r="I1435" s="9"/>
      <c r="J1435" s="7"/>
      <c r="K1435" s="7"/>
    </row>
    <row r="1436" customFormat="false" ht="15" hidden="false" customHeight="true" outlineLevel="0" collapsed="false">
      <c r="A1436" s="14"/>
      <c r="B1436" s="7"/>
      <c r="C1436" s="7"/>
      <c r="D1436" s="7"/>
      <c r="E1436" s="7"/>
      <c r="F1436" s="7"/>
      <c r="G1436" s="9"/>
      <c r="H1436" s="9"/>
      <c r="I1436" s="9"/>
      <c r="J1436" s="7"/>
      <c r="K1436" s="7"/>
    </row>
    <row r="1437" customFormat="false" ht="15" hidden="false" customHeight="true" outlineLevel="0" collapsed="false">
      <c r="A1437" s="14"/>
      <c r="B1437" s="7"/>
      <c r="C1437" s="7"/>
      <c r="D1437" s="7"/>
      <c r="E1437" s="7"/>
      <c r="F1437" s="7"/>
      <c r="G1437" s="9"/>
      <c r="H1437" s="9"/>
      <c r="I1437" s="9"/>
      <c r="J1437" s="7"/>
      <c r="K1437" s="7"/>
    </row>
    <row r="1438" customFormat="false" ht="15" hidden="false" customHeight="true" outlineLevel="0" collapsed="false">
      <c r="A1438" s="14"/>
      <c r="B1438" s="7"/>
      <c r="C1438" s="7"/>
      <c r="D1438" s="7"/>
      <c r="E1438" s="7"/>
      <c r="F1438" s="7"/>
      <c r="G1438" s="9"/>
      <c r="H1438" s="9"/>
      <c r="I1438" s="9"/>
      <c r="J1438" s="7"/>
      <c r="K1438" s="7"/>
    </row>
    <row r="1439" customFormat="false" ht="15" hidden="false" customHeight="true" outlineLevel="0" collapsed="false">
      <c r="A1439" s="14"/>
      <c r="B1439" s="7"/>
      <c r="C1439" s="7"/>
      <c r="D1439" s="7"/>
      <c r="E1439" s="7"/>
      <c r="F1439" s="7"/>
      <c r="G1439" s="9"/>
      <c r="H1439" s="9"/>
      <c r="I1439" s="9"/>
      <c r="J1439" s="7"/>
      <c r="K1439" s="7"/>
    </row>
    <row r="1440" customFormat="false" ht="15" hidden="false" customHeight="true" outlineLevel="0" collapsed="false">
      <c r="A1440" s="14"/>
      <c r="B1440" s="7"/>
      <c r="C1440" s="7"/>
      <c r="D1440" s="7"/>
      <c r="E1440" s="7"/>
      <c r="F1440" s="7"/>
      <c r="G1440" s="9"/>
      <c r="H1440" s="9"/>
      <c r="I1440" s="9"/>
      <c r="J1440" s="7"/>
      <c r="K1440" s="7"/>
    </row>
    <row r="1441" customFormat="false" ht="15" hidden="false" customHeight="true" outlineLevel="0" collapsed="false">
      <c r="A1441" s="14"/>
      <c r="B1441" s="7"/>
      <c r="C1441" s="7"/>
      <c r="D1441" s="7"/>
      <c r="E1441" s="7"/>
      <c r="F1441" s="7"/>
      <c r="G1441" s="9"/>
      <c r="H1441" s="9"/>
      <c r="I1441" s="9"/>
      <c r="J1441" s="7"/>
      <c r="K1441" s="7"/>
    </row>
    <row r="1442" customFormat="false" ht="15" hidden="false" customHeight="true" outlineLevel="0" collapsed="false">
      <c r="A1442" s="14"/>
      <c r="B1442" s="7"/>
      <c r="C1442" s="7"/>
      <c r="D1442" s="7"/>
      <c r="E1442" s="7"/>
      <c r="F1442" s="7"/>
      <c r="G1442" s="9"/>
      <c r="H1442" s="9"/>
      <c r="I1442" s="9"/>
      <c r="J1442" s="7"/>
      <c r="K1442" s="7"/>
    </row>
    <row r="1443" customFormat="false" ht="15" hidden="false" customHeight="true" outlineLevel="0" collapsed="false">
      <c r="A1443" s="14"/>
      <c r="B1443" s="7"/>
      <c r="C1443" s="7"/>
      <c r="D1443" s="7"/>
      <c r="E1443" s="7"/>
      <c r="F1443" s="7"/>
      <c r="G1443" s="9"/>
      <c r="H1443" s="9"/>
      <c r="I1443" s="9"/>
      <c r="J1443" s="7"/>
      <c r="K1443" s="7"/>
    </row>
    <row r="1444" customFormat="false" ht="15" hidden="false" customHeight="true" outlineLevel="0" collapsed="false">
      <c r="A1444" s="14"/>
      <c r="B1444" s="7"/>
      <c r="C1444" s="7"/>
      <c r="D1444" s="7"/>
      <c r="E1444" s="7"/>
      <c r="F1444" s="7"/>
      <c r="G1444" s="9"/>
      <c r="H1444" s="9"/>
      <c r="I1444" s="9"/>
      <c r="J1444" s="7"/>
      <c r="K1444" s="7"/>
    </row>
    <row r="1445" customFormat="false" ht="15" hidden="false" customHeight="true" outlineLevel="0" collapsed="false">
      <c r="A1445" s="14"/>
      <c r="B1445" s="7"/>
      <c r="C1445" s="7"/>
      <c r="D1445" s="7"/>
      <c r="E1445" s="7"/>
      <c r="F1445" s="7"/>
      <c r="G1445" s="9"/>
      <c r="H1445" s="9"/>
      <c r="I1445" s="9"/>
      <c r="J1445" s="7"/>
      <c r="K1445" s="7"/>
    </row>
    <row r="1446" customFormat="false" ht="15" hidden="false" customHeight="true" outlineLevel="0" collapsed="false">
      <c r="A1446" s="14"/>
      <c r="B1446" s="7"/>
      <c r="C1446" s="7"/>
      <c r="D1446" s="7"/>
      <c r="E1446" s="7"/>
      <c r="F1446" s="7"/>
      <c r="G1446" s="9"/>
      <c r="H1446" s="9"/>
      <c r="I1446" s="9"/>
      <c r="J1446" s="7"/>
      <c r="K1446" s="7"/>
    </row>
    <row r="1447" customFormat="false" ht="15" hidden="false" customHeight="true" outlineLevel="0" collapsed="false">
      <c r="A1447" s="14"/>
      <c r="B1447" s="7"/>
      <c r="C1447" s="7"/>
      <c r="D1447" s="7"/>
      <c r="E1447" s="7"/>
      <c r="F1447" s="7"/>
      <c r="G1447" s="9"/>
      <c r="H1447" s="9"/>
      <c r="I1447" s="9"/>
      <c r="J1447" s="7"/>
      <c r="K1447" s="7"/>
    </row>
    <row r="1448" customFormat="false" ht="15" hidden="false" customHeight="true" outlineLevel="0" collapsed="false">
      <c r="A1448" s="14"/>
      <c r="B1448" s="7"/>
      <c r="C1448" s="7"/>
      <c r="D1448" s="7"/>
      <c r="E1448" s="7"/>
      <c r="F1448" s="7"/>
      <c r="G1448" s="9"/>
      <c r="H1448" s="9"/>
      <c r="I1448" s="9"/>
      <c r="J1448" s="7"/>
      <c r="K1448" s="7"/>
    </row>
    <row r="1449" customFormat="false" ht="15" hidden="false" customHeight="true" outlineLevel="0" collapsed="false">
      <c r="A1449" s="14"/>
      <c r="B1449" s="7"/>
      <c r="C1449" s="7"/>
      <c r="D1449" s="7"/>
      <c r="E1449" s="7"/>
      <c r="F1449" s="7"/>
      <c r="G1449" s="9"/>
      <c r="H1449" s="9"/>
      <c r="I1449" s="9"/>
      <c r="J1449" s="7"/>
      <c r="K1449" s="7"/>
    </row>
    <row r="1450" customFormat="false" ht="15" hidden="false" customHeight="true" outlineLevel="0" collapsed="false">
      <c r="A1450" s="14"/>
      <c r="B1450" s="7"/>
      <c r="C1450" s="7"/>
      <c r="D1450" s="7"/>
      <c r="E1450" s="7"/>
      <c r="F1450" s="7"/>
      <c r="G1450" s="9"/>
      <c r="H1450" s="9"/>
      <c r="I1450" s="9"/>
      <c r="J1450" s="7"/>
      <c r="K1450" s="7"/>
    </row>
    <row r="1451" customFormat="false" ht="15" hidden="false" customHeight="true" outlineLevel="0" collapsed="false">
      <c r="A1451" s="14"/>
      <c r="B1451" s="7"/>
      <c r="C1451" s="7"/>
      <c r="D1451" s="7"/>
      <c r="E1451" s="7"/>
      <c r="F1451" s="7"/>
      <c r="G1451" s="9"/>
      <c r="H1451" s="9"/>
      <c r="I1451" s="9"/>
      <c r="J1451" s="7"/>
      <c r="K1451" s="7"/>
    </row>
    <row r="1452" customFormat="false" ht="15" hidden="false" customHeight="true" outlineLevel="0" collapsed="false">
      <c r="A1452" s="14"/>
      <c r="B1452" s="7"/>
      <c r="C1452" s="7"/>
      <c r="D1452" s="7"/>
      <c r="E1452" s="7"/>
      <c r="F1452" s="7"/>
      <c r="G1452" s="9"/>
      <c r="H1452" s="9"/>
      <c r="I1452" s="9"/>
      <c r="J1452" s="7"/>
      <c r="K1452" s="7"/>
    </row>
    <row r="1453" customFormat="false" ht="15" hidden="false" customHeight="true" outlineLevel="0" collapsed="false">
      <c r="A1453" s="14"/>
      <c r="B1453" s="7"/>
      <c r="C1453" s="7"/>
      <c r="D1453" s="7"/>
      <c r="E1453" s="7"/>
      <c r="F1453" s="7"/>
      <c r="G1453" s="9"/>
      <c r="H1453" s="9"/>
      <c r="I1453" s="9"/>
      <c r="J1453" s="7"/>
      <c r="K1453" s="7"/>
    </row>
    <row r="1454" customFormat="false" ht="15" hidden="false" customHeight="true" outlineLevel="0" collapsed="false">
      <c r="A1454" s="14"/>
      <c r="B1454" s="7"/>
      <c r="C1454" s="7"/>
      <c r="D1454" s="7"/>
      <c r="E1454" s="7"/>
      <c r="F1454" s="7"/>
      <c r="G1454" s="9"/>
      <c r="H1454" s="9"/>
      <c r="I1454" s="9"/>
      <c r="J1454" s="7"/>
      <c r="K1454" s="7"/>
    </row>
    <row r="1455" customFormat="false" ht="15" hidden="false" customHeight="true" outlineLevel="0" collapsed="false">
      <c r="A1455" s="14"/>
      <c r="B1455" s="7"/>
      <c r="C1455" s="7"/>
      <c r="D1455" s="7"/>
      <c r="E1455" s="7"/>
      <c r="F1455" s="7"/>
      <c r="G1455" s="9"/>
      <c r="H1455" s="9"/>
      <c r="I1455" s="9"/>
      <c r="J1455" s="7"/>
      <c r="K1455" s="7"/>
    </row>
    <row r="1456" customFormat="false" ht="15" hidden="false" customHeight="true" outlineLevel="0" collapsed="false">
      <c r="A1456" s="14"/>
      <c r="B1456" s="7"/>
      <c r="C1456" s="7"/>
      <c r="D1456" s="7"/>
      <c r="E1456" s="7"/>
      <c r="F1456" s="7"/>
      <c r="G1456" s="9"/>
      <c r="H1456" s="9"/>
      <c r="I1456" s="9"/>
      <c r="J1456" s="7"/>
      <c r="K1456" s="7"/>
    </row>
    <row r="1457" customFormat="false" ht="15" hidden="false" customHeight="true" outlineLevel="0" collapsed="false">
      <c r="A1457" s="14"/>
      <c r="B1457" s="7"/>
      <c r="C1457" s="7"/>
      <c r="D1457" s="7"/>
      <c r="E1457" s="7"/>
      <c r="F1457" s="7"/>
      <c r="G1457" s="9"/>
      <c r="H1457" s="9"/>
      <c r="I1457" s="9"/>
      <c r="J1457" s="7"/>
      <c r="K1457" s="7"/>
    </row>
    <row r="1458" customFormat="false" ht="15" hidden="false" customHeight="true" outlineLevel="0" collapsed="false">
      <c r="A1458" s="14"/>
      <c r="B1458" s="7"/>
      <c r="C1458" s="7"/>
      <c r="D1458" s="7"/>
      <c r="E1458" s="7"/>
      <c r="F1458" s="7"/>
      <c r="G1458" s="9"/>
      <c r="H1458" s="9"/>
      <c r="I1458" s="9"/>
      <c r="J1458" s="7"/>
      <c r="K1458" s="7"/>
    </row>
    <row r="1459" customFormat="false" ht="15" hidden="false" customHeight="true" outlineLevel="0" collapsed="false">
      <c r="A1459" s="14"/>
      <c r="B1459" s="7"/>
      <c r="C1459" s="7"/>
      <c r="D1459" s="7"/>
      <c r="E1459" s="7"/>
      <c r="F1459" s="7"/>
      <c r="G1459" s="9"/>
      <c r="H1459" s="9"/>
      <c r="I1459" s="9"/>
      <c r="J1459" s="7"/>
      <c r="K1459" s="7"/>
    </row>
    <row r="1460" customFormat="false" ht="15" hidden="false" customHeight="true" outlineLevel="0" collapsed="false">
      <c r="A1460" s="14"/>
      <c r="B1460" s="7"/>
      <c r="C1460" s="7"/>
      <c r="D1460" s="7"/>
      <c r="E1460" s="7"/>
      <c r="F1460" s="7"/>
      <c r="G1460" s="9"/>
      <c r="H1460" s="9"/>
      <c r="I1460" s="9"/>
      <c r="J1460" s="7"/>
      <c r="K1460" s="7"/>
    </row>
    <row r="1461" customFormat="false" ht="15" hidden="false" customHeight="true" outlineLevel="0" collapsed="false">
      <c r="A1461" s="14"/>
      <c r="B1461" s="7"/>
      <c r="C1461" s="7"/>
      <c r="D1461" s="7"/>
      <c r="E1461" s="7"/>
      <c r="F1461" s="7"/>
      <c r="G1461" s="9"/>
      <c r="H1461" s="9"/>
      <c r="I1461" s="9"/>
      <c r="J1461" s="7"/>
      <c r="K1461" s="7"/>
    </row>
    <row r="1462" customFormat="false" ht="15" hidden="false" customHeight="true" outlineLevel="0" collapsed="false">
      <c r="A1462" s="14"/>
      <c r="B1462" s="7"/>
      <c r="C1462" s="7"/>
      <c r="D1462" s="7"/>
      <c r="E1462" s="7"/>
      <c r="F1462" s="7"/>
      <c r="G1462" s="9"/>
      <c r="H1462" s="9"/>
      <c r="I1462" s="9"/>
      <c r="J1462" s="7"/>
      <c r="K1462" s="7"/>
    </row>
    <row r="1463" customFormat="false" ht="15" hidden="false" customHeight="true" outlineLevel="0" collapsed="false">
      <c r="A1463" s="14"/>
      <c r="B1463" s="7"/>
      <c r="C1463" s="7"/>
      <c r="D1463" s="7"/>
      <c r="E1463" s="7"/>
      <c r="F1463" s="7"/>
      <c r="G1463" s="9"/>
      <c r="H1463" s="9"/>
      <c r="I1463" s="9"/>
      <c r="J1463" s="7"/>
      <c r="K1463" s="7"/>
    </row>
    <row r="1464" customFormat="false" ht="15" hidden="false" customHeight="true" outlineLevel="0" collapsed="false">
      <c r="A1464" s="14"/>
      <c r="B1464" s="7"/>
      <c r="C1464" s="7"/>
      <c r="D1464" s="7"/>
      <c r="E1464" s="7"/>
      <c r="F1464" s="7"/>
      <c r="G1464" s="9"/>
      <c r="H1464" s="9"/>
      <c r="I1464" s="9"/>
      <c r="J1464" s="7"/>
      <c r="K1464" s="7"/>
    </row>
    <row r="1465" customFormat="false" ht="15" hidden="false" customHeight="true" outlineLevel="0" collapsed="false">
      <c r="A1465" s="14"/>
      <c r="B1465" s="7"/>
      <c r="C1465" s="7"/>
      <c r="D1465" s="7"/>
      <c r="E1465" s="7"/>
      <c r="F1465" s="7"/>
      <c r="G1465" s="9"/>
      <c r="H1465" s="9"/>
      <c r="I1465" s="9"/>
      <c r="J1465" s="7"/>
      <c r="K1465" s="7"/>
    </row>
    <row r="1466" customFormat="false" ht="15" hidden="false" customHeight="true" outlineLevel="0" collapsed="false">
      <c r="A1466" s="14"/>
      <c r="B1466" s="7"/>
      <c r="C1466" s="7"/>
      <c r="D1466" s="7"/>
      <c r="E1466" s="7"/>
      <c r="F1466" s="7"/>
      <c r="G1466" s="9"/>
      <c r="H1466" s="9"/>
      <c r="I1466" s="9"/>
      <c r="J1466" s="7"/>
      <c r="K1466" s="7"/>
    </row>
    <row r="1467" customFormat="false" ht="15" hidden="false" customHeight="true" outlineLevel="0" collapsed="false">
      <c r="A1467" s="14"/>
      <c r="B1467" s="7"/>
      <c r="C1467" s="7"/>
      <c r="D1467" s="7"/>
      <c r="E1467" s="7"/>
      <c r="F1467" s="7"/>
      <c r="G1467" s="9"/>
      <c r="H1467" s="9"/>
      <c r="I1467" s="9"/>
      <c r="J1467" s="7"/>
      <c r="K1467" s="7"/>
    </row>
    <row r="1468" customFormat="false" ht="15" hidden="false" customHeight="true" outlineLevel="0" collapsed="false">
      <c r="A1468" s="14"/>
      <c r="B1468" s="7"/>
      <c r="C1468" s="7"/>
      <c r="D1468" s="7"/>
      <c r="E1468" s="7"/>
      <c r="F1468" s="7"/>
      <c r="G1468" s="9"/>
      <c r="H1468" s="9"/>
      <c r="I1468" s="9"/>
      <c r="J1468" s="7"/>
      <c r="K1468" s="7"/>
    </row>
    <row r="1469" customFormat="false" ht="15" hidden="false" customHeight="true" outlineLevel="0" collapsed="false">
      <c r="A1469" s="14"/>
      <c r="B1469" s="7"/>
      <c r="C1469" s="7"/>
      <c r="D1469" s="7"/>
      <c r="E1469" s="7"/>
      <c r="F1469" s="7"/>
      <c r="G1469" s="9"/>
      <c r="H1469" s="9"/>
      <c r="I1469" s="9"/>
      <c r="J1469" s="7"/>
      <c r="K1469" s="7"/>
    </row>
    <row r="1470" customFormat="false" ht="15" hidden="false" customHeight="true" outlineLevel="0" collapsed="false">
      <c r="A1470" s="14"/>
      <c r="B1470" s="7"/>
      <c r="C1470" s="7"/>
      <c r="D1470" s="7"/>
      <c r="E1470" s="7"/>
      <c r="F1470" s="7"/>
      <c r="G1470" s="9"/>
      <c r="H1470" s="9"/>
      <c r="I1470" s="9"/>
      <c r="J1470" s="7"/>
      <c r="K1470" s="7"/>
    </row>
    <row r="1471" customFormat="false" ht="15" hidden="false" customHeight="true" outlineLevel="0" collapsed="false">
      <c r="A1471" s="14"/>
      <c r="B1471" s="7"/>
      <c r="C1471" s="7"/>
      <c r="D1471" s="7"/>
      <c r="E1471" s="7"/>
      <c r="F1471" s="7"/>
      <c r="G1471" s="9"/>
      <c r="H1471" s="9"/>
      <c r="I1471" s="9"/>
      <c r="J1471" s="7"/>
      <c r="K1471" s="7"/>
    </row>
    <row r="1472" customFormat="false" ht="15" hidden="false" customHeight="true" outlineLevel="0" collapsed="false">
      <c r="A1472" s="14"/>
      <c r="B1472" s="7"/>
      <c r="C1472" s="7"/>
      <c r="D1472" s="7"/>
      <c r="E1472" s="7"/>
      <c r="F1472" s="7"/>
      <c r="G1472" s="9"/>
      <c r="H1472" s="9"/>
      <c r="I1472" s="9"/>
      <c r="J1472" s="7"/>
      <c r="K1472" s="7"/>
    </row>
    <row r="1473" customFormat="false" ht="15" hidden="false" customHeight="true" outlineLevel="0" collapsed="false">
      <c r="A1473" s="14"/>
      <c r="B1473" s="7"/>
      <c r="C1473" s="7"/>
      <c r="D1473" s="7"/>
      <c r="E1473" s="7"/>
      <c r="F1473" s="7"/>
      <c r="G1473" s="9"/>
      <c r="H1473" s="9"/>
      <c r="I1473" s="9"/>
      <c r="J1473" s="7"/>
      <c r="K1473" s="7"/>
    </row>
    <row r="1474" customFormat="false" ht="15" hidden="false" customHeight="true" outlineLevel="0" collapsed="false">
      <c r="A1474" s="14"/>
      <c r="B1474" s="7"/>
      <c r="C1474" s="7"/>
      <c r="D1474" s="7"/>
      <c r="E1474" s="7"/>
      <c r="F1474" s="7"/>
      <c r="G1474" s="9"/>
      <c r="H1474" s="9"/>
      <c r="I1474" s="9"/>
      <c r="J1474" s="7"/>
      <c r="K1474" s="7"/>
    </row>
    <row r="1475" customFormat="false" ht="15" hidden="false" customHeight="true" outlineLevel="0" collapsed="false">
      <c r="A1475" s="14"/>
      <c r="B1475" s="7"/>
      <c r="C1475" s="7"/>
      <c r="D1475" s="7"/>
      <c r="E1475" s="7"/>
      <c r="F1475" s="7"/>
      <c r="G1475" s="9"/>
      <c r="H1475" s="9"/>
      <c r="I1475" s="9"/>
      <c r="J1475" s="7"/>
      <c r="K1475" s="7"/>
    </row>
    <row r="1476" customFormat="false" ht="15" hidden="false" customHeight="true" outlineLevel="0" collapsed="false">
      <c r="A1476" s="14"/>
      <c r="B1476" s="7"/>
      <c r="C1476" s="7"/>
      <c r="D1476" s="7"/>
      <c r="E1476" s="7"/>
      <c r="F1476" s="7"/>
      <c r="G1476" s="9"/>
      <c r="H1476" s="9"/>
      <c r="I1476" s="9"/>
      <c r="J1476" s="7"/>
      <c r="K1476" s="7"/>
    </row>
    <row r="1477" customFormat="false" ht="15" hidden="false" customHeight="true" outlineLevel="0" collapsed="false">
      <c r="A1477" s="14"/>
      <c r="B1477" s="7"/>
      <c r="C1477" s="7"/>
      <c r="D1477" s="7"/>
      <c r="E1477" s="7"/>
      <c r="F1477" s="7"/>
      <c r="G1477" s="9"/>
      <c r="H1477" s="9"/>
      <c r="I1477" s="9"/>
      <c r="J1477" s="7"/>
      <c r="K1477" s="7"/>
    </row>
    <row r="1478" customFormat="false" ht="15" hidden="false" customHeight="true" outlineLevel="0" collapsed="false">
      <c r="A1478" s="14"/>
      <c r="B1478" s="7"/>
      <c r="C1478" s="7"/>
      <c r="D1478" s="7"/>
      <c r="E1478" s="7"/>
      <c r="F1478" s="7"/>
      <c r="G1478" s="9"/>
      <c r="H1478" s="9"/>
      <c r="I1478" s="9"/>
      <c r="J1478" s="7"/>
      <c r="K1478" s="7"/>
    </row>
    <row r="1479" customFormat="false" ht="15" hidden="false" customHeight="true" outlineLevel="0" collapsed="false">
      <c r="A1479" s="14"/>
      <c r="B1479" s="7"/>
      <c r="C1479" s="7"/>
      <c r="D1479" s="7"/>
      <c r="E1479" s="7"/>
      <c r="F1479" s="7"/>
      <c r="G1479" s="9"/>
      <c r="H1479" s="9"/>
      <c r="I1479" s="9"/>
      <c r="J1479" s="7"/>
      <c r="K1479" s="7"/>
    </row>
    <row r="1480" customFormat="false" ht="15" hidden="false" customHeight="true" outlineLevel="0" collapsed="false">
      <c r="A1480" s="14"/>
      <c r="B1480" s="7"/>
      <c r="C1480" s="7"/>
      <c r="D1480" s="7"/>
      <c r="E1480" s="7"/>
      <c r="F1480" s="7"/>
      <c r="G1480" s="9"/>
      <c r="H1480" s="9"/>
      <c r="I1480" s="9"/>
      <c r="J1480" s="7"/>
      <c r="K1480" s="7"/>
    </row>
    <row r="1481" customFormat="false" ht="15" hidden="false" customHeight="true" outlineLevel="0" collapsed="false">
      <c r="A1481" s="14"/>
      <c r="B1481" s="7"/>
      <c r="C1481" s="7"/>
      <c r="D1481" s="7"/>
      <c r="E1481" s="7"/>
      <c r="F1481" s="7"/>
      <c r="G1481" s="9"/>
      <c r="H1481" s="9"/>
      <c r="I1481" s="9"/>
      <c r="J1481" s="7"/>
      <c r="K1481" s="7"/>
    </row>
    <row r="1482" customFormat="false" ht="15" hidden="false" customHeight="true" outlineLevel="0" collapsed="false">
      <c r="A1482" s="14"/>
      <c r="B1482" s="7"/>
      <c r="C1482" s="7"/>
      <c r="D1482" s="7"/>
      <c r="E1482" s="7"/>
      <c r="F1482" s="7"/>
      <c r="G1482" s="9"/>
      <c r="H1482" s="9"/>
      <c r="I1482" s="9"/>
      <c r="J1482" s="7"/>
      <c r="K1482" s="7"/>
    </row>
    <row r="1483" customFormat="false" ht="15" hidden="false" customHeight="true" outlineLevel="0" collapsed="false">
      <c r="A1483" s="14"/>
      <c r="B1483" s="7"/>
      <c r="C1483" s="7"/>
      <c r="D1483" s="7"/>
      <c r="E1483" s="7"/>
      <c r="F1483" s="7"/>
      <c r="G1483" s="9"/>
      <c r="H1483" s="9"/>
      <c r="I1483" s="9"/>
      <c r="J1483" s="7"/>
      <c r="K1483" s="7"/>
    </row>
    <row r="1484" customFormat="false" ht="15" hidden="false" customHeight="true" outlineLevel="0" collapsed="false">
      <c r="A1484" s="14"/>
      <c r="B1484" s="7"/>
      <c r="C1484" s="7"/>
      <c r="D1484" s="7"/>
      <c r="E1484" s="7"/>
      <c r="F1484" s="7"/>
      <c r="G1484" s="9"/>
      <c r="H1484" s="9"/>
      <c r="I1484" s="9"/>
      <c r="J1484" s="7"/>
      <c r="K1484" s="7"/>
    </row>
    <row r="1485" customFormat="false" ht="15" hidden="false" customHeight="true" outlineLevel="0" collapsed="false">
      <c r="A1485" s="14"/>
      <c r="B1485" s="7"/>
      <c r="C1485" s="7"/>
      <c r="D1485" s="7"/>
      <c r="E1485" s="7"/>
      <c r="F1485" s="7"/>
      <c r="G1485" s="9"/>
      <c r="H1485" s="9"/>
      <c r="I1485" s="9"/>
      <c r="J1485" s="7"/>
      <c r="K1485" s="7"/>
    </row>
    <row r="1486" customFormat="false" ht="15" hidden="false" customHeight="true" outlineLevel="0" collapsed="false">
      <c r="A1486" s="14"/>
      <c r="B1486" s="7"/>
      <c r="C1486" s="7"/>
      <c r="D1486" s="7"/>
      <c r="E1486" s="7"/>
      <c r="F1486" s="7"/>
      <c r="G1486" s="9"/>
      <c r="H1486" s="9"/>
      <c r="I1486" s="9"/>
      <c r="J1486" s="7"/>
      <c r="K1486" s="7"/>
    </row>
    <row r="1487" customFormat="false" ht="15" hidden="false" customHeight="true" outlineLevel="0" collapsed="false">
      <c r="A1487" s="14"/>
      <c r="B1487" s="7"/>
      <c r="C1487" s="7"/>
      <c r="D1487" s="7"/>
      <c r="E1487" s="7"/>
      <c r="F1487" s="7"/>
      <c r="G1487" s="9"/>
      <c r="H1487" s="9"/>
      <c r="I1487" s="9"/>
      <c r="J1487" s="7"/>
      <c r="K1487" s="7"/>
    </row>
    <row r="1488" customFormat="false" ht="15" hidden="false" customHeight="true" outlineLevel="0" collapsed="false">
      <c r="A1488" s="14"/>
      <c r="B1488" s="7"/>
      <c r="C1488" s="7"/>
      <c r="D1488" s="7"/>
      <c r="E1488" s="7"/>
      <c r="F1488" s="7"/>
      <c r="G1488" s="9"/>
      <c r="H1488" s="9"/>
      <c r="I1488" s="9"/>
      <c r="J1488" s="7"/>
      <c r="K1488" s="7"/>
    </row>
    <row r="1489" customFormat="false" ht="15" hidden="false" customHeight="true" outlineLevel="0" collapsed="false">
      <c r="A1489" s="14"/>
      <c r="B1489" s="7"/>
      <c r="C1489" s="7"/>
      <c r="D1489" s="7"/>
      <c r="E1489" s="7"/>
      <c r="F1489" s="7"/>
      <c r="G1489" s="9"/>
      <c r="H1489" s="9"/>
      <c r="I1489" s="9"/>
      <c r="J1489" s="7"/>
      <c r="K1489" s="7"/>
    </row>
    <row r="1490" customFormat="false" ht="15" hidden="false" customHeight="true" outlineLevel="0" collapsed="false">
      <c r="A1490" s="14"/>
      <c r="B1490" s="7"/>
      <c r="C1490" s="7"/>
      <c r="D1490" s="7"/>
      <c r="E1490" s="7"/>
      <c r="F1490" s="7"/>
      <c r="G1490" s="9"/>
      <c r="H1490" s="9"/>
      <c r="I1490" s="9"/>
      <c r="J1490" s="7"/>
      <c r="K1490" s="7"/>
    </row>
    <row r="1491" customFormat="false" ht="15" hidden="false" customHeight="true" outlineLevel="0" collapsed="false">
      <c r="A1491" s="14"/>
      <c r="B1491" s="7"/>
      <c r="C1491" s="7"/>
      <c r="D1491" s="7"/>
      <c r="E1491" s="7"/>
      <c r="F1491" s="7"/>
      <c r="G1491" s="9"/>
      <c r="H1491" s="9"/>
      <c r="I1491" s="9"/>
      <c r="J1491" s="7"/>
      <c r="K1491" s="7"/>
    </row>
    <row r="1492" customFormat="false" ht="15" hidden="false" customHeight="true" outlineLevel="0" collapsed="false">
      <c r="A1492" s="14"/>
      <c r="B1492" s="7"/>
      <c r="C1492" s="7"/>
      <c r="D1492" s="7"/>
      <c r="E1492" s="7"/>
      <c r="F1492" s="7"/>
      <c r="G1492" s="9"/>
      <c r="H1492" s="9"/>
      <c r="I1492" s="9"/>
      <c r="J1492" s="7"/>
      <c r="K1492" s="7"/>
    </row>
    <row r="1493" customFormat="false" ht="15" hidden="false" customHeight="true" outlineLevel="0" collapsed="false">
      <c r="A1493" s="14"/>
      <c r="B1493" s="7"/>
      <c r="C1493" s="7"/>
      <c r="D1493" s="7"/>
      <c r="E1493" s="7"/>
      <c r="F1493" s="7"/>
      <c r="G1493" s="9"/>
      <c r="H1493" s="9"/>
      <c r="I1493" s="9"/>
      <c r="J1493" s="7"/>
      <c r="K1493" s="7"/>
    </row>
    <row r="1494" customFormat="false" ht="15" hidden="false" customHeight="true" outlineLevel="0" collapsed="false">
      <c r="A1494" s="14"/>
      <c r="B1494" s="7"/>
      <c r="C1494" s="7"/>
      <c r="D1494" s="7"/>
      <c r="E1494" s="7"/>
      <c r="F1494" s="7"/>
      <c r="G1494" s="9"/>
      <c r="H1494" s="9"/>
      <c r="I1494" s="9"/>
      <c r="J1494" s="7"/>
      <c r="K1494" s="7"/>
    </row>
    <row r="1495" customFormat="false" ht="15" hidden="false" customHeight="true" outlineLevel="0" collapsed="false">
      <c r="A1495" s="14"/>
      <c r="B1495" s="7"/>
      <c r="C1495" s="7"/>
      <c r="D1495" s="7"/>
      <c r="E1495" s="7"/>
      <c r="F1495" s="7"/>
      <c r="G1495" s="9"/>
      <c r="H1495" s="9"/>
      <c r="I1495" s="9"/>
      <c r="J1495" s="7"/>
      <c r="K1495" s="7"/>
    </row>
    <row r="1496" customFormat="false" ht="15" hidden="false" customHeight="true" outlineLevel="0" collapsed="false">
      <c r="A1496" s="14"/>
      <c r="B1496" s="7"/>
      <c r="C1496" s="7"/>
      <c r="D1496" s="7"/>
      <c r="E1496" s="7"/>
      <c r="F1496" s="7"/>
      <c r="G1496" s="9"/>
      <c r="H1496" s="9"/>
      <c r="I1496" s="9"/>
      <c r="J1496" s="7"/>
      <c r="K1496" s="7"/>
    </row>
    <row r="1497" customFormat="false" ht="15" hidden="false" customHeight="true" outlineLevel="0" collapsed="false">
      <c r="A1497" s="14"/>
      <c r="B1497" s="7"/>
      <c r="C1497" s="7"/>
      <c r="D1497" s="7"/>
      <c r="E1497" s="7"/>
      <c r="F1497" s="7"/>
      <c r="G1497" s="9"/>
      <c r="H1497" s="9"/>
      <c r="I1497" s="9"/>
      <c r="J1497" s="7"/>
      <c r="K1497" s="7"/>
    </row>
    <row r="1498" customFormat="false" ht="15" hidden="false" customHeight="true" outlineLevel="0" collapsed="false">
      <c r="A1498" s="14"/>
      <c r="B1498" s="7"/>
      <c r="C1498" s="7"/>
      <c r="D1498" s="7"/>
      <c r="E1498" s="7"/>
      <c r="F1498" s="7"/>
      <c r="G1498" s="9"/>
      <c r="H1498" s="9"/>
      <c r="I1498" s="9"/>
      <c r="J1498" s="7"/>
      <c r="K1498" s="7"/>
    </row>
    <row r="1499" customFormat="false" ht="15" hidden="false" customHeight="true" outlineLevel="0" collapsed="false">
      <c r="A1499" s="14"/>
      <c r="B1499" s="7"/>
      <c r="C1499" s="7"/>
      <c r="D1499" s="7"/>
      <c r="E1499" s="7"/>
      <c r="F1499" s="7"/>
      <c r="G1499" s="9"/>
      <c r="H1499" s="9"/>
      <c r="I1499" s="9"/>
      <c r="J1499" s="7"/>
      <c r="K1499" s="7"/>
    </row>
    <row r="1500" customFormat="false" ht="15" hidden="false" customHeight="true" outlineLevel="0" collapsed="false">
      <c r="A1500" s="14"/>
      <c r="B1500" s="7"/>
      <c r="C1500" s="7"/>
      <c r="D1500" s="7"/>
      <c r="E1500" s="7"/>
      <c r="F1500" s="7"/>
      <c r="G1500" s="9"/>
      <c r="H1500" s="9"/>
      <c r="I1500" s="9"/>
      <c r="J1500" s="7"/>
      <c r="K1500" s="7"/>
    </row>
    <row r="1501" customFormat="false" ht="15" hidden="false" customHeight="true" outlineLevel="0" collapsed="false">
      <c r="A1501" s="14"/>
      <c r="B1501" s="7"/>
      <c r="C1501" s="7"/>
      <c r="D1501" s="7"/>
      <c r="E1501" s="7"/>
      <c r="F1501" s="7"/>
      <c r="G1501" s="9"/>
      <c r="H1501" s="9"/>
      <c r="I1501" s="9"/>
      <c r="J1501" s="7"/>
      <c r="K1501" s="7"/>
    </row>
    <row r="1502" customFormat="false" ht="15" hidden="false" customHeight="true" outlineLevel="0" collapsed="false">
      <c r="A1502" s="14"/>
      <c r="B1502" s="7"/>
      <c r="C1502" s="7"/>
      <c r="D1502" s="7"/>
      <c r="E1502" s="7"/>
      <c r="F1502" s="7"/>
      <c r="G1502" s="9"/>
      <c r="H1502" s="9"/>
      <c r="I1502" s="9"/>
      <c r="J1502" s="7"/>
      <c r="K1502" s="7"/>
    </row>
    <row r="1503" customFormat="false" ht="15" hidden="false" customHeight="true" outlineLevel="0" collapsed="false">
      <c r="A1503" s="14"/>
      <c r="B1503" s="7"/>
      <c r="C1503" s="7"/>
      <c r="D1503" s="7"/>
      <c r="E1503" s="7"/>
      <c r="F1503" s="7"/>
      <c r="G1503" s="9"/>
      <c r="H1503" s="9"/>
      <c r="I1503" s="9"/>
      <c r="J1503" s="7"/>
      <c r="K1503" s="7"/>
    </row>
    <row r="1504" customFormat="false" ht="15" hidden="false" customHeight="true" outlineLevel="0" collapsed="false">
      <c r="A1504" s="14"/>
      <c r="B1504" s="7"/>
      <c r="C1504" s="7"/>
      <c r="D1504" s="7"/>
      <c r="E1504" s="7"/>
      <c r="F1504" s="7"/>
      <c r="G1504" s="9"/>
      <c r="H1504" s="9"/>
      <c r="I1504" s="9"/>
      <c r="J1504" s="7"/>
      <c r="K1504" s="7"/>
    </row>
    <row r="1505" customFormat="false" ht="15" hidden="false" customHeight="true" outlineLevel="0" collapsed="false">
      <c r="A1505" s="14"/>
      <c r="B1505" s="7"/>
      <c r="C1505" s="7"/>
      <c r="D1505" s="7"/>
      <c r="E1505" s="7"/>
      <c r="F1505" s="7"/>
      <c r="G1505" s="9"/>
      <c r="H1505" s="9"/>
      <c r="I1505" s="9"/>
      <c r="J1505" s="7"/>
      <c r="K1505" s="7"/>
    </row>
    <row r="1506" customFormat="false" ht="15" hidden="false" customHeight="true" outlineLevel="0" collapsed="false">
      <c r="A1506" s="14"/>
      <c r="B1506" s="7"/>
      <c r="C1506" s="7"/>
      <c r="D1506" s="7"/>
      <c r="E1506" s="7"/>
      <c r="F1506" s="7"/>
      <c r="G1506" s="9"/>
      <c r="H1506" s="9"/>
      <c r="I1506" s="9"/>
      <c r="J1506" s="7"/>
      <c r="K1506" s="7"/>
    </row>
    <row r="1507" customFormat="false" ht="15" hidden="false" customHeight="true" outlineLevel="0" collapsed="false">
      <c r="A1507" s="14"/>
      <c r="B1507" s="7"/>
      <c r="C1507" s="7"/>
      <c r="D1507" s="7"/>
      <c r="E1507" s="7"/>
      <c r="F1507" s="7"/>
      <c r="G1507" s="9"/>
      <c r="H1507" s="9"/>
      <c r="I1507" s="9"/>
      <c r="J1507" s="7"/>
      <c r="K1507" s="7"/>
    </row>
    <row r="1508" customFormat="false" ht="15" hidden="false" customHeight="true" outlineLevel="0" collapsed="false">
      <c r="A1508" s="14"/>
      <c r="B1508" s="7"/>
      <c r="C1508" s="7"/>
      <c r="D1508" s="7"/>
      <c r="E1508" s="7"/>
      <c r="F1508" s="7"/>
      <c r="G1508" s="9"/>
      <c r="H1508" s="9"/>
      <c r="I1508" s="9"/>
      <c r="J1508" s="7"/>
      <c r="K1508" s="7"/>
    </row>
    <row r="1509" customFormat="false" ht="15" hidden="false" customHeight="true" outlineLevel="0" collapsed="false">
      <c r="A1509" s="14"/>
      <c r="B1509" s="7"/>
      <c r="C1509" s="7"/>
      <c r="D1509" s="7"/>
      <c r="E1509" s="7"/>
      <c r="F1509" s="7"/>
      <c r="G1509" s="9"/>
      <c r="H1509" s="9"/>
      <c r="I1509" s="9"/>
      <c r="J1509" s="7"/>
      <c r="K1509" s="7"/>
    </row>
    <row r="1510" customFormat="false" ht="15" hidden="false" customHeight="true" outlineLevel="0" collapsed="false">
      <c r="A1510" s="14"/>
      <c r="B1510" s="7"/>
      <c r="C1510" s="7"/>
      <c r="D1510" s="7"/>
      <c r="E1510" s="7"/>
      <c r="F1510" s="7"/>
      <c r="G1510" s="9"/>
      <c r="H1510" s="9"/>
      <c r="I1510" s="9"/>
      <c r="J1510" s="7"/>
      <c r="K1510" s="7"/>
    </row>
    <row r="1511" customFormat="false" ht="15" hidden="false" customHeight="true" outlineLevel="0" collapsed="false">
      <c r="A1511" s="14"/>
      <c r="B1511" s="7"/>
      <c r="C1511" s="7"/>
      <c r="D1511" s="7"/>
      <c r="E1511" s="7"/>
      <c r="F1511" s="7"/>
      <c r="G1511" s="9"/>
      <c r="H1511" s="9"/>
      <c r="I1511" s="9"/>
      <c r="J1511" s="7"/>
      <c r="K1511" s="7"/>
    </row>
    <row r="1512" customFormat="false" ht="15" hidden="false" customHeight="true" outlineLevel="0" collapsed="false">
      <c r="A1512" s="14"/>
      <c r="B1512" s="7"/>
      <c r="C1512" s="7"/>
      <c r="D1512" s="7"/>
      <c r="E1512" s="7"/>
      <c r="F1512" s="7"/>
      <c r="G1512" s="9"/>
      <c r="H1512" s="9"/>
      <c r="I1512" s="9"/>
      <c r="J1512" s="7"/>
      <c r="K1512" s="7"/>
    </row>
    <row r="1513" customFormat="false" ht="15" hidden="false" customHeight="true" outlineLevel="0" collapsed="false">
      <c r="A1513" s="14"/>
      <c r="B1513" s="7"/>
      <c r="C1513" s="7"/>
      <c r="D1513" s="7"/>
      <c r="E1513" s="7"/>
      <c r="F1513" s="7"/>
      <c r="G1513" s="9"/>
      <c r="H1513" s="9"/>
      <c r="I1513" s="9"/>
      <c r="J1513" s="7"/>
      <c r="K1513" s="7"/>
    </row>
    <row r="1514" customFormat="false" ht="15" hidden="false" customHeight="true" outlineLevel="0" collapsed="false">
      <c r="A1514" s="14"/>
      <c r="B1514" s="7"/>
      <c r="C1514" s="7"/>
      <c r="D1514" s="7"/>
      <c r="E1514" s="7"/>
      <c r="F1514" s="7"/>
      <c r="G1514" s="9"/>
      <c r="H1514" s="9"/>
      <c r="I1514" s="9"/>
      <c r="J1514" s="7"/>
      <c r="K1514" s="7"/>
    </row>
    <row r="1515" customFormat="false" ht="15" hidden="false" customHeight="true" outlineLevel="0" collapsed="false">
      <c r="A1515" s="14"/>
      <c r="B1515" s="7"/>
      <c r="C1515" s="7"/>
      <c r="D1515" s="7"/>
      <c r="E1515" s="7"/>
      <c r="F1515" s="7"/>
      <c r="G1515" s="9"/>
      <c r="H1515" s="9"/>
      <c r="I1515" s="9"/>
      <c r="J1515" s="7"/>
      <c r="K1515" s="7"/>
    </row>
    <row r="1516" customFormat="false" ht="15" hidden="false" customHeight="true" outlineLevel="0" collapsed="false">
      <c r="A1516" s="14"/>
      <c r="B1516" s="7"/>
      <c r="C1516" s="7"/>
      <c r="D1516" s="7"/>
      <c r="E1516" s="7"/>
      <c r="F1516" s="7"/>
      <c r="G1516" s="9"/>
      <c r="H1516" s="9"/>
      <c r="I1516" s="9"/>
      <c r="J1516" s="7"/>
      <c r="K1516" s="7"/>
    </row>
    <row r="1517" customFormat="false" ht="15" hidden="false" customHeight="true" outlineLevel="0" collapsed="false">
      <c r="A1517" s="14"/>
      <c r="B1517" s="7"/>
      <c r="C1517" s="7"/>
      <c r="D1517" s="7"/>
      <c r="E1517" s="7"/>
      <c r="F1517" s="7"/>
      <c r="G1517" s="9"/>
      <c r="H1517" s="9"/>
      <c r="I1517" s="9"/>
      <c r="J1517" s="7"/>
      <c r="K1517" s="7"/>
    </row>
    <row r="1518" customFormat="false" ht="15" hidden="false" customHeight="true" outlineLevel="0" collapsed="false">
      <c r="A1518" s="14"/>
      <c r="B1518" s="7"/>
      <c r="C1518" s="7"/>
      <c r="D1518" s="7"/>
      <c r="E1518" s="7"/>
      <c r="F1518" s="7"/>
      <c r="G1518" s="9"/>
      <c r="H1518" s="9"/>
      <c r="I1518" s="9"/>
      <c r="J1518" s="7"/>
      <c r="K1518" s="7"/>
    </row>
    <row r="1519" customFormat="false" ht="15" hidden="false" customHeight="true" outlineLevel="0" collapsed="false">
      <c r="A1519" s="14"/>
      <c r="B1519" s="7"/>
      <c r="C1519" s="7"/>
      <c r="D1519" s="7"/>
      <c r="E1519" s="7"/>
      <c r="F1519" s="7"/>
      <c r="G1519" s="9"/>
      <c r="H1519" s="9"/>
      <c r="I1519" s="9"/>
      <c r="J1519" s="7"/>
      <c r="K1519" s="7"/>
    </row>
    <row r="1520" customFormat="false" ht="15" hidden="false" customHeight="true" outlineLevel="0" collapsed="false">
      <c r="A1520" s="14"/>
      <c r="B1520" s="7"/>
      <c r="C1520" s="7"/>
      <c r="D1520" s="7"/>
      <c r="E1520" s="7"/>
      <c r="F1520" s="7"/>
      <c r="G1520" s="9"/>
      <c r="H1520" s="9"/>
      <c r="I1520" s="9"/>
      <c r="J1520" s="7"/>
      <c r="K1520" s="7"/>
    </row>
    <row r="1521" customFormat="false" ht="15" hidden="false" customHeight="true" outlineLevel="0" collapsed="false">
      <c r="A1521" s="14"/>
      <c r="B1521" s="7"/>
      <c r="C1521" s="7"/>
      <c r="D1521" s="7"/>
      <c r="E1521" s="7"/>
      <c r="F1521" s="7"/>
      <c r="G1521" s="9"/>
      <c r="H1521" s="9"/>
      <c r="I1521" s="9"/>
      <c r="J1521" s="7"/>
      <c r="K1521" s="7"/>
    </row>
    <row r="1522" customFormat="false" ht="15" hidden="false" customHeight="true" outlineLevel="0" collapsed="false">
      <c r="A1522" s="14"/>
      <c r="B1522" s="7"/>
      <c r="C1522" s="7"/>
      <c r="D1522" s="7"/>
      <c r="E1522" s="7"/>
      <c r="F1522" s="7"/>
      <c r="G1522" s="9"/>
      <c r="H1522" s="9"/>
      <c r="I1522" s="9"/>
      <c r="J1522" s="7"/>
      <c r="K1522" s="7"/>
    </row>
    <row r="1523" customFormat="false" ht="15" hidden="false" customHeight="true" outlineLevel="0" collapsed="false">
      <c r="A1523" s="14"/>
      <c r="B1523" s="7"/>
      <c r="C1523" s="7"/>
      <c r="D1523" s="7"/>
      <c r="E1523" s="7"/>
      <c r="F1523" s="7"/>
      <c r="G1523" s="9"/>
      <c r="H1523" s="9"/>
      <c r="I1523" s="9"/>
      <c r="J1523" s="7"/>
      <c r="K1523" s="7"/>
    </row>
    <row r="1524" customFormat="false" ht="15" hidden="false" customHeight="true" outlineLevel="0" collapsed="false">
      <c r="A1524" s="14"/>
      <c r="B1524" s="7"/>
      <c r="C1524" s="7"/>
      <c r="D1524" s="7"/>
      <c r="E1524" s="7"/>
      <c r="F1524" s="7"/>
      <c r="G1524" s="9"/>
      <c r="H1524" s="9"/>
      <c r="I1524" s="9"/>
      <c r="J1524" s="7"/>
      <c r="K1524" s="7"/>
    </row>
    <row r="1525" customFormat="false" ht="15" hidden="false" customHeight="true" outlineLevel="0" collapsed="false">
      <c r="A1525" s="14"/>
      <c r="B1525" s="7"/>
      <c r="C1525" s="7"/>
      <c r="D1525" s="7"/>
      <c r="E1525" s="7"/>
      <c r="F1525" s="7"/>
      <c r="G1525" s="9"/>
      <c r="H1525" s="9"/>
      <c r="I1525" s="9"/>
      <c r="J1525" s="7"/>
      <c r="K1525" s="7"/>
    </row>
    <row r="1526" customFormat="false" ht="15" hidden="false" customHeight="true" outlineLevel="0" collapsed="false">
      <c r="A1526" s="14"/>
      <c r="B1526" s="7"/>
      <c r="C1526" s="7"/>
      <c r="D1526" s="7"/>
      <c r="E1526" s="7"/>
      <c r="F1526" s="7"/>
      <c r="G1526" s="9"/>
      <c r="H1526" s="9"/>
      <c r="I1526" s="9"/>
      <c r="J1526" s="7"/>
      <c r="K1526" s="7"/>
    </row>
    <row r="1527" customFormat="false" ht="15" hidden="false" customHeight="true" outlineLevel="0" collapsed="false">
      <c r="A1527" s="14"/>
      <c r="B1527" s="7"/>
      <c r="C1527" s="7"/>
      <c r="D1527" s="7"/>
      <c r="E1527" s="7"/>
      <c r="F1527" s="7"/>
      <c r="G1527" s="9"/>
      <c r="H1527" s="9"/>
      <c r="I1527" s="9"/>
      <c r="J1527" s="7"/>
      <c r="K1527" s="7"/>
    </row>
    <row r="1528" customFormat="false" ht="15" hidden="false" customHeight="true" outlineLevel="0" collapsed="false">
      <c r="A1528" s="14"/>
      <c r="B1528" s="7"/>
      <c r="C1528" s="7"/>
      <c r="D1528" s="7"/>
      <c r="E1528" s="7"/>
      <c r="F1528" s="7"/>
      <c r="G1528" s="9"/>
      <c r="H1528" s="9"/>
      <c r="I1528" s="9"/>
      <c r="J1528" s="7"/>
      <c r="K1528" s="7"/>
    </row>
    <row r="1529" customFormat="false" ht="15" hidden="false" customHeight="true" outlineLevel="0" collapsed="false">
      <c r="A1529" s="14"/>
      <c r="B1529" s="7"/>
      <c r="C1529" s="7"/>
      <c r="D1529" s="7"/>
      <c r="E1529" s="7"/>
      <c r="F1529" s="7"/>
      <c r="G1529" s="9"/>
      <c r="H1529" s="9"/>
      <c r="I1529" s="9"/>
      <c r="J1529" s="7"/>
      <c r="K1529" s="7"/>
    </row>
    <row r="1530" customFormat="false" ht="15" hidden="false" customHeight="true" outlineLevel="0" collapsed="false">
      <c r="A1530" s="14"/>
      <c r="B1530" s="7"/>
      <c r="C1530" s="7"/>
      <c r="D1530" s="7"/>
      <c r="E1530" s="7"/>
      <c r="F1530" s="7"/>
      <c r="G1530" s="9"/>
      <c r="H1530" s="9"/>
      <c r="I1530" s="9"/>
      <c r="J1530" s="7"/>
      <c r="K1530" s="7"/>
    </row>
    <row r="1531" customFormat="false" ht="15" hidden="false" customHeight="true" outlineLevel="0" collapsed="false">
      <c r="A1531" s="14"/>
      <c r="B1531" s="7"/>
      <c r="C1531" s="7"/>
      <c r="D1531" s="7"/>
      <c r="E1531" s="7"/>
      <c r="F1531" s="7"/>
      <c r="G1531" s="9"/>
      <c r="H1531" s="9"/>
      <c r="I1531" s="9"/>
      <c r="J1531" s="7"/>
      <c r="K1531" s="7"/>
    </row>
    <row r="1532" customFormat="false" ht="15" hidden="false" customHeight="true" outlineLevel="0" collapsed="false">
      <c r="A1532" s="14"/>
      <c r="B1532" s="7"/>
      <c r="C1532" s="7"/>
      <c r="D1532" s="7"/>
      <c r="E1532" s="7"/>
      <c r="F1532" s="7"/>
      <c r="G1532" s="9"/>
      <c r="H1532" s="9"/>
      <c r="I1532" s="9"/>
      <c r="J1532" s="7"/>
      <c r="K1532" s="7"/>
    </row>
    <row r="1533" customFormat="false" ht="15" hidden="false" customHeight="true" outlineLevel="0" collapsed="false">
      <c r="A1533" s="14"/>
      <c r="B1533" s="7"/>
      <c r="C1533" s="7"/>
      <c r="D1533" s="7"/>
      <c r="E1533" s="7"/>
      <c r="F1533" s="7"/>
      <c r="G1533" s="9"/>
      <c r="H1533" s="9"/>
      <c r="I1533" s="9"/>
      <c r="J1533" s="7"/>
      <c r="K1533" s="7"/>
    </row>
    <row r="1534" customFormat="false" ht="15" hidden="false" customHeight="true" outlineLevel="0" collapsed="false">
      <c r="A1534" s="14"/>
      <c r="B1534" s="7"/>
      <c r="C1534" s="7"/>
      <c r="D1534" s="7"/>
      <c r="E1534" s="7"/>
      <c r="F1534" s="7"/>
      <c r="G1534" s="9"/>
      <c r="H1534" s="9"/>
      <c r="I1534" s="9"/>
      <c r="J1534" s="7"/>
      <c r="K1534" s="7"/>
    </row>
    <row r="1535" customFormat="false" ht="15" hidden="false" customHeight="true" outlineLevel="0" collapsed="false">
      <c r="A1535" s="14"/>
      <c r="B1535" s="7"/>
      <c r="C1535" s="7"/>
      <c r="D1535" s="7"/>
      <c r="E1535" s="7"/>
      <c r="F1535" s="7"/>
      <c r="G1535" s="9"/>
      <c r="H1535" s="9"/>
      <c r="I1535" s="9"/>
      <c r="J1535" s="7"/>
      <c r="K1535" s="7"/>
    </row>
    <row r="1536" customFormat="false" ht="15" hidden="false" customHeight="true" outlineLevel="0" collapsed="false">
      <c r="A1536" s="14"/>
      <c r="B1536" s="7"/>
      <c r="C1536" s="7"/>
      <c r="D1536" s="7"/>
      <c r="E1536" s="7"/>
      <c r="F1536" s="7"/>
      <c r="G1536" s="9"/>
      <c r="H1536" s="9"/>
      <c r="I1536" s="9"/>
      <c r="J1536" s="7"/>
      <c r="K1536" s="7"/>
    </row>
    <row r="1537" customFormat="false" ht="15" hidden="false" customHeight="true" outlineLevel="0" collapsed="false">
      <c r="A1537" s="14"/>
      <c r="B1537" s="7"/>
      <c r="C1537" s="7"/>
      <c r="D1537" s="7"/>
      <c r="E1537" s="7"/>
      <c r="F1537" s="7"/>
      <c r="G1537" s="9"/>
      <c r="H1537" s="9"/>
      <c r="I1537" s="9"/>
      <c r="J1537" s="7"/>
      <c r="K1537" s="7"/>
    </row>
    <row r="1538" customFormat="false" ht="15" hidden="false" customHeight="true" outlineLevel="0" collapsed="false">
      <c r="A1538" s="14"/>
      <c r="B1538" s="7"/>
      <c r="C1538" s="7"/>
      <c r="D1538" s="7"/>
      <c r="E1538" s="7"/>
      <c r="F1538" s="7"/>
      <c r="G1538" s="9"/>
      <c r="H1538" s="9"/>
      <c r="I1538" s="9"/>
      <c r="J1538" s="7"/>
      <c r="K1538" s="7"/>
    </row>
    <row r="1539" customFormat="false" ht="15" hidden="false" customHeight="true" outlineLevel="0" collapsed="false">
      <c r="A1539" s="14"/>
      <c r="B1539" s="7"/>
      <c r="C1539" s="7"/>
      <c r="D1539" s="7"/>
      <c r="E1539" s="7"/>
      <c r="F1539" s="7"/>
      <c r="G1539" s="9"/>
      <c r="H1539" s="9"/>
      <c r="I1539" s="9"/>
      <c r="J1539" s="7"/>
      <c r="K1539" s="7"/>
    </row>
    <row r="1540" customFormat="false" ht="15" hidden="false" customHeight="true" outlineLevel="0" collapsed="false">
      <c r="A1540" s="14"/>
      <c r="B1540" s="7"/>
      <c r="C1540" s="7"/>
      <c r="D1540" s="7"/>
      <c r="E1540" s="7"/>
      <c r="F1540" s="7"/>
      <c r="G1540" s="9"/>
      <c r="H1540" s="9"/>
      <c r="I1540" s="9"/>
      <c r="J1540" s="7"/>
      <c r="K1540" s="7"/>
    </row>
    <row r="1541" customFormat="false" ht="15" hidden="false" customHeight="true" outlineLevel="0" collapsed="false">
      <c r="A1541" s="14"/>
      <c r="B1541" s="7"/>
      <c r="C1541" s="7"/>
      <c r="D1541" s="7"/>
      <c r="E1541" s="7"/>
      <c r="F1541" s="7"/>
      <c r="G1541" s="9"/>
      <c r="H1541" s="9"/>
      <c r="I1541" s="9"/>
      <c r="J1541" s="7"/>
      <c r="K1541" s="7"/>
    </row>
    <row r="1542" customFormat="false" ht="15" hidden="false" customHeight="true" outlineLevel="0" collapsed="false">
      <c r="A1542" s="14"/>
      <c r="B1542" s="7"/>
      <c r="C1542" s="7"/>
      <c r="D1542" s="7"/>
      <c r="E1542" s="7"/>
      <c r="F1542" s="7"/>
      <c r="G1542" s="9"/>
      <c r="H1542" s="9"/>
      <c r="I1542" s="9"/>
      <c r="J1542" s="7"/>
      <c r="K1542" s="7"/>
    </row>
    <row r="1543" customFormat="false" ht="15" hidden="false" customHeight="true" outlineLevel="0" collapsed="false">
      <c r="A1543" s="14"/>
      <c r="B1543" s="7"/>
      <c r="C1543" s="7"/>
      <c r="D1543" s="7"/>
      <c r="E1543" s="7"/>
      <c r="F1543" s="7"/>
      <c r="G1543" s="9"/>
      <c r="H1543" s="9"/>
      <c r="I1543" s="9"/>
      <c r="J1543" s="7"/>
      <c r="K1543" s="7"/>
    </row>
    <row r="1544" customFormat="false" ht="15" hidden="false" customHeight="true" outlineLevel="0" collapsed="false">
      <c r="A1544" s="14"/>
      <c r="B1544" s="7"/>
      <c r="C1544" s="7"/>
      <c r="D1544" s="7"/>
      <c r="E1544" s="7"/>
      <c r="F1544" s="7"/>
      <c r="G1544" s="9"/>
      <c r="H1544" s="9"/>
      <c r="I1544" s="9"/>
      <c r="J1544" s="7"/>
      <c r="K1544" s="7"/>
    </row>
    <row r="1545" customFormat="false" ht="15" hidden="false" customHeight="true" outlineLevel="0" collapsed="false">
      <c r="A1545" s="14"/>
      <c r="B1545" s="7"/>
      <c r="C1545" s="7"/>
      <c r="D1545" s="7"/>
      <c r="E1545" s="7"/>
      <c r="F1545" s="7"/>
      <c r="G1545" s="9"/>
      <c r="H1545" s="9"/>
      <c r="I1545" s="9"/>
      <c r="J1545" s="7"/>
      <c r="K1545" s="7"/>
    </row>
    <row r="1546" customFormat="false" ht="15" hidden="false" customHeight="true" outlineLevel="0" collapsed="false">
      <c r="A1546" s="14"/>
      <c r="B1546" s="7"/>
      <c r="C1546" s="7"/>
      <c r="D1546" s="7"/>
      <c r="E1546" s="7"/>
      <c r="F1546" s="7"/>
      <c r="G1546" s="9"/>
      <c r="H1546" s="9"/>
      <c r="I1546" s="9"/>
      <c r="J1546" s="7"/>
      <c r="K1546" s="7"/>
    </row>
    <row r="1547" customFormat="false" ht="15" hidden="false" customHeight="true" outlineLevel="0" collapsed="false">
      <c r="A1547" s="14"/>
      <c r="B1547" s="7"/>
      <c r="C1547" s="7"/>
      <c r="D1547" s="7"/>
      <c r="E1547" s="7"/>
      <c r="F1547" s="7"/>
      <c r="G1547" s="9"/>
      <c r="H1547" s="9"/>
      <c r="I1547" s="9"/>
      <c r="J1547" s="7"/>
      <c r="K1547" s="7"/>
    </row>
    <row r="1548" customFormat="false" ht="15" hidden="false" customHeight="true" outlineLevel="0" collapsed="false">
      <c r="A1548" s="14"/>
      <c r="B1548" s="7"/>
      <c r="C1548" s="7"/>
      <c r="D1548" s="7"/>
      <c r="E1548" s="7"/>
      <c r="F1548" s="7"/>
      <c r="G1548" s="9"/>
      <c r="H1548" s="9"/>
      <c r="I1548" s="9"/>
      <c r="J1548" s="7"/>
      <c r="K1548" s="7"/>
    </row>
    <row r="1549" customFormat="false" ht="15" hidden="false" customHeight="true" outlineLevel="0" collapsed="false">
      <c r="A1549" s="14"/>
      <c r="B1549" s="7"/>
      <c r="C1549" s="7"/>
      <c r="D1549" s="7"/>
      <c r="E1549" s="7"/>
      <c r="F1549" s="7"/>
      <c r="G1549" s="9"/>
      <c r="H1549" s="9"/>
      <c r="I1549" s="9"/>
      <c r="J1549" s="7"/>
      <c r="K1549" s="7"/>
    </row>
    <row r="1550" customFormat="false" ht="15" hidden="false" customHeight="true" outlineLevel="0" collapsed="false">
      <c r="A1550" s="14"/>
      <c r="B1550" s="7"/>
      <c r="C1550" s="7"/>
      <c r="D1550" s="7"/>
      <c r="E1550" s="7"/>
      <c r="F1550" s="7"/>
      <c r="G1550" s="9"/>
      <c r="H1550" s="9"/>
      <c r="I1550" s="9"/>
      <c r="J1550" s="7"/>
      <c r="K1550" s="7"/>
    </row>
    <row r="1551" customFormat="false" ht="15" hidden="false" customHeight="true" outlineLevel="0" collapsed="false">
      <c r="A1551" s="14"/>
      <c r="B1551" s="7"/>
      <c r="C1551" s="7"/>
      <c r="D1551" s="7"/>
      <c r="E1551" s="7"/>
      <c r="F1551" s="7"/>
      <c r="G1551" s="9"/>
      <c r="H1551" s="9"/>
      <c r="I1551" s="9"/>
      <c r="J1551" s="7"/>
      <c r="K1551" s="7"/>
    </row>
    <row r="1552" customFormat="false" ht="15" hidden="false" customHeight="true" outlineLevel="0" collapsed="false">
      <c r="A1552" s="14"/>
      <c r="B1552" s="7"/>
      <c r="C1552" s="7"/>
      <c r="D1552" s="7"/>
      <c r="E1552" s="7"/>
      <c r="F1552" s="7"/>
      <c r="G1552" s="9"/>
      <c r="H1552" s="9"/>
      <c r="I1552" s="9"/>
      <c r="J1552" s="7"/>
      <c r="K1552" s="7"/>
    </row>
    <row r="1553" customFormat="false" ht="15" hidden="false" customHeight="true" outlineLevel="0" collapsed="false">
      <c r="A1553" s="14"/>
      <c r="B1553" s="7"/>
      <c r="C1553" s="7"/>
      <c r="D1553" s="7"/>
      <c r="E1553" s="7"/>
      <c r="F1553" s="7"/>
      <c r="G1553" s="9"/>
      <c r="H1553" s="9"/>
      <c r="I1553" s="9"/>
      <c r="J1553" s="7"/>
      <c r="K1553" s="7"/>
    </row>
    <row r="1554" customFormat="false" ht="15" hidden="false" customHeight="true" outlineLevel="0" collapsed="false">
      <c r="A1554" s="14"/>
      <c r="B1554" s="7"/>
      <c r="C1554" s="7"/>
      <c r="D1554" s="7"/>
      <c r="E1554" s="7"/>
      <c r="F1554" s="7"/>
      <c r="G1554" s="9"/>
      <c r="H1554" s="9"/>
      <c r="I1554" s="9"/>
      <c r="J1554" s="7"/>
      <c r="K1554" s="7"/>
    </row>
    <row r="1555" customFormat="false" ht="15" hidden="false" customHeight="true" outlineLevel="0" collapsed="false">
      <c r="A1555" s="14"/>
      <c r="B1555" s="7"/>
      <c r="C1555" s="7"/>
      <c r="D1555" s="7"/>
      <c r="E1555" s="7"/>
      <c r="F1555" s="7"/>
      <c r="G1555" s="9"/>
      <c r="H1555" s="9"/>
      <c r="I1555" s="9"/>
      <c r="J1555" s="7"/>
      <c r="K1555" s="7"/>
    </row>
    <row r="1556" customFormat="false" ht="15" hidden="false" customHeight="true" outlineLevel="0" collapsed="false">
      <c r="A1556" s="14"/>
      <c r="B1556" s="7"/>
      <c r="C1556" s="7"/>
      <c r="D1556" s="7"/>
      <c r="E1556" s="7"/>
      <c r="F1556" s="7"/>
      <c r="G1556" s="9"/>
      <c r="H1556" s="9"/>
      <c r="I1556" s="9"/>
      <c r="J1556" s="7"/>
      <c r="K1556" s="7"/>
    </row>
    <row r="1557" customFormat="false" ht="15" hidden="false" customHeight="true" outlineLevel="0" collapsed="false">
      <c r="A1557" s="14"/>
      <c r="B1557" s="7"/>
      <c r="C1557" s="7"/>
      <c r="D1557" s="7"/>
      <c r="E1557" s="7"/>
      <c r="F1557" s="7"/>
      <c r="G1557" s="9"/>
      <c r="H1557" s="9"/>
      <c r="I1557" s="9"/>
      <c r="J1557" s="7"/>
      <c r="K1557" s="7"/>
    </row>
    <row r="1558" customFormat="false" ht="15" hidden="false" customHeight="true" outlineLevel="0" collapsed="false">
      <c r="A1558" s="14"/>
      <c r="B1558" s="7"/>
      <c r="C1558" s="7"/>
      <c r="D1558" s="7"/>
      <c r="E1558" s="7"/>
      <c r="F1558" s="7"/>
      <c r="G1558" s="9"/>
      <c r="H1558" s="9"/>
      <c r="I1558" s="9"/>
      <c r="J1558" s="7"/>
      <c r="K1558" s="7"/>
    </row>
    <row r="1559" customFormat="false" ht="15" hidden="false" customHeight="true" outlineLevel="0" collapsed="false">
      <c r="A1559" s="14"/>
      <c r="B1559" s="7"/>
      <c r="C1559" s="7"/>
      <c r="D1559" s="7"/>
      <c r="E1559" s="7"/>
      <c r="F1559" s="7"/>
      <c r="G1559" s="9"/>
      <c r="H1559" s="9"/>
      <c r="I1559" s="9"/>
      <c r="J1559" s="7"/>
      <c r="K1559" s="7"/>
    </row>
    <row r="1560" customFormat="false" ht="15" hidden="false" customHeight="true" outlineLevel="0" collapsed="false">
      <c r="A1560" s="14"/>
      <c r="B1560" s="7"/>
      <c r="C1560" s="7"/>
      <c r="D1560" s="7"/>
      <c r="E1560" s="7"/>
      <c r="F1560" s="7"/>
      <c r="G1560" s="9"/>
      <c r="H1560" s="9"/>
      <c r="I1560" s="9"/>
      <c r="J1560" s="7"/>
      <c r="K1560" s="7"/>
    </row>
    <row r="1561" customFormat="false" ht="15" hidden="false" customHeight="true" outlineLevel="0" collapsed="false">
      <c r="A1561" s="14"/>
      <c r="B1561" s="7"/>
      <c r="C1561" s="7"/>
      <c r="D1561" s="7"/>
      <c r="E1561" s="7"/>
      <c r="F1561" s="7"/>
      <c r="G1561" s="9"/>
      <c r="H1561" s="9"/>
      <c r="I1561" s="9"/>
      <c r="J1561" s="7"/>
      <c r="K1561" s="7"/>
    </row>
    <row r="1562" customFormat="false" ht="15" hidden="false" customHeight="true" outlineLevel="0" collapsed="false">
      <c r="A1562" s="14"/>
      <c r="B1562" s="7"/>
      <c r="C1562" s="7"/>
      <c r="D1562" s="7"/>
      <c r="E1562" s="7"/>
      <c r="F1562" s="7"/>
      <c r="G1562" s="9"/>
      <c r="H1562" s="9"/>
      <c r="I1562" s="9"/>
      <c r="J1562" s="7"/>
      <c r="K1562" s="7"/>
    </row>
    <row r="1563" customFormat="false" ht="15" hidden="false" customHeight="true" outlineLevel="0" collapsed="false">
      <c r="A1563" s="14"/>
      <c r="B1563" s="7"/>
      <c r="C1563" s="7"/>
      <c r="D1563" s="7"/>
      <c r="E1563" s="7"/>
      <c r="F1563" s="7"/>
      <c r="G1563" s="9"/>
      <c r="H1563" s="9"/>
      <c r="I1563" s="9"/>
      <c r="J1563" s="7"/>
      <c r="K1563" s="7"/>
    </row>
    <row r="1564" customFormat="false" ht="15" hidden="false" customHeight="true" outlineLevel="0" collapsed="false">
      <c r="A1564" s="14"/>
      <c r="B1564" s="7"/>
      <c r="C1564" s="7"/>
      <c r="D1564" s="7"/>
      <c r="E1564" s="7"/>
      <c r="F1564" s="7"/>
      <c r="G1564" s="9"/>
      <c r="H1564" s="9"/>
      <c r="I1564" s="9"/>
      <c r="J1564" s="7"/>
      <c r="K1564" s="7"/>
    </row>
    <row r="1565" customFormat="false" ht="15" hidden="false" customHeight="true" outlineLevel="0" collapsed="false">
      <c r="A1565" s="14"/>
      <c r="B1565" s="7"/>
      <c r="C1565" s="7"/>
      <c r="D1565" s="7"/>
      <c r="E1565" s="7"/>
      <c r="F1565" s="7"/>
      <c r="G1565" s="9"/>
      <c r="H1565" s="9"/>
      <c r="I1565" s="9"/>
      <c r="J1565" s="7"/>
      <c r="K1565" s="7"/>
    </row>
    <row r="1566" customFormat="false" ht="15" hidden="false" customHeight="true" outlineLevel="0" collapsed="false">
      <c r="A1566" s="14"/>
      <c r="B1566" s="7"/>
      <c r="C1566" s="7"/>
      <c r="D1566" s="7"/>
      <c r="E1566" s="7"/>
      <c r="F1566" s="7"/>
      <c r="G1566" s="9"/>
      <c r="H1566" s="9"/>
      <c r="I1566" s="9"/>
      <c r="J1566" s="7"/>
      <c r="K1566" s="7"/>
    </row>
    <row r="1567" customFormat="false" ht="15" hidden="false" customHeight="true" outlineLevel="0" collapsed="false">
      <c r="A1567" s="14"/>
      <c r="B1567" s="7"/>
      <c r="C1567" s="7"/>
      <c r="D1567" s="7"/>
      <c r="E1567" s="7"/>
      <c r="F1567" s="7"/>
      <c r="G1567" s="9"/>
      <c r="H1567" s="9"/>
      <c r="I1567" s="9"/>
      <c r="J1567" s="7"/>
      <c r="K1567" s="7"/>
    </row>
    <row r="1568" customFormat="false" ht="15" hidden="false" customHeight="true" outlineLevel="0" collapsed="false">
      <c r="A1568" s="14"/>
      <c r="B1568" s="7"/>
      <c r="C1568" s="7"/>
      <c r="D1568" s="7"/>
      <c r="E1568" s="7"/>
      <c r="F1568" s="7"/>
      <c r="G1568" s="9"/>
      <c r="H1568" s="9"/>
      <c r="I1568" s="9"/>
      <c r="J1568" s="7"/>
      <c r="K1568" s="7"/>
    </row>
    <row r="1569" customFormat="false" ht="15" hidden="false" customHeight="true" outlineLevel="0" collapsed="false">
      <c r="A1569" s="14"/>
      <c r="B1569" s="7"/>
      <c r="C1569" s="7"/>
      <c r="D1569" s="7"/>
      <c r="E1569" s="7"/>
      <c r="F1569" s="7"/>
      <c r="G1569" s="9"/>
      <c r="H1569" s="9"/>
      <c r="I1569" s="9"/>
      <c r="J1569" s="7"/>
      <c r="K1569" s="7"/>
    </row>
    <row r="1570" customFormat="false" ht="15" hidden="false" customHeight="true" outlineLevel="0" collapsed="false">
      <c r="A1570" s="14"/>
      <c r="B1570" s="7"/>
      <c r="C1570" s="7"/>
      <c r="D1570" s="7"/>
      <c r="E1570" s="7"/>
      <c r="F1570" s="7"/>
      <c r="G1570" s="9"/>
      <c r="H1570" s="9"/>
      <c r="I1570" s="9"/>
      <c r="J1570" s="7"/>
      <c r="K1570" s="7"/>
    </row>
    <row r="1571" customFormat="false" ht="15" hidden="false" customHeight="true" outlineLevel="0" collapsed="false">
      <c r="A1571" s="14"/>
      <c r="B1571" s="7"/>
      <c r="C1571" s="7"/>
      <c r="D1571" s="7"/>
      <c r="E1571" s="7"/>
      <c r="F1571" s="7"/>
      <c r="G1571" s="9"/>
      <c r="H1571" s="9"/>
      <c r="I1571" s="9"/>
      <c r="J1571" s="7"/>
      <c r="K1571" s="7"/>
    </row>
    <row r="1572" customFormat="false" ht="15" hidden="false" customHeight="true" outlineLevel="0" collapsed="false">
      <c r="A1572" s="14"/>
      <c r="B1572" s="7"/>
      <c r="C1572" s="7"/>
      <c r="D1572" s="7"/>
      <c r="E1572" s="7"/>
      <c r="F1572" s="7"/>
      <c r="G1572" s="9"/>
      <c r="H1572" s="9"/>
      <c r="I1572" s="9"/>
      <c r="J1572" s="7"/>
      <c r="K1572" s="7"/>
    </row>
    <row r="1573" customFormat="false" ht="15" hidden="false" customHeight="true" outlineLevel="0" collapsed="false">
      <c r="A1573" s="14"/>
      <c r="B1573" s="7"/>
      <c r="C1573" s="7"/>
      <c r="D1573" s="7"/>
      <c r="E1573" s="7"/>
      <c r="F1573" s="7"/>
      <c r="G1573" s="9"/>
      <c r="H1573" s="9"/>
      <c r="I1573" s="9"/>
      <c r="J1573" s="7"/>
      <c r="K1573" s="7"/>
    </row>
    <row r="1574" customFormat="false" ht="15" hidden="false" customHeight="true" outlineLevel="0" collapsed="false">
      <c r="A1574" s="14"/>
      <c r="B1574" s="7"/>
      <c r="C1574" s="7"/>
      <c r="D1574" s="7"/>
      <c r="E1574" s="7"/>
      <c r="F1574" s="7"/>
      <c r="G1574" s="9"/>
      <c r="H1574" s="9"/>
      <c r="I1574" s="9"/>
      <c r="J1574" s="7"/>
      <c r="K1574" s="7"/>
    </row>
    <row r="1575" customFormat="false" ht="15" hidden="false" customHeight="true" outlineLevel="0" collapsed="false">
      <c r="A1575" s="14"/>
      <c r="B1575" s="7"/>
      <c r="C1575" s="7"/>
      <c r="D1575" s="7"/>
      <c r="E1575" s="7"/>
      <c r="F1575" s="7"/>
      <c r="G1575" s="9"/>
      <c r="H1575" s="9"/>
      <c r="I1575" s="9"/>
      <c r="J1575" s="7"/>
      <c r="K1575" s="7"/>
    </row>
    <row r="1576" customFormat="false" ht="15" hidden="false" customHeight="true" outlineLevel="0" collapsed="false">
      <c r="A1576" s="14"/>
      <c r="B1576" s="7"/>
      <c r="C1576" s="7"/>
      <c r="D1576" s="7"/>
      <c r="E1576" s="7"/>
      <c r="F1576" s="7"/>
      <c r="G1576" s="9"/>
      <c r="H1576" s="9"/>
      <c r="I1576" s="9"/>
      <c r="J1576" s="7"/>
      <c r="K1576" s="7"/>
    </row>
    <row r="1577" customFormat="false" ht="15" hidden="false" customHeight="true" outlineLevel="0" collapsed="false">
      <c r="A1577" s="14"/>
      <c r="B1577" s="7"/>
      <c r="C1577" s="7"/>
      <c r="D1577" s="7"/>
      <c r="E1577" s="7"/>
      <c r="F1577" s="7"/>
      <c r="G1577" s="9"/>
      <c r="H1577" s="9"/>
      <c r="I1577" s="9"/>
      <c r="J1577" s="7"/>
      <c r="K1577" s="7"/>
    </row>
    <row r="1578" customFormat="false" ht="15" hidden="false" customHeight="true" outlineLevel="0" collapsed="false">
      <c r="A1578" s="14"/>
      <c r="B1578" s="7"/>
      <c r="C1578" s="7"/>
      <c r="D1578" s="7"/>
      <c r="E1578" s="7"/>
      <c r="F1578" s="7"/>
      <c r="G1578" s="9"/>
      <c r="H1578" s="9"/>
      <c r="I1578" s="9"/>
      <c r="J1578" s="7"/>
      <c r="K1578" s="7"/>
    </row>
    <row r="1579" customFormat="false" ht="15" hidden="false" customHeight="true" outlineLevel="0" collapsed="false">
      <c r="A1579" s="14"/>
      <c r="B1579" s="7"/>
      <c r="C1579" s="7"/>
      <c r="D1579" s="7"/>
      <c r="E1579" s="7"/>
      <c r="F1579" s="7"/>
      <c r="G1579" s="9"/>
      <c r="H1579" s="9"/>
      <c r="I1579" s="9"/>
      <c r="J1579" s="7"/>
      <c r="K1579" s="7"/>
    </row>
    <row r="1580" customFormat="false" ht="15" hidden="false" customHeight="true" outlineLevel="0" collapsed="false">
      <c r="A1580" s="14"/>
      <c r="B1580" s="7"/>
      <c r="C1580" s="7"/>
      <c r="D1580" s="7"/>
      <c r="E1580" s="7"/>
      <c r="F1580" s="7"/>
      <c r="G1580" s="9"/>
      <c r="H1580" s="9"/>
      <c r="I1580" s="9"/>
      <c r="J1580" s="7"/>
      <c r="K1580" s="7"/>
    </row>
    <row r="1581" customFormat="false" ht="15" hidden="false" customHeight="true" outlineLevel="0" collapsed="false">
      <c r="A1581" s="14"/>
      <c r="B1581" s="7"/>
      <c r="C1581" s="7"/>
      <c r="D1581" s="7"/>
      <c r="E1581" s="7"/>
      <c r="F1581" s="7"/>
      <c r="G1581" s="9"/>
      <c r="H1581" s="9"/>
      <c r="I1581" s="9"/>
      <c r="J1581" s="7"/>
      <c r="K1581" s="7"/>
    </row>
    <row r="1582" customFormat="false" ht="15" hidden="false" customHeight="true" outlineLevel="0" collapsed="false">
      <c r="A1582" s="14"/>
      <c r="B1582" s="7"/>
      <c r="C1582" s="7"/>
      <c r="D1582" s="7"/>
      <c r="E1582" s="7"/>
      <c r="F1582" s="7"/>
      <c r="G1582" s="9"/>
      <c r="H1582" s="9"/>
      <c r="I1582" s="9"/>
      <c r="J1582" s="7"/>
      <c r="K1582" s="7"/>
    </row>
    <row r="1583" customFormat="false" ht="15" hidden="false" customHeight="true" outlineLevel="0" collapsed="false">
      <c r="A1583" s="14"/>
      <c r="B1583" s="7"/>
      <c r="C1583" s="7"/>
      <c r="D1583" s="7"/>
      <c r="E1583" s="7"/>
      <c r="F1583" s="7"/>
      <c r="G1583" s="9"/>
      <c r="H1583" s="9"/>
      <c r="I1583" s="9"/>
      <c r="J1583" s="7"/>
      <c r="K1583" s="7"/>
    </row>
    <row r="1584" customFormat="false" ht="15" hidden="false" customHeight="true" outlineLevel="0" collapsed="false">
      <c r="A1584" s="14"/>
      <c r="B1584" s="7"/>
      <c r="C1584" s="7"/>
      <c r="D1584" s="7"/>
      <c r="E1584" s="7"/>
      <c r="F1584" s="7"/>
      <c r="G1584" s="9"/>
      <c r="H1584" s="9"/>
      <c r="I1584" s="9"/>
      <c r="J1584" s="7"/>
      <c r="K1584" s="7"/>
    </row>
    <row r="1585" customFormat="false" ht="15" hidden="false" customHeight="true" outlineLevel="0" collapsed="false">
      <c r="A1585" s="14"/>
      <c r="B1585" s="7"/>
      <c r="C1585" s="7"/>
      <c r="D1585" s="7"/>
      <c r="E1585" s="7"/>
      <c r="F1585" s="7"/>
      <c r="G1585" s="9"/>
      <c r="H1585" s="9"/>
      <c r="I1585" s="9"/>
      <c r="J1585" s="7"/>
      <c r="K1585" s="7"/>
    </row>
    <row r="1586" customFormat="false" ht="15" hidden="false" customHeight="true" outlineLevel="0" collapsed="false">
      <c r="A1586" s="14"/>
      <c r="B1586" s="7"/>
      <c r="C1586" s="7"/>
      <c r="D1586" s="7"/>
      <c r="E1586" s="7"/>
      <c r="F1586" s="7"/>
      <c r="G1586" s="9"/>
      <c r="H1586" s="9"/>
      <c r="I1586" s="9"/>
      <c r="J1586" s="7"/>
      <c r="K1586" s="7"/>
    </row>
    <row r="1587" customFormat="false" ht="15" hidden="false" customHeight="true" outlineLevel="0" collapsed="false">
      <c r="A1587" s="14"/>
      <c r="B1587" s="7"/>
      <c r="C1587" s="7"/>
      <c r="D1587" s="7"/>
      <c r="E1587" s="7"/>
      <c r="F1587" s="7"/>
      <c r="G1587" s="9"/>
      <c r="H1587" s="9"/>
      <c r="I1587" s="9"/>
      <c r="J1587" s="7"/>
      <c r="K1587" s="7"/>
    </row>
    <row r="1588" customFormat="false" ht="15" hidden="false" customHeight="true" outlineLevel="0" collapsed="false">
      <c r="A1588" s="14"/>
      <c r="B1588" s="7"/>
      <c r="C1588" s="7"/>
      <c r="D1588" s="7"/>
      <c r="E1588" s="7"/>
      <c r="F1588" s="7"/>
      <c r="G1588" s="9"/>
      <c r="H1588" s="9"/>
      <c r="I1588" s="9"/>
      <c r="J1588" s="7"/>
      <c r="K1588" s="7"/>
    </row>
    <row r="1589" customFormat="false" ht="15" hidden="false" customHeight="true" outlineLevel="0" collapsed="false">
      <c r="A1589" s="14"/>
      <c r="B1589" s="7"/>
      <c r="C1589" s="7"/>
      <c r="D1589" s="7"/>
      <c r="E1589" s="7"/>
      <c r="F1589" s="7"/>
      <c r="G1589" s="9"/>
      <c r="H1589" s="9"/>
      <c r="I1589" s="9"/>
      <c r="J1589" s="7"/>
      <c r="K1589" s="7"/>
    </row>
    <row r="1590" customFormat="false" ht="15" hidden="false" customHeight="true" outlineLevel="0" collapsed="false">
      <c r="A1590" s="14"/>
      <c r="B1590" s="7"/>
      <c r="C1590" s="7"/>
      <c r="D1590" s="7"/>
      <c r="E1590" s="7"/>
      <c r="F1590" s="7"/>
      <c r="G1590" s="9"/>
      <c r="H1590" s="9"/>
      <c r="I1590" s="9"/>
      <c r="J1590" s="7"/>
      <c r="K1590" s="7"/>
    </row>
    <row r="1591" customFormat="false" ht="15" hidden="false" customHeight="true" outlineLevel="0" collapsed="false">
      <c r="A1591" s="14"/>
      <c r="B1591" s="7"/>
      <c r="C1591" s="7"/>
      <c r="D1591" s="7"/>
      <c r="E1591" s="7"/>
      <c r="F1591" s="7"/>
      <c r="G1591" s="9"/>
      <c r="H1591" s="9"/>
      <c r="I1591" s="9"/>
      <c r="J1591" s="7"/>
      <c r="K1591" s="7"/>
    </row>
    <row r="1592" customFormat="false" ht="15" hidden="false" customHeight="true" outlineLevel="0" collapsed="false">
      <c r="A1592" s="14"/>
      <c r="B1592" s="7"/>
      <c r="C1592" s="7"/>
      <c r="D1592" s="7"/>
      <c r="E1592" s="7"/>
      <c r="F1592" s="7"/>
      <c r="G1592" s="9"/>
      <c r="H1592" s="9"/>
      <c r="I1592" s="9"/>
      <c r="J1592" s="7"/>
      <c r="K1592" s="7"/>
    </row>
    <row r="1593" customFormat="false" ht="15" hidden="false" customHeight="true" outlineLevel="0" collapsed="false">
      <c r="A1593" s="14"/>
      <c r="B1593" s="7"/>
      <c r="C1593" s="7"/>
      <c r="D1593" s="7"/>
      <c r="E1593" s="7"/>
      <c r="F1593" s="7"/>
      <c r="G1593" s="9"/>
      <c r="H1593" s="9"/>
      <c r="I1593" s="9"/>
      <c r="J1593" s="7"/>
      <c r="K1593" s="7"/>
    </row>
    <row r="1594" customFormat="false" ht="15" hidden="false" customHeight="true" outlineLevel="0" collapsed="false">
      <c r="A1594" s="14"/>
      <c r="B1594" s="7"/>
      <c r="C1594" s="7"/>
      <c r="D1594" s="7"/>
      <c r="E1594" s="7"/>
      <c r="F1594" s="7"/>
      <c r="G1594" s="9"/>
      <c r="H1594" s="9"/>
      <c r="I1594" s="9"/>
      <c r="J1594" s="7"/>
      <c r="K1594" s="7"/>
    </row>
    <row r="1595" customFormat="false" ht="15" hidden="false" customHeight="true" outlineLevel="0" collapsed="false">
      <c r="A1595" s="14"/>
      <c r="B1595" s="7"/>
      <c r="C1595" s="7"/>
      <c r="D1595" s="7"/>
      <c r="E1595" s="7"/>
      <c r="F1595" s="7"/>
      <c r="G1595" s="9"/>
      <c r="H1595" s="9"/>
      <c r="I1595" s="9"/>
      <c r="J1595" s="7"/>
      <c r="K1595" s="7"/>
    </row>
    <row r="1596" customFormat="false" ht="15" hidden="false" customHeight="true" outlineLevel="0" collapsed="false">
      <c r="A1596" s="14"/>
      <c r="B1596" s="7"/>
      <c r="C1596" s="7"/>
      <c r="D1596" s="7"/>
      <c r="E1596" s="7"/>
      <c r="F1596" s="7"/>
      <c r="G1596" s="9"/>
      <c r="H1596" s="9"/>
      <c r="I1596" s="9"/>
      <c r="J1596" s="7"/>
      <c r="K1596" s="7"/>
    </row>
    <row r="1597" customFormat="false" ht="15" hidden="false" customHeight="true" outlineLevel="0" collapsed="false">
      <c r="A1597" s="14"/>
      <c r="B1597" s="7"/>
      <c r="C1597" s="7"/>
      <c r="D1597" s="7"/>
      <c r="E1597" s="7"/>
      <c r="F1597" s="7"/>
      <c r="G1597" s="9"/>
      <c r="H1597" s="9"/>
      <c r="I1597" s="9"/>
      <c r="J1597" s="7"/>
      <c r="K1597" s="7"/>
    </row>
    <row r="1598" customFormat="false" ht="15" hidden="false" customHeight="true" outlineLevel="0" collapsed="false">
      <c r="A1598" s="14"/>
      <c r="B1598" s="7"/>
      <c r="C1598" s="7"/>
      <c r="D1598" s="7"/>
      <c r="E1598" s="7"/>
      <c r="F1598" s="7"/>
      <c r="G1598" s="9"/>
      <c r="H1598" s="9"/>
      <c r="I1598" s="9"/>
      <c r="J1598" s="7"/>
      <c r="K1598" s="7"/>
    </row>
    <row r="1599" customFormat="false" ht="15" hidden="false" customHeight="true" outlineLevel="0" collapsed="false">
      <c r="A1599" s="14"/>
      <c r="B1599" s="7"/>
      <c r="C1599" s="7"/>
      <c r="D1599" s="7"/>
      <c r="E1599" s="7"/>
      <c r="F1599" s="7"/>
      <c r="G1599" s="9"/>
      <c r="H1599" s="9"/>
      <c r="I1599" s="9"/>
      <c r="J1599" s="7"/>
      <c r="K1599" s="7"/>
    </row>
    <row r="1600" customFormat="false" ht="15" hidden="false" customHeight="true" outlineLevel="0" collapsed="false">
      <c r="A1600" s="14"/>
      <c r="B1600" s="7"/>
      <c r="C1600" s="7"/>
      <c r="D1600" s="7"/>
      <c r="E1600" s="7"/>
      <c r="F1600" s="7"/>
      <c r="G1600" s="9"/>
      <c r="H1600" s="9"/>
      <c r="I1600" s="9"/>
      <c r="J1600" s="7"/>
      <c r="K1600" s="7"/>
    </row>
    <row r="1601" customFormat="false" ht="15" hidden="false" customHeight="true" outlineLevel="0" collapsed="false">
      <c r="A1601" s="14"/>
      <c r="B1601" s="7"/>
      <c r="C1601" s="7"/>
      <c r="D1601" s="7"/>
      <c r="E1601" s="7"/>
      <c r="F1601" s="7"/>
      <c r="G1601" s="9"/>
      <c r="H1601" s="9"/>
      <c r="I1601" s="9"/>
      <c r="J1601" s="7"/>
      <c r="K1601" s="7"/>
    </row>
    <row r="1602" customFormat="false" ht="15" hidden="false" customHeight="true" outlineLevel="0" collapsed="false">
      <c r="A1602" s="14"/>
      <c r="B1602" s="7"/>
      <c r="C1602" s="7"/>
      <c r="D1602" s="7"/>
      <c r="E1602" s="7"/>
      <c r="F1602" s="7"/>
      <c r="G1602" s="9"/>
      <c r="H1602" s="9"/>
      <c r="I1602" s="9"/>
      <c r="J1602" s="7"/>
      <c r="K1602" s="7"/>
    </row>
    <row r="1603" customFormat="false" ht="15" hidden="false" customHeight="true" outlineLevel="0" collapsed="false">
      <c r="A1603" s="14"/>
      <c r="B1603" s="7"/>
      <c r="C1603" s="7"/>
      <c r="D1603" s="7"/>
      <c r="E1603" s="7"/>
      <c r="F1603" s="7"/>
      <c r="G1603" s="9"/>
      <c r="H1603" s="9"/>
      <c r="I1603" s="9"/>
      <c r="J1603" s="7"/>
      <c r="K1603" s="7"/>
    </row>
    <row r="1604" customFormat="false" ht="15" hidden="false" customHeight="true" outlineLevel="0" collapsed="false">
      <c r="A1604" s="14"/>
      <c r="B1604" s="7"/>
      <c r="C1604" s="7"/>
      <c r="D1604" s="7"/>
      <c r="E1604" s="7"/>
      <c r="F1604" s="7"/>
      <c r="G1604" s="9"/>
      <c r="H1604" s="9"/>
      <c r="I1604" s="9"/>
      <c r="J1604" s="7"/>
      <c r="K1604" s="7"/>
    </row>
    <row r="1605" customFormat="false" ht="15" hidden="false" customHeight="true" outlineLevel="0" collapsed="false">
      <c r="A1605" s="14"/>
      <c r="B1605" s="7"/>
      <c r="C1605" s="7"/>
      <c r="D1605" s="7"/>
      <c r="E1605" s="7"/>
      <c r="F1605" s="7"/>
      <c r="G1605" s="9"/>
      <c r="H1605" s="9"/>
      <c r="I1605" s="9"/>
      <c r="J1605" s="7"/>
      <c r="K1605" s="7"/>
    </row>
    <row r="1606" customFormat="false" ht="15" hidden="false" customHeight="true" outlineLevel="0" collapsed="false">
      <c r="A1606" s="14"/>
      <c r="B1606" s="7"/>
      <c r="C1606" s="7"/>
      <c r="D1606" s="7"/>
      <c r="E1606" s="7"/>
      <c r="F1606" s="7"/>
      <c r="G1606" s="9"/>
      <c r="H1606" s="9"/>
      <c r="I1606" s="9"/>
      <c r="J1606" s="7"/>
      <c r="K1606" s="7"/>
    </row>
    <row r="1607" customFormat="false" ht="15" hidden="false" customHeight="true" outlineLevel="0" collapsed="false">
      <c r="A1607" s="14"/>
      <c r="B1607" s="7"/>
      <c r="C1607" s="7"/>
      <c r="D1607" s="7"/>
      <c r="E1607" s="7"/>
      <c r="F1607" s="7"/>
      <c r="G1607" s="9"/>
      <c r="H1607" s="9"/>
      <c r="I1607" s="9"/>
      <c r="J1607" s="7"/>
      <c r="K1607" s="7"/>
    </row>
    <row r="1608" customFormat="false" ht="15" hidden="false" customHeight="true" outlineLevel="0" collapsed="false">
      <c r="A1608" s="14"/>
      <c r="B1608" s="7"/>
      <c r="C1608" s="7"/>
      <c r="D1608" s="7"/>
      <c r="E1608" s="7"/>
      <c r="F1608" s="7"/>
      <c r="G1608" s="9"/>
      <c r="H1608" s="9"/>
      <c r="I1608" s="9"/>
      <c r="J1608" s="7"/>
      <c r="K1608" s="7"/>
    </row>
    <row r="1609" customFormat="false" ht="15" hidden="false" customHeight="true" outlineLevel="0" collapsed="false">
      <c r="A1609" s="14"/>
      <c r="B1609" s="7"/>
      <c r="C1609" s="7"/>
      <c r="D1609" s="7"/>
      <c r="E1609" s="7"/>
      <c r="F1609" s="7"/>
      <c r="G1609" s="9"/>
      <c r="H1609" s="9"/>
      <c r="I1609" s="9"/>
      <c r="J1609" s="7"/>
      <c r="K1609" s="7"/>
    </row>
    <row r="1610" customFormat="false" ht="15" hidden="false" customHeight="true" outlineLevel="0" collapsed="false">
      <c r="A1610" s="14"/>
      <c r="B1610" s="7"/>
      <c r="C1610" s="7"/>
      <c r="D1610" s="7"/>
      <c r="E1610" s="7"/>
      <c r="F1610" s="7"/>
      <c r="G1610" s="9"/>
      <c r="H1610" s="9"/>
      <c r="I1610" s="9"/>
      <c r="J1610" s="7"/>
      <c r="K1610" s="7"/>
    </row>
    <row r="1611" customFormat="false" ht="15" hidden="false" customHeight="true" outlineLevel="0" collapsed="false">
      <c r="A1611" s="14"/>
      <c r="B1611" s="7"/>
      <c r="C1611" s="7"/>
      <c r="D1611" s="7"/>
      <c r="E1611" s="7"/>
      <c r="F1611" s="7"/>
      <c r="G1611" s="9"/>
      <c r="H1611" s="9"/>
      <c r="I1611" s="9"/>
      <c r="J1611" s="7"/>
      <c r="K1611" s="7"/>
    </row>
    <row r="1612" customFormat="false" ht="15" hidden="false" customHeight="true" outlineLevel="0" collapsed="false">
      <c r="A1612" s="14"/>
      <c r="B1612" s="7"/>
      <c r="C1612" s="7"/>
      <c r="D1612" s="7"/>
      <c r="E1612" s="7"/>
      <c r="F1612" s="7"/>
      <c r="G1612" s="9"/>
      <c r="H1612" s="9"/>
      <c r="I1612" s="9"/>
      <c r="J1612" s="7"/>
      <c r="K1612" s="7"/>
    </row>
    <row r="1613" customFormat="false" ht="15" hidden="false" customHeight="true" outlineLevel="0" collapsed="false">
      <c r="A1613" s="14"/>
      <c r="B1613" s="7"/>
      <c r="C1613" s="7"/>
      <c r="D1613" s="7"/>
      <c r="E1613" s="7"/>
      <c r="F1613" s="7"/>
      <c r="G1613" s="9"/>
      <c r="H1613" s="9"/>
      <c r="I1613" s="9"/>
      <c r="J1613" s="7"/>
      <c r="K1613" s="7"/>
    </row>
    <row r="1614" customFormat="false" ht="15" hidden="false" customHeight="true" outlineLevel="0" collapsed="false">
      <c r="A1614" s="14"/>
      <c r="B1614" s="7"/>
      <c r="C1614" s="7"/>
      <c r="D1614" s="7"/>
      <c r="E1614" s="7"/>
      <c r="F1614" s="7"/>
      <c r="G1614" s="9"/>
      <c r="H1614" s="9"/>
      <c r="I1614" s="9"/>
      <c r="J1614" s="7"/>
      <c r="K1614" s="7"/>
    </row>
    <row r="1615" customFormat="false" ht="15" hidden="false" customHeight="true" outlineLevel="0" collapsed="false">
      <c r="A1615" s="14"/>
      <c r="B1615" s="7"/>
      <c r="C1615" s="7"/>
      <c r="D1615" s="7"/>
      <c r="E1615" s="7"/>
      <c r="F1615" s="7"/>
      <c r="G1615" s="9"/>
      <c r="H1615" s="9"/>
      <c r="I1615" s="9"/>
      <c r="J1615" s="7"/>
      <c r="K1615" s="7"/>
    </row>
    <row r="1616" customFormat="false" ht="15" hidden="false" customHeight="true" outlineLevel="0" collapsed="false">
      <c r="A1616" s="14"/>
      <c r="B1616" s="7"/>
      <c r="C1616" s="7"/>
      <c r="D1616" s="7"/>
      <c r="E1616" s="7"/>
      <c r="F1616" s="7"/>
      <c r="G1616" s="9"/>
      <c r="H1616" s="9"/>
      <c r="I1616" s="9"/>
      <c r="J1616" s="7"/>
      <c r="K1616" s="7"/>
    </row>
    <row r="1617" customFormat="false" ht="15" hidden="false" customHeight="true" outlineLevel="0" collapsed="false">
      <c r="A1617" s="14"/>
      <c r="B1617" s="7"/>
      <c r="C1617" s="7"/>
      <c r="D1617" s="7"/>
      <c r="E1617" s="7"/>
      <c r="F1617" s="7"/>
      <c r="G1617" s="9"/>
      <c r="H1617" s="9"/>
      <c r="I1617" s="9"/>
      <c r="J1617" s="7"/>
      <c r="K1617" s="7"/>
    </row>
    <row r="1618" customFormat="false" ht="15" hidden="false" customHeight="true" outlineLevel="0" collapsed="false">
      <c r="A1618" s="14"/>
      <c r="B1618" s="7"/>
      <c r="C1618" s="7"/>
      <c r="D1618" s="7"/>
      <c r="E1618" s="7"/>
      <c r="F1618" s="7"/>
      <c r="G1618" s="9"/>
      <c r="H1618" s="9"/>
      <c r="I1618" s="9"/>
      <c r="J1618" s="7"/>
      <c r="K1618" s="7"/>
    </row>
    <row r="1619" customFormat="false" ht="15" hidden="false" customHeight="true" outlineLevel="0" collapsed="false">
      <c r="A1619" s="14"/>
      <c r="B1619" s="7"/>
      <c r="C1619" s="7"/>
      <c r="D1619" s="7"/>
      <c r="E1619" s="7"/>
      <c r="F1619" s="7"/>
      <c r="G1619" s="9"/>
      <c r="H1619" s="9"/>
      <c r="I1619" s="9"/>
      <c r="J1619" s="7"/>
      <c r="K1619" s="7"/>
    </row>
    <row r="1620" customFormat="false" ht="15" hidden="false" customHeight="true" outlineLevel="0" collapsed="false">
      <c r="A1620" s="14"/>
      <c r="B1620" s="7"/>
      <c r="C1620" s="7"/>
      <c r="D1620" s="7"/>
      <c r="E1620" s="7"/>
      <c r="F1620" s="7"/>
      <c r="G1620" s="9"/>
      <c r="H1620" s="9"/>
      <c r="I1620" s="9"/>
      <c r="J1620" s="7"/>
      <c r="K1620" s="7"/>
    </row>
    <row r="1621" customFormat="false" ht="15" hidden="false" customHeight="true" outlineLevel="0" collapsed="false">
      <c r="A1621" s="14"/>
      <c r="B1621" s="7"/>
      <c r="C1621" s="7"/>
      <c r="D1621" s="7"/>
      <c r="E1621" s="7"/>
      <c r="F1621" s="7"/>
      <c r="G1621" s="9"/>
      <c r="H1621" s="9"/>
      <c r="I1621" s="9"/>
      <c r="J1621" s="7"/>
      <c r="K1621" s="7"/>
    </row>
    <row r="1622" customFormat="false" ht="15" hidden="false" customHeight="true" outlineLevel="0" collapsed="false">
      <c r="A1622" s="14"/>
      <c r="B1622" s="7"/>
      <c r="C1622" s="7"/>
      <c r="D1622" s="7"/>
      <c r="E1622" s="7"/>
      <c r="F1622" s="7"/>
      <c r="G1622" s="9"/>
      <c r="H1622" s="9"/>
      <c r="I1622" s="9"/>
      <c r="J1622" s="7"/>
      <c r="K1622" s="7"/>
    </row>
    <row r="1623" customFormat="false" ht="15" hidden="false" customHeight="true" outlineLevel="0" collapsed="false">
      <c r="A1623" s="14"/>
      <c r="B1623" s="7"/>
      <c r="C1623" s="7"/>
      <c r="D1623" s="7"/>
      <c r="E1623" s="7"/>
      <c r="F1623" s="7"/>
      <c r="G1623" s="9"/>
      <c r="H1623" s="9"/>
      <c r="I1623" s="9"/>
      <c r="J1623" s="7"/>
      <c r="K1623" s="7"/>
    </row>
    <row r="1624" customFormat="false" ht="15" hidden="false" customHeight="true" outlineLevel="0" collapsed="false">
      <c r="A1624" s="14"/>
      <c r="B1624" s="7"/>
      <c r="C1624" s="7"/>
      <c r="D1624" s="7"/>
      <c r="E1624" s="7"/>
      <c r="F1624" s="7"/>
      <c r="G1624" s="9"/>
      <c r="H1624" s="9"/>
      <c r="I1624" s="9"/>
      <c r="J1624" s="7"/>
      <c r="K1624" s="7"/>
    </row>
    <row r="1625" customFormat="false" ht="15" hidden="false" customHeight="true" outlineLevel="0" collapsed="false">
      <c r="A1625" s="14"/>
      <c r="B1625" s="7"/>
      <c r="C1625" s="7"/>
      <c r="D1625" s="7"/>
      <c r="E1625" s="7"/>
      <c r="F1625" s="7"/>
      <c r="G1625" s="9"/>
      <c r="H1625" s="9"/>
      <c r="I1625" s="9"/>
      <c r="J1625" s="7"/>
      <c r="K1625" s="7"/>
    </row>
    <row r="1626" customFormat="false" ht="15" hidden="false" customHeight="true" outlineLevel="0" collapsed="false">
      <c r="A1626" s="14"/>
      <c r="B1626" s="7"/>
      <c r="C1626" s="7"/>
      <c r="D1626" s="7"/>
      <c r="E1626" s="7"/>
      <c r="F1626" s="7"/>
      <c r="G1626" s="9"/>
      <c r="H1626" s="9"/>
      <c r="I1626" s="9"/>
      <c r="J1626" s="7"/>
      <c r="K1626" s="7"/>
    </row>
    <row r="1627" customFormat="false" ht="15" hidden="false" customHeight="true" outlineLevel="0" collapsed="false">
      <c r="A1627" s="14"/>
      <c r="B1627" s="7"/>
      <c r="C1627" s="7"/>
      <c r="D1627" s="7"/>
      <c r="E1627" s="7"/>
      <c r="F1627" s="7"/>
      <c r="G1627" s="9"/>
      <c r="H1627" s="9"/>
      <c r="I1627" s="9"/>
      <c r="J1627" s="7"/>
      <c r="K1627" s="7"/>
    </row>
    <row r="1628" customFormat="false" ht="15" hidden="false" customHeight="true" outlineLevel="0" collapsed="false">
      <c r="A1628" s="14"/>
      <c r="B1628" s="7"/>
      <c r="C1628" s="7"/>
      <c r="D1628" s="7"/>
      <c r="E1628" s="7"/>
      <c r="F1628" s="7"/>
      <c r="G1628" s="9"/>
      <c r="H1628" s="9"/>
      <c r="I1628" s="9"/>
      <c r="J1628" s="7"/>
      <c r="K1628" s="7"/>
    </row>
    <row r="1629" customFormat="false" ht="15" hidden="false" customHeight="true" outlineLevel="0" collapsed="false">
      <c r="A1629" s="14"/>
      <c r="B1629" s="7"/>
      <c r="C1629" s="7"/>
      <c r="D1629" s="7"/>
      <c r="E1629" s="7"/>
      <c r="F1629" s="7"/>
      <c r="G1629" s="9"/>
      <c r="H1629" s="9"/>
      <c r="I1629" s="9"/>
      <c r="J1629" s="7"/>
      <c r="K1629" s="7"/>
    </row>
    <row r="1630" customFormat="false" ht="15" hidden="false" customHeight="true" outlineLevel="0" collapsed="false">
      <c r="A1630" s="14"/>
      <c r="B1630" s="7"/>
      <c r="C1630" s="7"/>
      <c r="D1630" s="7"/>
      <c r="E1630" s="7"/>
      <c r="F1630" s="7"/>
      <c r="G1630" s="9"/>
      <c r="H1630" s="9"/>
      <c r="I1630" s="9"/>
      <c r="J1630" s="7"/>
      <c r="K1630" s="7"/>
    </row>
    <row r="1631" customFormat="false" ht="15" hidden="false" customHeight="true" outlineLevel="0" collapsed="false">
      <c r="A1631" s="14"/>
      <c r="B1631" s="7"/>
      <c r="C1631" s="7"/>
      <c r="D1631" s="7"/>
      <c r="E1631" s="7"/>
      <c r="F1631" s="7"/>
      <c r="G1631" s="9"/>
      <c r="H1631" s="9"/>
      <c r="I1631" s="9"/>
      <c r="J1631" s="7"/>
      <c r="K1631" s="7"/>
    </row>
    <row r="1632" customFormat="false" ht="15" hidden="false" customHeight="true" outlineLevel="0" collapsed="false">
      <c r="A1632" s="14"/>
      <c r="B1632" s="7"/>
      <c r="C1632" s="7"/>
      <c r="D1632" s="7"/>
      <c r="E1632" s="7"/>
      <c r="F1632" s="7"/>
      <c r="G1632" s="9"/>
      <c r="H1632" s="9"/>
      <c r="I1632" s="9"/>
      <c r="J1632" s="7"/>
      <c r="K1632" s="7"/>
    </row>
    <row r="1633" customFormat="false" ht="15" hidden="false" customHeight="true" outlineLevel="0" collapsed="false">
      <c r="A1633" s="14"/>
      <c r="B1633" s="7"/>
      <c r="C1633" s="7"/>
      <c r="D1633" s="7"/>
      <c r="E1633" s="7"/>
      <c r="F1633" s="7"/>
      <c r="G1633" s="9"/>
      <c r="H1633" s="9"/>
      <c r="I1633" s="9"/>
      <c r="J1633" s="7"/>
      <c r="K1633" s="7"/>
    </row>
    <row r="1634" customFormat="false" ht="15" hidden="false" customHeight="true" outlineLevel="0" collapsed="false">
      <c r="A1634" s="14"/>
      <c r="B1634" s="7"/>
      <c r="C1634" s="7"/>
      <c r="D1634" s="7"/>
      <c r="E1634" s="7"/>
      <c r="F1634" s="7"/>
      <c r="G1634" s="9"/>
      <c r="H1634" s="9"/>
      <c r="I1634" s="9"/>
      <c r="J1634" s="7"/>
      <c r="K1634" s="7"/>
    </row>
    <row r="1635" customFormat="false" ht="15" hidden="false" customHeight="true" outlineLevel="0" collapsed="false">
      <c r="A1635" s="14"/>
      <c r="B1635" s="7"/>
      <c r="C1635" s="7"/>
      <c r="D1635" s="7"/>
      <c r="E1635" s="7"/>
      <c r="F1635" s="7"/>
      <c r="G1635" s="9"/>
      <c r="H1635" s="9"/>
      <c r="I1635" s="9"/>
      <c r="J1635" s="7"/>
      <c r="K1635" s="7"/>
    </row>
    <row r="1636" customFormat="false" ht="15" hidden="false" customHeight="true" outlineLevel="0" collapsed="false">
      <c r="A1636" s="14"/>
      <c r="B1636" s="7"/>
      <c r="C1636" s="7"/>
      <c r="D1636" s="7"/>
      <c r="E1636" s="7"/>
      <c r="F1636" s="7"/>
      <c r="G1636" s="9"/>
      <c r="H1636" s="9"/>
      <c r="I1636" s="9"/>
      <c r="J1636" s="7"/>
      <c r="K1636" s="7"/>
    </row>
    <row r="1637" customFormat="false" ht="15" hidden="false" customHeight="true" outlineLevel="0" collapsed="false">
      <c r="A1637" s="14"/>
      <c r="B1637" s="7"/>
      <c r="C1637" s="7"/>
      <c r="D1637" s="7"/>
      <c r="E1637" s="7"/>
      <c r="F1637" s="7"/>
      <c r="G1637" s="9"/>
      <c r="H1637" s="9"/>
      <c r="I1637" s="9"/>
      <c r="J1637" s="7"/>
      <c r="K1637" s="7"/>
    </row>
    <row r="1638" customFormat="false" ht="15" hidden="false" customHeight="true" outlineLevel="0" collapsed="false">
      <c r="A1638" s="14"/>
      <c r="B1638" s="7"/>
      <c r="C1638" s="7"/>
      <c r="D1638" s="7"/>
      <c r="E1638" s="7"/>
      <c r="F1638" s="7"/>
      <c r="G1638" s="9"/>
      <c r="H1638" s="9"/>
      <c r="I1638" s="9"/>
      <c r="J1638" s="7"/>
      <c r="K1638" s="7"/>
    </row>
    <row r="1639" customFormat="false" ht="15" hidden="false" customHeight="true" outlineLevel="0" collapsed="false">
      <c r="A1639" s="14"/>
      <c r="B1639" s="7"/>
      <c r="C1639" s="7"/>
      <c r="D1639" s="7"/>
      <c r="E1639" s="7"/>
      <c r="F1639" s="7"/>
      <c r="G1639" s="9"/>
      <c r="H1639" s="9"/>
      <c r="I1639" s="9"/>
      <c r="J1639" s="7"/>
      <c r="K1639" s="7"/>
    </row>
    <row r="1640" customFormat="false" ht="15" hidden="false" customHeight="true" outlineLevel="0" collapsed="false">
      <c r="A1640" s="14"/>
      <c r="B1640" s="7"/>
      <c r="C1640" s="7"/>
      <c r="D1640" s="7"/>
      <c r="E1640" s="7"/>
      <c r="F1640" s="7"/>
      <c r="G1640" s="9"/>
      <c r="H1640" s="9"/>
      <c r="I1640" s="9"/>
      <c r="J1640" s="7"/>
      <c r="K1640" s="7"/>
    </row>
    <row r="1641" customFormat="false" ht="15" hidden="false" customHeight="true" outlineLevel="0" collapsed="false">
      <c r="A1641" s="14"/>
      <c r="B1641" s="7"/>
      <c r="C1641" s="7"/>
      <c r="D1641" s="7"/>
      <c r="E1641" s="7"/>
      <c r="F1641" s="7"/>
      <c r="G1641" s="9"/>
      <c r="H1641" s="9"/>
      <c r="I1641" s="9"/>
      <c r="J1641" s="7"/>
      <c r="K1641" s="7"/>
    </row>
    <row r="1642" customFormat="false" ht="15" hidden="false" customHeight="true" outlineLevel="0" collapsed="false">
      <c r="A1642" s="14"/>
      <c r="B1642" s="7"/>
      <c r="C1642" s="7"/>
      <c r="D1642" s="7"/>
      <c r="E1642" s="7"/>
      <c r="F1642" s="7"/>
      <c r="G1642" s="9"/>
      <c r="H1642" s="9"/>
      <c r="I1642" s="9"/>
      <c r="J1642" s="7"/>
      <c r="K1642" s="7"/>
    </row>
    <row r="1643" customFormat="false" ht="15" hidden="false" customHeight="true" outlineLevel="0" collapsed="false">
      <c r="A1643" s="14"/>
      <c r="B1643" s="7"/>
      <c r="C1643" s="7"/>
      <c r="D1643" s="7"/>
      <c r="E1643" s="7"/>
      <c r="F1643" s="7"/>
      <c r="G1643" s="9"/>
      <c r="H1643" s="9"/>
      <c r="I1643" s="9"/>
      <c r="J1643" s="7"/>
      <c r="K1643" s="7"/>
    </row>
    <row r="1644" customFormat="false" ht="15" hidden="false" customHeight="true" outlineLevel="0" collapsed="false">
      <c r="A1644" s="14"/>
      <c r="B1644" s="7"/>
      <c r="C1644" s="7"/>
      <c r="D1644" s="7"/>
      <c r="E1644" s="7"/>
      <c r="F1644" s="7"/>
      <c r="G1644" s="9"/>
      <c r="H1644" s="9"/>
      <c r="I1644" s="9"/>
      <c r="J1644" s="7"/>
      <c r="K1644" s="7"/>
    </row>
    <row r="1645" customFormat="false" ht="15" hidden="false" customHeight="true" outlineLevel="0" collapsed="false">
      <c r="A1645" s="14"/>
      <c r="B1645" s="7"/>
      <c r="C1645" s="7"/>
      <c r="D1645" s="7"/>
      <c r="E1645" s="7"/>
      <c r="F1645" s="7"/>
      <c r="G1645" s="9"/>
      <c r="H1645" s="9"/>
      <c r="I1645" s="9"/>
      <c r="J1645" s="7"/>
      <c r="K1645" s="7"/>
    </row>
    <row r="1646" customFormat="false" ht="15" hidden="false" customHeight="true" outlineLevel="0" collapsed="false">
      <c r="A1646" s="14"/>
      <c r="B1646" s="7"/>
      <c r="C1646" s="7"/>
      <c r="D1646" s="7"/>
      <c r="E1646" s="7"/>
      <c r="F1646" s="7"/>
      <c r="G1646" s="9"/>
      <c r="H1646" s="9"/>
      <c r="I1646" s="9"/>
      <c r="J1646" s="7"/>
      <c r="K1646" s="7"/>
    </row>
    <row r="1647" customFormat="false" ht="15" hidden="false" customHeight="true" outlineLevel="0" collapsed="false">
      <c r="A1647" s="14"/>
      <c r="B1647" s="7"/>
      <c r="C1647" s="7"/>
      <c r="D1647" s="7"/>
      <c r="E1647" s="7"/>
      <c r="F1647" s="7"/>
      <c r="G1647" s="9"/>
      <c r="H1647" s="9"/>
      <c r="I1647" s="9"/>
      <c r="J1647" s="7"/>
      <c r="K1647" s="7"/>
    </row>
    <row r="1648" customFormat="false" ht="15" hidden="false" customHeight="true" outlineLevel="0" collapsed="false">
      <c r="A1648" s="14"/>
      <c r="B1648" s="7"/>
      <c r="C1648" s="7"/>
      <c r="D1648" s="7"/>
      <c r="E1648" s="7"/>
      <c r="F1648" s="7"/>
      <c r="G1648" s="9"/>
      <c r="H1648" s="9"/>
      <c r="I1648" s="9"/>
      <c r="J1648" s="7"/>
      <c r="K1648" s="7"/>
    </row>
    <row r="1649" customFormat="false" ht="15" hidden="false" customHeight="true" outlineLevel="0" collapsed="false">
      <c r="A1649" s="14"/>
      <c r="B1649" s="7"/>
      <c r="C1649" s="7"/>
      <c r="D1649" s="7"/>
      <c r="E1649" s="7"/>
      <c r="F1649" s="7"/>
      <c r="G1649" s="9"/>
      <c r="H1649" s="9"/>
      <c r="I1649" s="9"/>
      <c r="J1649" s="7"/>
      <c r="K1649" s="7"/>
    </row>
    <row r="1650" customFormat="false" ht="15" hidden="false" customHeight="true" outlineLevel="0" collapsed="false">
      <c r="A1650" s="14"/>
      <c r="B1650" s="7"/>
      <c r="C1650" s="7"/>
      <c r="D1650" s="7"/>
      <c r="E1650" s="7"/>
      <c r="F1650" s="7"/>
      <c r="G1650" s="9"/>
      <c r="H1650" s="9"/>
      <c r="I1650" s="9"/>
      <c r="J1650" s="7"/>
      <c r="K1650" s="7"/>
    </row>
    <row r="1651" customFormat="false" ht="15" hidden="false" customHeight="true" outlineLevel="0" collapsed="false">
      <c r="A1651" s="14"/>
      <c r="B1651" s="7"/>
      <c r="C1651" s="7"/>
      <c r="D1651" s="7"/>
      <c r="E1651" s="7"/>
      <c r="F1651" s="7"/>
      <c r="G1651" s="9"/>
      <c r="H1651" s="9"/>
      <c r="I1651" s="9"/>
      <c r="J1651" s="7"/>
      <c r="K1651" s="7"/>
    </row>
    <row r="1652" customFormat="false" ht="15" hidden="false" customHeight="true" outlineLevel="0" collapsed="false">
      <c r="A1652" s="14"/>
      <c r="B1652" s="7"/>
      <c r="C1652" s="7"/>
      <c r="D1652" s="7"/>
      <c r="E1652" s="7"/>
      <c r="F1652" s="7"/>
      <c r="G1652" s="9"/>
      <c r="H1652" s="9"/>
      <c r="I1652" s="9"/>
      <c r="J1652" s="7"/>
      <c r="K1652" s="7"/>
    </row>
    <row r="1653" customFormat="false" ht="15" hidden="false" customHeight="true" outlineLevel="0" collapsed="false">
      <c r="A1653" s="14"/>
      <c r="B1653" s="7"/>
      <c r="C1653" s="7"/>
      <c r="D1653" s="7"/>
      <c r="E1653" s="7"/>
      <c r="F1653" s="7"/>
      <c r="G1653" s="9"/>
      <c r="H1653" s="9"/>
      <c r="I1653" s="9"/>
      <c r="J1653" s="7"/>
      <c r="K1653" s="7"/>
    </row>
    <row r="1654" customFormat="false" ht="15" hidden="false" customHeight="true" outlineLevel="0" collapsed="false">
      <c r="A1654" s="14"/>
      <c r="B1654" s="7"/>
      <c r="C1654" s="7"/>
      <c r="D1654" s="7"/>
      <c r="E1654" s="7"/>
      <c r="F1654" s="7"/>
      <c r="G1654" s="9"/>
      <c r="H1654" s="9"/>
      <c r="I1654" s="9"/>
      <c r="J1654" s="7"/>
      <c r="K1654" s="7"/>
    </row>
    <row r="1655" customFormat="false" ht="15" hidden="false" customHeight="true" outlineLevel="0" collapsed="false">
      <c r="A1655" s="14"/>
      <c r="B1655" s="7"/>
      <c r="C1655" s="7"/>
      <c r="D1655" s="7"/>
      <c r="E1655" s="7"/>
      <c r="F1655" s="7"/>
      <c r="G1655" s="9"/>
      <c r="H1655" s="9"/>
      <c r="I1655" s="9"/>
      <c r="J1655" s="7"/>
      <c r="K1655" s="7"/>
    </row>
    <row r="1656" customFormat="false" ht="15" hidden="false" customHeight="true" outlineLevel="0" collapsed="false">
      <c r="A1656" s="14"/>
      <c r="B1656" s="7"/>
      <c r="C1656" s="7"/>
      <c r="D1656" s="7"/>
      <c r="E1656" s="7"/>
      <c r="F1656" s="7"/>
      <c r="G1656" s="9"/>
      <c r="H1656" s="9"/>
      <c r="I1656" s="9"/>
      <c r="J1656" s="7"/>
      <c r="K1656" s="7"/>
    </row>
    <row r="1657" customFormat="false" ht="15" hidden="false" customHeight="true" outlineLevel="0" collapsed="false">
      <c r="A1657" s="14"/>
      <c r="B1657" s="7"/>
      <c r="C1657" s="7"/>
      <c r="D1657" s="7"/>
      <c r="E1657" s="7"/>
      <c r="F1657" s="7"/>
      <c r="G1657" s="9"/>
      <c r="H1657" s="9"/>
      <c r="I1657" s="9"/>
      <c r="J1657" s="7"/>
      <c r="K1657" s="7"/>
    </row>
    <row r="1658" customFormat="false" ht="15" hidden="false" customHeight="true" outlineLevel="0" collapsed="false">
      <c r="A1658" s="14"/>
      <c r="B1658" s="7"/>
      <c r="C1658" s="7"/>
      <c r="D1658" s="7"/>
      <c r="E1658" s="7"/>
      <c r="F1658" s="7"/>
      <c r="G1658" s="9"/>
      <c r="H1658" s="9"/>
      <c r="I1658" s="9"/>
      <c r="J1658" s="7"/>
      <c r="K1658" s="7"/>
    </row>
    <row r="1659" customFormat="false" ht="15" hidden="false" customHeight="true" outlineLevel="0" collapsed="false">
      <c r="A1659" s="14"/>
      <c r="B1659" s="7"/>
      <c r="C1659" s="7"/>
      <c r="D1659" s="7"/>
      <c r="E1659" s="7"/>
      <c r="F1659" s="7"/>
      <c r="G1659" s="9"/>
      <c r="H1659" s="9"/>
      <c r="I1659" s="9"/>
      <c r="J1659" s="7"/>
      <c r="K1659" s="7"/>
    </row>
    <row r="1660" customFormat="false" ht="15" hidden="false" customHeight="true" outlineLevel="0" collapsed="false">
      <c r="A1660" s="14"/>
      <c r="B1660" s="7"/>
      <c r="C1660" s="7"/>
      <c r="D1660" s="7"/>
      <c r="E1660" s="7"/>
      <c r="F1660" s="7"/>
      <c r="G1660" s="9"/>
      <c r="H1660" s="9"/>
      <c r="I1660" s="9"/>
      <c r="J1660" s="7"/>
      <c r="K1660" s="7"/>
    </row>
    <row r="1661" customFormat="false" ht="15" hidden="false" customHeight="true" outlineLevel="0" collapsed="false">
      <c r="A1661" s="14"/>
      <c r="B1661" s="7"/>
      <c r="C1661" s="7"/>
      <c r="D1661" s="7"/>
      <c r="E1661" s="7"/>
      <c r="F1661" s="7"/>
      <c r="G1661" s="9"/>
      <c r="H1661" s="9"/>
      <c r="I1661" s="9"/>
      <c r="J1661" s="7"/>
      <c r="K1661" s="7"/>
    </row>
    <row r="1662" customFormat="false" ht="15" hidden="false" customHeight="true" outlineLevel="0" collapsed="false">
      <c r="A1662" s="14"/>
      <c r="B1662" s="7"/>
      <c r="C1662" s="7"/>
      <c r="D1662" s="7"/>
      <c r="E1662" s="7"/>
      <c r="F1662" s="7"/>
      <c r="G1662" s="9"/>
      <c r="H1662" s="9"/>
      <c r="I1662" s="9"/>
      <c r="J1662" s="7"/>
      <c r="K1662" s="7"/>
    </row>
    <row r="1663" customFormat="false" ht="15" hidden="false" customHeight="true" outlineLevel="0" collapsed="false">
      <c r="A1663" s="14"/>
      <c r="B1663" s="7"/>
      <c r="C1663" s="7"/>
      <c r="D1663" s="7"/>
      <c r="E1663" s="7"/>
      <c r="F1663" s="7"/>
      <c r="G1663" s="9"/>
      <c r="H1663" s="9"/>
      <c r="I1663" s="9"/>
      <c r="J1663" s="7"/>
      <c r="K1663" s="7"/>
    </row>
    <row r="1664" customFormat="false" ht="15" hidden="false" customHeight="true" outlineLevel="0" collapsed="false">
      <c r="A1664" s="14"/>
      <c r="B1664" s="7"/>
      <c r="C1664" s="7"/>
      <c r="D1664" s="7"/>
      <c r="E1664" s="7"/>
      <c r="F1664" s="7"/>
      <c r="G1664" s="9"/>
      <c r="H1664" s="9"/>
      <c r="I1664" s="9"/>
      <c r="J1664" s="7"/>
      <c r="K1664" s="7"/>
    </row>
    <row r="1665" customFormat="false" ht="15" hidden="false" customHeight="true" outlineLevel="0" collapsed="false">
      <c r="A1665" s="14"/>
      <c r="B1665" s="7"/>
      <c r="C1665" s="7"/>
      <c r="D1665" s="7"/>
      <c r="E1665" s="7"/>
      <c r="F1665" s="7"/>
      <c r="G1665" s="9"/>
      <c r="H1665" s="9"/>
      <c r="I1665" s="9"/>
      <c r="J1665" s="7"/>
      <c r="K1665" s="7"/>
    </row>
    <row r="1666" customFormat="false" ht="15" hidden="false" customHeight="true" outlineLevel="0" collapsed="false">
      <c r="A1666" s="14"/>
      <c r="B1666" s="7"/>
      <c r="C1666" s="7"/>
      <c r="D1666" s="7"/>
      <c r="E1666" s="7"/>
      <c r="F1666" s="7"/>
      <c r="G1666" s="9"/>
      <c r="H1666" s="9"/>
      <c r="I1666" s="9"/>
      <c r="J1666" s="7"/>
      <c r="K1666" s="7"/>
    </row>
    <row r="1667" customFormat="false" ht="15" hidden="false" customHeight="true" outlineLevel="0" collapsed="false">
      <c r="A1667" s="14"/>
      <c r="B1667" s="7"/>
      <c r="C1667" s="7"/>
      <c r="D1667" s="7"/>
      <c r="E1667" s="7"/>
      <c r="F1667" s="7"/>
      <c r="G1667" s="9"/>
      <c r="H1667" s="9"/>
      <c r="I1667" s="9"/>
      <c r="J1667" s="7"/>
      <c r="K1667" s="7"/>
    </row>
    <row r="1668" customFormat="false" ht="15" hidden="false" customHeight="true" outlineLevel="0" collapsed="false">
      <c r="A1668" s="14"/>
      <c r="B1668" s="7"/>
      <c r="C1668" s="7"/>
      <c r="D1668" s="7"/>
      <c r="E1668" s="7"/>
      <c r="F1668" s="7"/>
      <c r="G1668" s="9"/>
      <c r="H1668" s="9"/>
      <c r="I1668" s="9"/>
      <c r="J1668" s="7"/>
      <c r="K1668" s="7"/>
    </row>
    <row r="1669" customFormat="false" ht="15" hidden="false" customHeight="true" outlineLevel="0" collapsed="false">
      <c r="A1669" s="14"/>
      <c r="B1669" s="7"/>
      <c r="C1669" s="7"/>
      <c r="D1669" s="7"/>
      <c r="E1669" s="7"/>
      <c r="F1669" s="7"/>
      <c r="G1669" s="9"/>
      <c r="H1669" s="9"/>
      <c r="I1669" s="9"/>
      <c r="J1669" s="7"/>
      <c r="K1669" s="7"/>
    </row>
    <row r="1670" customFormat="false" ht="15" hidden="false" customHeight="true" outlineLevel="0" collapsed="false">
      <c r="A1670" s="14"/>
      <c r="B1670" s="7"/>
      <c r="C1670" s="7"/>
      <c r="D1670" s="7"/>
      <c r="E1670" s="7"/>
      <c r="F1670" s="7"/>
      <c r="G1670" s="9"/>
      <c r="H1670" s="9"/>
      <c r="I1670" s="9"/>
      <c r="J1670" s="7"/>
      <c r="K1670" s="7"/>
    </row>
    <row r="1671" customFormat="false" ht="15" hidden="false" customHeight="true" outlineLevel="0" collapsed="false">
      <c r="A1671" s="14"/>
      <c r="B1671" s="7"/>
      <c r="C1671" s="7"/>
      <c r="D1671" s="7"/>
      <c r="E1671" s="7"/>
      <c r="F1671" s="7"/>
      <c r="G1671" s="9"/>
      <c r="H1671" s="9"/>
      <c r="I1671" s="9"/>
      <c r="J1671" s="7"/>
      <c r="K1671" s="7"/>
    </row>
    <row r="1672" customFormat="false" ht="15" hidden="false" customHeight="true" outlineLevel="0" collapsed="false">
      <c r="A1672" s="14"/>
      <c r="B1672" s="7"/>
      <c r="C1672" s="7"/>
      <c r="D1672" s="7"/>
      <c r="E1672" s="7"/>
      <c r="F1672" s="7"/>
      <c r="G1672" s="9"/>
      <c r="H1672" s="9"/>
      <c r="I1672" s="9"/>
      <c r="J1672" s="7"/>
      <c r="K1672" s="7"/>
    </row>
    <row r="1673" customFormat="false" ht="15" hidden="false" customHeight="true" outlineLevel="0" collapsed="false">
      <c r="A1673" s="14"/>
      <c r="B1673" s="7"/>
      <c r="C1673" s="7"/>
      <c r="D1673" s="7"/>
      <c r="E1673" s="7"/>
      <c r="F1673" s="7"/>
      <c r="G1673" s="9"/>
      <c r="H1673" s="9"/>
      <c r="I1673" s="9"/>
      <c r="J1673" s="7"/>
      <c r="K1673" s="7"/>
    </row>
    <row r="1674" customFormat="false" ht="15" hidden="false" customHeight="true" outlineLevel="0" collapsed="false">
      <c r="A1674" s="14"/>
      <c r="B1674" s="7"/>
      <c r="C1674" s="7"/>
      <c r="D1674" s="7"/>
      <c r="E1674" s="7"/>
      <c r="F1674" s="7"/>
      <c r="G1674" s="9"/>
      <c r="H1674" s="9"/>
      <c r="I1674" s="9"/>
      <c r="J1674" s="7"/>
      <c r="K1674" s="7"/>
    </row>
    <row r="1675" customFormat="false" ht="15" hidden="false" customHeight="true" outlineLevel="0" collapsed="false">
      <c r="A1675" s="14"/>
      <c r="B1675" s="7"/>
      <c r="C1675" s="7"/>
      <c r="D1675" s="7"/>
      <c r="E1675" s="7"/>
      <c r="F1675" s="7"/>
      <c r="G1675" s="9"/>
      <c r="H1675" s="9"/>
      <c r="I1675" s="9"/>
      <c r="J1675" s="7"/>
      <c r="K1675" s="7"/>
    </row>
    <row r="1676" customFormat="false" ht="15" hidden="false" customHeight="true" outlineLevel="0" collapsed="false">
      <c r="A1676" s="14"/>
      <c r="B1676" s="7"/>
      <c r="C1676" s="7"/>
      <c r="D1676" s="7"/>
      <c r="E1676" s="7"/>
      <c r="F1676" s="7"/>
      <c r="G1676" s="9"/>
      <c r="H1676" s="9"/>
      <c r="I1676" s="9"/>
      <c r="J1676" s="7"/>
      <c r="K1676" s="7"/>
    </row>
    <row r="1677" customFormat="false" ht="15" hidden="false" customHeight="true" outlineLevel="0" collapsed="false">
      <c r="A1677" s="14"/>
      <c r="B1677" s="7"/>
      <c r="C1677" s="7"/>
      <c r="D1677" s="7"/>
      <c r="E1677" s="7"/>
      <c r="F1677" s="7"/>
      <c r="G1677" s="9"/>
      <c r="H1677" s="9"/>
      <c r="I1677" s="9"/>
      <c r="J1677" s="7"/>
      <c r="K1677" s="7"/>
    </row>
    <row r="1678" customFormat="false" ht="15" hidden="false" customHeight="true" outlineLevel="0" collapsed="false">
      <c r="A1678" s="14"/>
      <c r="B1678" s="7"/>
      <c r="C1678" s="7"/>
      <c r="D1678" s="7"/>
      <c r="E1678" s="7"/>
      <c r="F1678" s="7"/>
      <c r="G1678" s="9"/>
      <c r="H1678" s="9"/>
      <c r="I1678" s="9"/>
      <c r="J1678" s="7"/>
      <c r="K1678" s="7"/>
    </row>
    <row r="1679" customFormat="false" ht="15" hidden="false" customHeight="true" outlineLevel="0" collapsed="false">
      <c r="A1679" s="14"/>
      <c r="B1679" s="7"/>
      <c r="C1679" s="7"/>
      <c r="D1679" s="7"/>
      <c r="E1679" s="7"/>
      <c r="F1679" s="7"/>
      <c r="G1679" s="9"/>
      <c r="H1679" s="9"/>
      <c r="I1679" s="9"/>
      <c r="J1679" s="7"/>
      <c r="K1679" s="7"/>
    </row>
    <row r="1680" customFormat="false" ht="15" hidden="false" customHeight="true" outlineLevel="0" collapsed="false">
      <c r="A1680" s="14"/>
      <c r="B1680" s="7"/>
      <c r="C1680" s="7"/>
      <c r="D1680" s="7"/>
      <c r="E1680" s="7"/>
      <c r="F1680" s="7"/>
      <c r="G1680" s="9"/>
      <c r="H1680" s="9"/>
      <c r="I1680" s="9"/>
      <c r="J1680" s="7"/>
      <c r="K1680" s="7"/>
    </row>
    <row r="1681" customFormat="false" ht="15" hidden="false" customHeight="true" outlineLevel="0" collapsed="false">
      <c r="A1681" s="14"/>
      <c r="B1681" s="7"/>
      <c r="C1681" s="7"/>
      <c r="D1681" s="7"/>
      <c r="E1681" s="7"/>
      <c r="F1681" s="7"/>
      <c r="G1681" s="9"/>
      <c r="H1681" s="9"/>
      <c r="I1681" s="9"/>
      <c r="J1681" s="7"/>
      <c r="K1681" s="7"/>
    </row>
    <row r="1682" customFormat="false" ht="15" hidden="false" customHeight="true" outlineLevel="0" collapsed="false">
      <c r="A1682" s="14"/>
      <c r="B1682" s="7"/>
      <c r="C1682" s="7"/>
      <c r="D1682" s="7"/>
      <c r="E1682" s="7"/>
      <c r="F1682" s="7"/>
      <c r="G1682" s="9"/>
      <c r="H1682" s="9"/>
      <c r="I1682" s="9"/>
      <c r="J1682" s="7"/>
      <c r="K1682" s="7"/>
    </row>
    <row r="1683" customFormat="false" ht="15" hidden="false" customHeight="true" outlineLevel="0" collapsed="false">
      <c r="A1683" s="14"/>
      <c r="B1683" s="7"/>
      <c r="C1683" s="7"/>
      <c r="D1683" s="7"/>
      <c r="E1683" s="7"/>
      <c r="F1683" s="7"/>
      <c r="G1683" s="9"/>
      <c r="H1683" s="9"/>
      <c r="I1683" s="9"/>
      <c r="J1683" s="7"/>
      <c r="K1683" s="7"/>
    </row>
    <row r="1684" customFormat="false" ht="15" hidden="false" customHeight="true" outlineLevel="0" collapsed="false">
      <c r="A1684" s="14"/>
      <c r="B1684" s="7"/>
      <c r="C1684" s="7"/>
      <c r="D1684" s="7"/>
      <c r="E1684" s="7"/>
      <c r="F1684" s="7"/>
      <c r="G1684" s="9"/>
      <c r="H1684" s="9"/>
      <c r="I1684" s="9"/>
      <c r="J1684" s="7"/>
      <c r="K1684" s="7"/>
    </row>
    <row r="1685" customFormat="false" ht="15" hidden="false" customHeight="true" outlineLevel="0" collapsed="false">
      <c r="A1685" s="14"/>
      <c r="B1685" s="7"/>
      <c r="C1685" s="7"/>
      <c r="D1685" s="7"/>
      <c r="E1685" s="7"/>
      <c r="F1685" s="7"/>
      <c r="G1685" s="9"/>
      <c r="H1685" s="9"/>
      <c r="I1685" s="9"/>
      <c r="J1685" s="7"/>
      <c r="K1685" s="7"/>
    </row>
    <row r="1686" customFormat="false" ht="15" hidden="false" customHeight="true" outlineLevel="0" collapsed="false">
      <c r="A1686" s="14"/>
      <c r="B1686" s="7"/>
      <c r="C1686" s="7"/>
      <c r="D1686" s="7"/>
      <c r="E1686" s="7"/>
      <c r="F1686" s="7"/>
      <c r="G1686" s="9"/>
      <c r="H1686" s="9"/>
      <c r="I1686" s="9"/>
      <c r="J1686" s="7"/>
      <c r="K1686" s="7"/>
    </row>
    <row r="1687" customFormat="false" ht="15" hidden="false" customHeight="true" outlineLevel="0" collapsed="false">
      <c r="A1687" s="14"/>
      <c r="B1687" s="7"/>
      <c r="C1687" s="7"/>
      <c r="D1687" s="7"/>
      <c r="E1687" s="7"/>
      <c r="F1687" s="7"/>
      <c r="G1687" s="9"/>
      <c r="H1687" s="9"/>
      <c r="I1687" s="9"/>
      <c r="J1687" s="7"/>
      <c r="K1687" s="7"/>
    </row>
    <row r="1688" customFormat="false" ht="15" hidden="false" customHeight="true" outlineLevel="0" collapsed="false">
      <c r="A1688" s="14"/>
      <c r="B1688" s="7"/>
      <c r="C1688" s="7"/>
      <c r="D1688" s="7"/>
      <c r="E1688" s="7"/>
      <c r="F1688" s="7"/>
      <c r="G1688" s="9"/>
      <c r="H1688" s="9"/>
      <c r="I1688" s="9"/>
      <c r="J1688" s="7"/>
      <c r="K1688" s="7"/>
    </row>
    <row r="1689" customFormat="false" ht="15" hidden="false" customHeight="true" outlineLevel="0" collapsed="false">
      <c r="A1689" s="14"/>
      <c r="B1689" s="7"/>
      <c r="C1689" s="7"/>
      <c r="D1689" s="7"/>
      <c r="E1689" s="7"/>
      <c r="F1689" s="7"/>
      <c r="G1689" s="9"/>
      <c r="H1689" s="9"/>
      <c r="I1689" s="9"/>
      <c r="J1689" s="7"/>
      <c r="K1689" s="7"/>
    </row>
    <row r="1690" customFormat="false" ht="15" hidden="false" customHeight="true" outlineLevel="0" collapsed="false">
      <c r="A1690" s="14"/>
      <c r="B1690" s="7"/>
      <c r="C1690" s="7"/>
      <c r="D1690" s="7"/>
      <c r="E1690" s="7"/>
      <c r="F1690" s="7"/>
      <c r="G1690" s="9"/>
      <c r="H1690" s="9"/>
      <c r="I1690" s="9"/>
      <c r="J1690" s="7"/>
      <c r="K1690" s="7"/>
    </row>
    <row r="1691" customFormat="false" ht="15" hidden="false" customHeight="true" outlineLevel="0" collapsed="false">
      <c r="A1691" s="14"/>
      <c r="B1691" s="7"/>
      <c r="C1691" s="7"/>
      <c r="D1691" s="7"/>
      <c r="E1691" s="7"/>
      <c r="F1691" s="7"/>
      <c r="G1691" s="9"/>
      <c r="H1691" s="9"/>
      <c r="I1691" s="9"/>
      <c r="J1691" s="7"/>
      <c r="K1691" s="7"/>
    </row>
    <row r="1692" customFormat="false" ht="15" hidden="false" customHeight="true" outlineLevel="0" collapsed="false">
      <c r="A1692" s="14"/>
      <c r="B1692" s="7"/>
      <c r="C1692" s="7"/>
      <c r="D1692" s="7"/>
      <c r="E1692" s="7"/>
      <c r="F1692" s="7"/>
      <c r="G1692" s="9"/>
      <c r="H1692" s="9"/>
      <c r="I1692" s="9"/>
      <c r="J1692" s="7"/>
      <c r="K1692" s="7"/>
    </row>
    <row r="1693" customFormat="false" ht="15" hidden="false" customHeight="true" outlineLevel="0" collapsed="false">
      <c r="A1693" s="14"/>
      <c r="B1693" s="7"/>
      <c r="C1693" s="7"/>
      <c r="D1693" s="7"/>
      <c r="E1693" s="7"/>
      <c r="F1693" s="7"/>
      <c r="G1693" s="9"/>
      <c r="H1693" s="9"/>
      <c r="I1693" s="9"/>
      <c r="J1693" s="7"/>
      <c r="K1693" s="7"/>
    </row>
    <row r="1694" customFormat="false" ht="15" hidden="false" customHeight="true" outlineLevel="0" collapsed="false">
      <c r="A1694" s="14"/>
      <c r="B1694" s="7"/>
      <c r="C1694" s="7"/>
      <c r="D1694" s="7"/>
      <c r="E1694" s="7"/>
      <c r="F1694" s="7"/>
      <c r="G1694" s="9"/>
      <c r="H1694" s="9"/>
      <c r="I1694" s="9"/>
      <c r="J1694" s="7"/>
      <c r="K1694" s="7"/>
    </row>
    <row r="1695" customFormat="false" ht="15" hidden="false" customHeight="true" outlineLevel="0" collapsed="false">
      <c r="A1695" s="14"/>
      <c r="B1695" s="7"/>
      <c r="C1695" s="7"/>
      <c r="D1695" s="7"/>
      <c r="E1695" s="7"/>
      <c r="F1695" s="7"/>
      <c r="G1695" s="9"/>
      <c r="H1695" s="9"/>
      <c r="I1695" s="9"/>
      <c r="J1695" s="7"/>
      <c r="K1695" s="7"/>
    </row>
    <row r="1696" customFormat="false" ht="15" hidden="false" customHeight="true" outlineLevel="0" collapsed="false">
      <c r="A1696" s="14"/>
      <c r="B1696" s="7"/>
      <c r="C1696" s="7"/>
      <c r="D1696" s="7"/>
      <c r="E1696" s="7"/>
      <c r="F1696" s="7"/>
      <c r="G1696" s="9"/>
      <c r="H1696" s="9"/>
      <c r="I1696" s="9"/>
      <c r="J1696" s="7"/>
      <c r="K1696" s="7"/>
    </row>
    <row r="1697" customFormat="false" ht="15" hidden="false" customHeight="true" outlineLevel="0" collapsed="false">
      <c r="A1697" s="14"/>
      <c r="B1697" s="7"/>
      <c r="C1697" s="7"/>
      <c r="D1697" s="7"/>
      <c r="E1697" s="7"/>
      <c r="F1697" s="7"/>
      <c r="G1697" s="9"/>
      <c r="H1697" s="9"/>
      <c r="I1697" s="9"/>
      <c r="J1697" s="7"/>
      <c r="K1697" s="7"/>
    </row>
    <row r="1698" customFormat="false" ht="15" hidden="false" customHeight="true" outlineLevel="0" collapsed="false">
      <c r="A1698" s="14"/>
      <c r="B1698" s="7"/>
      <c r="C1698" s="7"/>
      <c r="D1698" s="7"/>
      <c r="E1698" s="7"/>
      <c r="F1698" s="7"/>
      <c r="G1698" s="9"/>
      <c r="H1698" s="9"/>
      <c r="I1698" s="9"/>
      <c r="J1698" s="7"/>
      <c r="K1698" s="7"/>
    </row>
    <row r="1699" customFormat="false" ht="15" hidden="false" customHeight="true" outlineLevel="0" collapsed="false">
      <c r="A1699" s="14"/>
      <c r="B1699" s="7"/>
      <c r="C1699" s="7"/>
      <c r="D1699" s="7"/>
      <c r="E1699" s="7"/>
      <c r="F1699" s="7"/>
      <c r="G1699" s="9"/>
      <c r="H1699" s="9"/>
      <c r="I1699" s="9"/>
      <c r="J1699" s="7"/>
      <c r="K1699" s="7"/>
    </row>
    <row r="1700" customFormat="false" ht="15" hidden="false" customHeight="true" outlineLevel="0" collapsed="false">
      <c r="A1700" s="14"/>
      <c r="B1700" s="7"/>
      <c r="C1700" s="7"/>
      <c r="D1700" s="7"/>
      <c r="E1700" s="7"/>
      <c r="F1700" s="7"/>
      <c r="G1700" s="9"/>
      <c r="H1700" s="9"/>
      <c r="I1700" s="9"/>
      <c r="J1700" s="7"/>
      <c r="K1700" s="7"/>
    </row>
    <row r="1701" customFormat="false" ht="15" hidden="false" customHeight="true" outlineLevel="0" collapsed="false">
      <c r="A1701" s="14"/>
      <c r="B1701" s="7"/>
      <c r="C1701" s="7"/>
      <c r="D1701" s="7"/>
      <c r="E1701" s="7"/>
      <c r="F1701" s="7"/>
      <c r="G1701" s="9"/>
      <c r="H1701" s="9"/>
      <c r="I1701" s="9"/>
      <c r="J1701" s="7"/>
      <c r="K1701" s="7"/>
    </row>
    <row r="1702" customFormat="false" ht="15" hidden="false" customHeight="true" outlineLevel="0" collapsed="false">
      <c r="A1702" s="14"/>
      <c r="B1702" s="7"/>
      <c r="C1702" s="7"/>
      <c r="D1702" s="7"/>
      <c r="E1702" s="7"/>
      <c r="F1702" s="7"/>
      <c r="G1702" s="9"/>
      <c r="H1702" s="9"/>
      <c r="I1702" s="9"/>
      <c r="J1702" s="7"/>
      <c r="K1702" s="7"/>
    </row>
    <row r="1703" customFormat="false" ht="15" hidden="false" customHeight="true" outlineLevel="0" collapsed="false">
      <c r="A1703" s="14"/>
      <c r="B1703" s="7"/>
      <c r="C1703" s="7"/>
      <c r="D1703" s="7"/>
      <c r="E1703" s="7"/>
      <c r="F1703" s="7"/>
      <c r="G1703" s="9"/>
      <c r="H1703" s="9"/>
      <c r="I1703" s="9"/>
      <c r="J1703" s="7"/>
      <c r="K1703" s="7"/>
    </row>
    <row r="1704" customFormat="false" ht="15" hidden="false" customHeight="true" outlineLevel="0" collapsed="false">
      <c r="A1704" s="14"/>
      <c r="B1704" s="7"/>
      <c r="C1704" s="7"/>
      <c r="D1704" s="7"/>
      <c r="E1704" s="7"/>
      <c r="F1704" s="7"/>
      <c r="G1704" s="9"/>
      <c r="H1704" s="9"/>
      <c r="I1704" s="9"/>
      <c r="J1704" s="7"/>
      <c r="K1704" s="7"/>
    </row>
    <row r="1705" customFormat="false" ht="15" hidden="false" customHeight="true" outlineLevel="0" collapsed="false">
      <c r="A1705" s="14"/>
      <c r="B1705" s="7"/>
      <c r="C1705" s="7"/>
      <c r="D1705" s="7"/>
      <c r="E1705" s="7"/>
      <c r="F1705" s="7"/>
      <c r="G1705" s="9"/>
      <c r="H1705" s="9"/>
      <c r="I1705" s="9"/>
      <c r="J1705" s="7"/>
      <c r="K1705" s="7"/>
    </row>
    <row r="1706" customFormat="false" ht="15" hidden="false" customHeight="true" outlineLevel="0" collapsed="false">
      <c r="A1706" s="14"/>
      <c r="B1706" s="7"/>
      <c r="C1706" s="7"/>
      <c r="D1706" s="7"/>
      <c r="E1706" s="7"/>
      <c r="F1706" s="7"/>
      <c r="G1706" s="9"/>
      <c r="H1706" s="9"/>
      <c r="I1706" s="9"/>
      <c r="J1706" s="7"/>
      <c r="K1706" s="7"/>
    </row>
    <row r="1707" customFormat="false" ht="15" hidden="false" customHeight="true" outlineLevel="0" collapsed="false">
      <c r="A1707" s="14"/>
      <c r="B1707" s="7"/>
      <c r="C1707" s="7"/>
      <c r="D1707" s="7"/>
      <c r="E1707" s="7"/>
      <c r="F1707" s="7"/>
      <c r="G1707" s="9"/>
      <c r="H1707" s="9"/>
      <c r="I1707" s="9"/>
      <c r="J1707" s="7"/>
      <c r="K1707" s="7"/>
    </row>
    <row r="1708" customFormat="false" ht="15" hidden="false" customHeight="true" outlineLevel="0" collapsed="false">
      <c r="A1708" s="14"/>
      <c r="B1708" s="7"/>
      <c r="C1708" s="7"/>
      <c r="D1708" s="7"/>
      <c r="E1708" s="7"/>
      <c r="F1708" s="7"/>
      <c r="G1708" s="9"/>
      <c r="H1708" s="9"/>
      <c r="I1708" s="9"/>
      <c r="J1708" s="7"/>
      <c r="K1708" s="7"/>
    </row>
    <row r="1709" customFormat="false" ht="15" hidden="false" customHeight="true" outlineLevel="0" collapsed="false">
      <c r="A1709" s="14"/>
      <c r="B1709" s="7"/>
      <c r="C1709" s="7"/>
      <c r="D1709" s="7"/>
      <c r="E1709" s="7"/>
      <c r="F1709" s="7"/>
      <c r="G1709" s="9"/>
      <c r="H1709" s="9"/>
      <c r="I1709" s="9"/>
      <c r="J1709" s="7"/>
      <c r="K1709" s="7"/>
    </row>
    <row r="1710" customFormat="false" ht="15" hidden="false" customHeight="true" outlineLevel="0" collapsed="false">
      <c r="A1710" s="14"/>
      <c r="B1710" s="7"/>
      <c r="C1710" s="7"/>
      <c r="D1710" s="7"/>
      <c r="E1710" s="7"/>
      <c r="F1710" s="7"/>
      <c r="G1710" s="9"/>
      <c r="H1710" s="9"/>
      <c r="I1710" s="9"/>
      <c r="J1710" s="7"/>
      <c r="K1710" s="7"/>
    </row>
    <row r="1711" customFormat="false" ht="15" hidden="false" customHeight="true" outlineLevel="0" collapsed="false">
      <c r="A1711" s="14"/>
      <c r="B1711" s="7"/>
      <c r="C1711" s="7"/>
      <c r="D1711" s="7"/>
      <c r="E1711" s="7"/>
      <c r="F1711" s="7"/>
      <c r="G1711" s="9"/>
      <c r="H1711" s="9"/>
      <c r="I1711" s="9"/>
      <c r="J1711" s="7"/>
      <c r="K1711" s="7"/>
    </row>
    <row r="1712" customFormat="false" ht="15" hidden="false" customHeight="true" outlineLevel="0" collapsed="false">
      <c r="A1712" s="14"/>
      <c r="B1712" s="7"/>
      <c r="C1712" s="7"/>
      <c r="D1712" s="7"/>
      <c r="E1712" s="7"/>
      <c r="F1712" s="7"/>
      <c r="G1712" s="9"/>
      <c r="H1712" s="9"/>
      <c r="I1712" s="9"/>
      <c r="J1712" s="7"/>
      <c r="K1712" s="7"/>
    </row>
    <row r="1713" customFormat="false" ht="15" hidden="false" customHeight="true" outlineLevel="0" collapsed="false">
      <c r="A1713" s="14"/>
      <c r="B1713" s="7"/>
      <c r="C1713" s="7"/>
      <c r="D1713" s="7"/>
      <c r="E1713" s="7"/>
      <c r="F1713" s="7"/>
      <c r="G1713" s="9"/>
      <c r="H1713" s="9"/>
      <c r="I1713" s="9"/>
      <c r="J1713" s="7"/>
      <c r="K1713" s="7"/>
    </row>
    <row r="1714" customFormat="false" ht="15" hidden="false" customHeight="true" outlineLevel="0" collapsed="false">
      <c r="A1714" s="14"/>
      <c r="B1714" s="7"/>
      <c r="C1714" s="7"/>
      <c r="D1714" s="7"/>
      <c r="E1714" s="7"/>
      <c r="F1714" s="7"/>
      <c r="G1714" s="9"/>
      <c r="H1714" s="9"/>
      <c r="I1714" s="9"/>
      <c r="J1714" s="7"/>
      <c r="K1714" s="7"/>
    </row>
    <row r="1715" customFormat="false" ht="15" hidden="false" customHeight="true" outlineLevel="0" collapsed="false">
      <c r="A1715" s="14"/>
      <c r="B1715" s="7"/>
      <c r="C1715" s="7"/>
      <c r="D1715" s="7"/>
      <c r="E1715" s="7"/>
      <c r="F1715" s="7"/>
      <c r="G1715" s="9"/>
      <c r="H1715" s="9"/>
      <c r="I1715" s="9"/>
      <c r="J1715" s="7"/>
      <c r="K1715" s="7"/>
    </row>
    <row r="1716" customFormat="false" ht="15" hidden="false" customHeight="true" outlineLevel="0" collapsed="false">
      <c r="A1716" s="14"/>
      <c r="B1716" s="7"/>
      <c r="C1716" s="7"/>
      <c r="D1716" s="7"/>
      <c r="E1716" s="7"/>
      <c r="F1716" s="7"/>
      <c r="G1716" s="9"/>
      <c r="H1716" s="9"/>
      <c r="I1716" s="9"/>
      <c r="J1716" s="7"/>
      <c r="K1716" s="7"/>
    </row>
    <row r="1717" customFormat="false" ht="15" hidden="false" customHeight="true" outlineLevel="0" collapsed="false">
      <c r="A1717" s="14"/>
      <c r="B1717" s="7"/>
      <c r="C1717" s="7"/>
      <c r="D1717" s="7"/>
      <c r="E1717" s="7"/>
      <c r="F1717" s="7"/>
      <c r="G1717" s="9"/>
      <c r="H1717" s="9"/>
      <c r="I1717" s="9"/>
      <c r="J1717" s="7"/>
      <c r="K1717" s="7"/>
    </row>
    <row r="1718" customFormat="false" ht="15" hidden="false" customHeight="true" outlineLevel="0" collapsed="false">
      <c r="A1718" s="14"/>
      <c r="B1718" s="7"/>
      <c r="C1718" s="7"/>
      <c r="D1718" s="7"/>
      <c r="E1718" s="7"/>
      <c r="F1718" s="7"/>
      <c r="G1718" s="9"/>
      <c r="H1718" s="9"/>
      <c r="I1718" s="9"/>
      <c r="J1718" s="7"/>
      <c r="K1718" s="7"/>
    </row>
    <row r="1719" customFormat="false" ht="15" hidden="false" customHeight="true" outlineLevel="0" collapsed="false">
      <c r="A1719" s="14"/>
      <c r="B1719" s="7"/>
      <c r="C1719" s="7"/>
      <c r="D1719" s="7"/>
      <c r="E1719" s="7"/>
      <c r="F1719" s="7"/>
      <c r="G1719" s="9"/>
      <c r="H1719" s="9"/>
      <c r="I1719" s="9"/>
      <c r="J1719" s="7"/>
      <c r="K1719" s="7"/>
    </row>
    <row r="1720" customFormat="false" ht="15" hidden="false" customHeight="true" outlineLevel="0" collapsed="false">
      <c r="A1720" s="14"/>
      <c r="B1720" s="7"/>
      <c r="C1720" s="7"/>
      <c r="D1720" s="7"/>
      <c r="E1720" s="7"/>
      <c r="F1720" s="7"/>
      <c r="G1720" s="9"/>
      <c r="H1720" s="9"/>
      <c r="I1720" s="9"/>
      <c r="J1720" s="7"/>
      <c r="K1720" s="7"/>
    </row>
    <row r="1721" customFormat="false" ht="15" hidden="false" customHeight="true" outlineLevel="0" collapsed="false">
      <c r="A1721" s="14"/>
      <c r="B1721" s="7"/>
      <c r="C1721" s="7"/>
      <c r="D1721" s="7"/>
      <c r="E1721" s="7"/>
      <c r="F1721" s="7"/>
      <c r="G1721" s="9"/>
      <c r="H1721" s="9"/>
      <c r="I1721" s="9"/>
      <c r="J1721" s="7"/>
      <c r="K1721" s="7"/>
    </row>
    <row r="1722" customFormat="false" ht="15" hidden="false" customHeight="true" outlineLevel="0" collapsed="false">
      <c r="A1722" s="14"/>
      <c r="B1722" s="7"/>
      <c r="C1722" s="7"/>
      <c r="D1722" s="7"/>
      <c r="E1722" s="7"/>
      <c r="F1722" s="7"/>
      <c r="G1722" s="9"/>
      <c r="H1722" s="9"/>
      <c r="I1722" s="9"/>
      <c r="J1722" s="7"/>
      <c r="K1722" s="7"/>
    </row>
    <row r="1723" customFormat="false" ht="15" hidden="false" customHeight="true" outlineLevel="0" collapsed="false">
      <c r="A1723" s="14"/>
      <c r="B1723" s="7"/>
      <c r="C1723" s="7"/>
      <c r="D1723" s="7"/>
      <c r="E1723" s="7"/>
      <c r="F1723" s="7"/>
      <c r="G1723" s="9"/>
      <c r="H1723" s="9"/>
      <c r="I1723" s="9"/>
      <c r="J1723" s="7"/>
      <c r="K1723" s="7"/>
    </row>
    <row r="1724" customFormat="false" ht="15" hidden="false" customHeight="true" outlineLevel="0" collapsed="false">
      <c r="A1724" s="14"/>
      <c r="B1724" s="7"/>
      <c r="C1724" s="7"/>
      <c r="D1724" s="7"/>
      <c r="E1724" s="7"/>
      <c r="F1724" s="7"/>
      <c r="G1724" s="9"/>
      <c r="H1724" s="9"/>
      <c r="I1724" s="9"/>
      <c r="J1724" s="7"/>
      <c r="K1724" s="7"/>
    </row>
    <row r="1725" customFormat="false" ht="15" hidden="false" customHeight="true" outlineLevel="0" collapsed="false">
      <c r="A1725" s="14"/>
      <c r="B1725" s="7"/>
      <c r="C1725" s="7"/>
      <c r="D1725" s="7"/>
      <c r="E1725" s="7"/>
      <c r="F1725" s="7"/>
      <c r="G1725" s="9"/>
      <c r="H1725" s="9"/>
      <c r="I1725" s="9"/>
      <c r="J1725" s="7"/>
      <c r="K1725" s="7"/>
    </row>
    <row r="1726" customFormat="false" ht="15" hidden="false" customHeight="true" outlineLevel="0" collapsed="false">
      <c r="A1726" s="14"/>
      <c r="B1726" s="7"/>
      <c r="C1726" s="7"/>
      <c r="D1726" s="7"/>
      <c r="E1726" s="7"/>
      <c r="F1726" s="7"/>
      <c r="G1726" s="9"/>
      <c r="H1726" s="9"/>
      <c r="I1726" s="9"/>
      <c r="J1726" s="7"/>
      <c r="K1726" s="7"/>
    </row>
    <row r="1727" customFormat="false" ht="15" hidden="false" customHeight="true" outlineLevel="0" collapsed="false">
      <c r="A1727" s="14"/>
      <c r="B1727" s="7"/>
      <c r="C1727" s="7"/>
      <c r="D1727" s="7"/>
      <c r="E1727" s="7"/>
      <c r="F1727" s="7"/>
      <c r="G1727" s="9"/>
      <c r="H1727" s="9"/>
      <c r="I1727" s="9"/>
      <c r="J1727" s="7"/>
      <c r="K1727" s="7"/>
    </row>
    <row r="1728" customFormat="false" ht="15" hidden="false" customHeight="true" outlineLevel="0" collapsed="false">
      <c r="A1728" s="14"/>
      <c r="B1728" s="7"/>
      <c r="C1728" s="7"/>
      <c r="D1728" s="7"/>
      <c r="E1728" s="7"/>
      <c r="F1728" s="7"/>
      <c r="G1728" s="9"/>
      <c r="H1728" s="9"/>
      <c r="I1728" s="9"/>
      <c r="J1728" s="7"/>
      <c r="K1728" s="7"/>
    </row>
    <row r="1729" customFormat="false" ht="15" hidden="false" customHeight="true" outlineLevel="0" collapsed="false">
      <c r="A1729" s="14"/>
      <c r="B1729" s="7"/>
      <c r="C1729" s="7"/>
      <c r="D1729" s="7"/>
      <c r="E1729" s="7"/>
      <c r="F1729" s="7"/>
      <c r="G1729" s="9"/>
      <c r="H1729" s="9"/>
      <c r="I1729" s="9"/>
      <c r="J1729" s="7"/>
      <c r="K1729" s="7"/>
    </row>
    <row r="1730" customFormat="false" ht="15" hidden="false" customHeight="true" outlineLevel="0" collapsed="false">
      <c r="A1730" s="14"/>
      <c r="B1730" s="7"/>
      <c r="C1730" s="7"/>
      <c r="D1730" s="7"/>
      <c r="E1730" s="7"/>
      <c r="F1730" s="7"/>
      <c r="G1730" s="9"/>
      <c r="H1730" s="9"/>
      <c r="I1730" s="9"/>
      <c r="J1730" s="7"/>
      <c r="K1730" s="7"/>
    </row>
    <row r="1731" customFormat="false" ht="15" hidden="false" customHeight="true" outlineLevel="0" collapsed="false">
      <c r="A1731" s="14"/>
      <c r="B1731" s="7"/>
      <c r="C1731" s="7"/>
      <c r="D1731" s="7"/>
      <c r="E1731" s="7"/>
      <c r="F1731" s="7"/>
      <c r="G1731" s="9"/>
      <c r="H1731" s="9"/>
      <c r="I1731" s="9"/>
      <c r="J1731" s="7"/>
      <c r="K1731" s="7"/>
    </row>
    <row r="1732" customFormat="false" ht="15" hidden="false" customHeight="true" outlineLevel="0" collapsed="false">
      <c r="A1732" s="14"/>
      <c r="B1732" s="7"/>
      <c r="C1732" s="7"/>
      <c r="D1732" s="7"/>
      <c r="E1732" s="7"/>
      <c r="F1732" s="7"/>
      <c r="G1732" s="9"/>
      <c r="H1732" s="9"/>
      <c r="I1732" s="9"/>
      <c r="J1732" s="7"/>
      <c r="K1732" s="7"/>
    </row>
    <row r="1733" customFormat="false" ht="15" hidden="false" customHeight="true" outlineLevel="0" collapsed="false">
      <c r="A1733" s="14"/>
      <c r="B1733" s="7"/>
      <c r="C1733" s="7"/>
      <c r="D1733" s="7"/>
      <c r="E1733" s="7"/>
      <c r="F1733" s="7"/>
      <c r="G1733" s="9"/>
      <c r="H1733" s="9"/>
      <c r="I1733" s="9"/>
      <c r="J1733" s="7"/>
      <c r="K1733" s="7"/>
    </row>
    <row r="1734" customFormat="false" ht="15" hidden="false" customHeight="true" outlineLevel="0" collapsed="false">
      <c r="A1734" s="14"/>
      <c r="B1734" s="7"/>
      <c r="C1734" s="7"/>
      <c r="D1734" s="7"/>
      <c r="E1734" s="7"/>
      <c r="F1734" s="7"/>
      <c r="G1734" s="9"/>
      <c r="H1734" s="9"/>
      <c r="I1734" s="9"/>
      <c r="J1734" s="7"/>
      <c r="K1734" s="7"/>
    </row>
    <row r="1735" customFormat="false" ht="15" hidden="false" customHeight="true" outlineLevel="0" collapsed="false">
      <c r="A1735" s="14"/>
      <c r="B1735" s="7"/>
      <c r="C1735" s="7"/>
      <c r="D1735" s="7"/>
      <c r="E1735" s="7"/>
      <c r="F1735" s="7"/>
      <c r="G1735" s="9"/>
      <c r="H1735" s="9"/>
      <c r="I1735" s="9"/>
      <c r="J1735" s="7"/>
      <c r="K1735" s="7"/>
    </row>
    <row r="1736" customFormat="false" ht="15" hidden="false" customHeight="true" outlineLevel="0" collapsed="false">
      <c r="A1736" s="14"/>
      <c r="B1736" s="7"/>
      <c r="C1736" s="7"/>
      <c r="D1736" s="7"/>
      <c r="E1736" s="7"/>
      <c r="F1736" s="7"/>
      <c r="G1736" s="9"/>
      <c r="H1736" s="9"/>
      <c r="I1736" s="9"/>
      <c r="J1736" s="7"/>
      <c r="K1736" s="7"/>
    </row>
    <row r="1737" customFormat="false" ht="15" hidden="false" customHeight="true" outlineLevel="0" collapsed="false">
      <c r="A1737" s="14"/>
      <c r="B1737" s="7"/>
      <c r="C1737" s="7"/>
      <c r="D1737" s="7"/>
      <c r="E1737" s="7"/>
      <c r="F1737" s="7"/>
      <c r="G1737" s="9"/>
      <c r="H1737" s="9"/>
      <c r="I1737" s="9"/>
      <c r="J1737" s="7"/>
      <c r="K1737" s="7"/>
    </row>
    <row r="1738" customFormat="false" ht="15" hidden="false" customHeight="true" outlineLevel="0" collapsed="false">
      <c r="A1738" s="14"/>
      <c r="B1738" s="7"/>
      <c r="C1738" s="7"/>
      <c r="D1738" s="7"/>
      <c r="E1738" s="7"/>
      <c r="F1738" s="7"/>
      <c r="G1738" s="9"/>
      <c r="H1738" s="9"/>
      <c r="I1738" s="9"/>
      <c r="J1738" s="7"/>
      <c r="K1738" s="7"/>
    </row>
    <row r="1739" customFormat="false" ht="15" hidden="false" customHeight="true" outlineLevel="0" collapsed="false">
      <c r="A1739" s="14"/>
      <c r="B1739" s="7"/>
      <c r="C1739" s="7"/>
      <c r="D1739" s="7"/>
      <c r="E1739" s="7"/>
      <c r="F1739" s="7"/>
      <c r="G1739" s="9"/>
      <c r="H1739" s="9"/>
      <c r="I1739" s="9"/>
      <c r="J1739" s="7"/>
      <c r="K1739" s="7"/>
    </row>
    <row r="1740" customFormat="false" ht="15" hidden="false" customHeight="true" outlineLevel="0" collapsed="false">
      <c r="A1740" s="14"/>
      <c r="B1740" s="7"/>
      <c r="C1740" s="7"/>
      <c r="D1740" s="7"/>
      <c r="E1740" s="7"/>
      <c r="F1740" s="7"/>
      <c r="G1740" s="9"/>
      <c r="H1740" s="9"/>
      <c r="I1740" s="9"/>
      <c r="J1740" s="7"/>
      <c r="K1740" s="7"/>
    </row>
    <row r="1741" customFormat="false" ht="15" hidden="false" customHeight="true" outlineLevel="0" collapsed="false">
      <c r="A1741" s="14"/>
      <c r="B1741" s="7"/>
      <c r="C1741" s="7"/>
      <c r="D1741" s="7"/>
      <c r="E1741" s="7"/>
      <c r="F1741" s="7"/>
      <c r="G1741" s="9"/>
      <c r="H1741" s="9"/>
      <c r="I1741" s="9"/>
      <c r="J1741" s="7"/>
      <c r="K1741" s="7"/>
    </row>
    <row r="1742" customFormat="false" ht="15" hidden="false" customHeight="true" outlineLevel="0" collapsed="false">
      <c r="A1742" s="14"/>
      <c r="B1742" s="7"/>
      <c r="C1742" s="7"/>
      <c r="D1742" s="7"/>
      <c r="E1742" s="7"/>
      <c r="F1742" s="7"/>
      <c r="G1742" s="9"/>
      <c r="H1742" s="9"/>
      <c r="I1742" s="9"/>
      <c r="J1742" s="7"/>
      <c r="K1742" s="7"/>
    </row>
    <row r="1743" customFormat="false" ht="15" hidden="false" customHeight="true" outlineLevel="0" collapsed="false">
      <c r="A1743" s="14"/>
      <c r="B1743" s="7"/>
      <c r="C1743" s="7"/>
      <c r="D1743" s="7"/>
      <c r="E1743" s="7"/>
      <c r="F1743" s="7"/>
      <c r="G1743" s="9"/>
      <c r="H1743" s="9"/>
      <c r="I1743" s="9"/>
      <c r="J1743" s="7"/>
      <c r="K1743" s="7"/>
    </row>
    <row r="1744" customFormat="false" ht="15" hidden="false" customHeight="true" outlineLevel="0" collapsed="false">
      <c r="A1744" s="14"/>
      <c r="B1744" s="7"/>
      <c r="C1744" s="7"/>
      <c r="D1744" s="7"/>
      <c r="E1744" s="7"/>
      <c r="F1744" s="7"/>
      <c r="G1744" s="9"/>
      <c r="H1744" s="9"/>
      <c r="I1744" s="9"/>
      <c r="J1744" s="7"/>
      <c r="K1744" s="7"/>
    </row>
    <row r="1745" customFormat="false" ht="15" hidden="false" customHeight="true" outlineLevel="0" collapsed="false">
      <c r="A1745" s="14"/>
      <c r="B1745" s="7"/>
      <c r="C1745" s="7"/>
      <c r="D1745" s="7"/>
      <c r="E1745" s="7"/>
      <c r="F1745" s="7"/>
      <c r="G1745" s="9"/>
      <c r="H1745" s="9"/>
      <c r="I1745" s="9"/>
      <c r="J1745" s="7"/>
      <c r="K1745" s="7"/>
    </row>
    <row r="1746" customFormat="false" ht="15" hidden="false" customHeight="true" outlineLevel="0" collapsed="false">
      <c r="A1746" s="14"/>
      <c r="B1746" s="7"/>
      <c r="C1746" s="7"/>
      <c r="D1746" s="7"/>
      <c r="E1746" s="7"/>
      <c r="F1746" s="7"/>
      <c r="G1746" s="9"/>
      <c r="H1746" s="9"/>
      <c r="I1746" s="9"/>
      <c r="J1746" s="7"/>
      <c r="K1746" s="7"/>
    </row>
    <row r="1747" customFormat="false" ht="15" hidden="false" customHeight="true" outlineLevel="0" collapsed="false">
      <c r="A1747" s="14"/>
      <c r="B1747" s="7"/>
      <c r="C1747" s="7"/>
      <c r="D1747" s="7"/>
      <c r="E1747" s="7"/>
      <c r="F1747" s="7"/>
      <c r="G1747" s="9"/>
      <c r="H1747" s="9"/>
      <c r="I1747" s="9"/>
      <c r="J1747" s="7"/>
      <c r="K1747" s="7"/>
    </row>
    <row r="1748" customFormat="false" ht="15" hidden="false" customHeight="true" outlineLevel="0" collapsed="false">
      <c r="A1748" s="14"/>
      <c r="B1748" s="7"/>
      <c r="C1748" s="7"/>
      <c r="D1748" s="7"/>
      <c r="E1748" s="7"/>
      <c r="F1748" s="7"/>
      <c r="G1748" s="9"/>
      <c r="H1748" s="9"/>
      <c r="I1748" s="9"/>
      <c r="J1748" s="7"/>
      <c r="K1748" s="7"/>
    </row>
    <row r="1749" customFormat="false" ht="15" hidden="false" customHeight="true" outlineLevel="0" collapsed="false">
      <c r="A1749" s="14"/>
      <c r="B1749" s="7"/>
      <c r="C1749" s="7"/>
      <c r="D1749" s="7"/>
      <c r="E1749" s="7"/>
      <c r="F1749" s="7"/>
      <c r="G1749" s="9"/>
      <c r="H1749" s="9"/>
      <c r="I1749" s="9"/>
      <c r="J1749" s="7"/>
      <c r="K1749" s="7"/>
    </row>
    <row r="1750" customFormat="false" ht="15" hidden="false" customHeight="true" outlineLevel="0" collapsed="false">
      <c r="A1750" s="14"/>
      <c r="B1750" s="7"/>
      <c r="C1750" s="7"/>
      <c r="D1750" s="7"/>
      <c r="E1750" s="7"/>
      <c r="F1750" s="7"/>
      <c r="G1750" s="9"/>
      <c r="H1750" s="9"/>
      <c r="I1750" s="9"/>
      <c r="J1750" s="7"/>
      <c r="K1750" s="7"/>
    </row>
    <row r="1751" customFormat="false" ht="15" hidden="false" customHeight="true" outlineLevel="0" collapsed="false">
      <c r="A1751" s="14"/>
      <c r="B1751" s="7"/>
      <c r="C1751" s="7"/>
      <c r="D1751" s="7"/>
      <c r="E1751" s="7"/>
      <c r="F1751" s="7"/>
      <c r="G1751" s="9"/>
      <c r="H1751" s="9"/>
      <c r="I1751" s="9"/>
      <c r="J1751" s="7"/>
      <c r="K1751" s="7"/>
    </row>
    <row r="1752" customFormat="false" ht="15" hidden="false" customHeight="true" outlineLevel="0" collapsed="false">
      <c r="A1752" s="14"/>
      <c r="B1752" s="7"/>
      <c r="C1752" s="7"/>
      <c r="D1752" s="7"/>
      <c r="E1752" s="7"/>
      <c r="F1752" s="7"/>
      <c r="G1752" s="9"/>
      <c r="H1752" s="9"/>
      <c r="I1752" s="9"/>
      <c r="J1752" s="7"/>
      <c r="K1752" s="7"/>
    </row>
    <row r="1753" customFormat="false" ht="15" hidden="false" customHeight="true" outlineLevel="0" collapsed="false">
      <c r="A1753" s="14"/>
      <c r="B1753" s="7"/>
      <c r="C1753" s="7"/>
      <c r="D1753" s="7"/>
      <c r="E1753" s="7"/>
      <c r="F1753" s="7"/>
      <c r="G1753" s="9"/>
      <c r="H1753" s="9"/>
      <c r="I1753" s="9"/>
      <c r="J1753" s="7"/>
      <c r="K1753" s="7"/>
    </row>
    <row r="1754" customFormat="false" ht="15" hidden="false" customHeight="true" outlineLevel="0" collapsed="false">
      <c r="A1754" s="14"/>
      <c r="B1754" s="7"/>
      <c r="C1754" s="7"/>
      <c r="D1754" s="7"/>
      <c r="E1754" s="7"/>
      <c r="F1754" s="7"/>
      <c r="G1754" s="9"/>
      <c r="H1754" s="9"/>
      <c r="I1754" s="9"/>
      <c r="J1754" s="7"/>
      <c r="K1754" s="7"/>
    </row>
    <row r="1755" customFormat="false" ht="15" hidden="false" customHeight="true" outlineLevel="0" collapsed="false">
      <c r="A1755" s="14"/>
      <c r="B1755" s="7"/>
      <c r="C1755" s="7"/>
      <c r="D1755" s="7"/>
      <c r="E1755" s="7"/>
      <c r="F1755" s="7"/>
      <c r="G1755" s="9"/>
      <c r="H1755" s="9"/>
      <c r="I1755" s="9"/>
      <c r="J1755" s="7"/>
      <c r="K1755" s="7"/>
    </row>
    <row r="1756" customFormat="false" ht="15" hidden="false" customHeight="true" outlineLevel="0" collapsed="false">
      <c r="A1756" s="14"/>
      <c r="B1756" s="7"/>
      <c r="C1756" s="7"/>
      <c r="D1756" s="7"/>
      <c r="E1756" s="7"/>
      <c r="F1756" s="7"/>
      <c r="G1756" s="9"/>
      <c r="H1756" s="9"/>
      <c r="I1756" s="9"/>
      <c r="J1756" s="7"/>
      <c r="K1756" s="7"/>
    </row>
    <row r="1757" customFormat="false" ht="15" hidden="false" customHeight="true" outlineLevel="0" collapsed="false">
      <c r="A1757" s="14"/>
      <c r="B1757" s="7"/>
      <c r="C1757" s="7"/>
      <c r="D1757" s="7"/>
      <c r="E1757" s="7"/>
      <c r="F1757" s="7"/>
      <c r="G1757" s="9"/>
      <c r="H1757" s="9"/>
      <c r="I1757" s="9"/>
      <c r="J1757" s="7"/>
      <c r="K1757" s="7"/>
    </row>
    <row r="1758" customFormat="false" ht="15" hidden="false" customHeight="true" outlineLevel="0" collapsed="false">
      <c r="A1758" s="14"/>
      <c r="B1758" s="7"/>
      <c r="C1758" s="7"/>
      <c r="D1758" s="7"/>
      <c r="E1758" s="7"/>
      <c r="F1758" s="7"/>
      <c r="G1758" s="9"/>
      <c r="H1758" s="9"/>
      <c r="I1758" s="9"/>
      <c r="J1758" s="7"/>
      <c r="K1758" s="7"/>
    </row>
    <row r="1759" customFormat="false" ht="15" hidden="false" customHeight="true" outlineLevel="0" collapsed="false">
      <c r="A1759" s="14"/>
      <c r="B1759" s="7"/>
      <c r="C1759" s="7"/>
      <c r="D1759" s="7"/>
      <c r="E1759" s="7"/>
      <c r="F1759" s="7"/>
      <c r="G1759" s="9"/>
      <c r="H1759" s="9"/>
      <c r="I1759" s="9"/>
      <c r="J1759" s="7"/>
      <c r="K1759" s="7"/>
    </row>
    <row r="1760" customFormat="false" ht="15" hidden="false" customHeight="true" outlineLevel="0" collapsed="false">
      <c r="A1760" s="14"/>
      <c r="B1760" s="7"/>
      <c r="C1760" s="7"/>
      <c r="D1760" s="7"/>
      <c r="E1760" s="7"/>
      <c r="F1760" s="7"/>
      <c r="G1760" s="9"/>
      <c r="H1760" s="9"/>
      <c r="I1760" s="9"/>
      <c r="J1760" s="7"/>
      <c r="K1760" s="7"/>
    </row>
    <row r="1761" customFormat="false" ht="15" hidden="false" customHeight="true" outlineLevel="0" collapsed="false">
      <c r="A1761" s="14"/>
      <c r="B1761" s="7"/>
      <c r="C1761" s="7"/>
      <c r="D1761" s="7"/>
      <c r="E1761" s="7"/>
      <c r="F1761" s="7"/>
      <c r="G1761" s="9"/>
      <c r="H1761" s="9"/>
      <c r="I1761" s="9"/>
      <c r="J1761" s="7"/>
      <c r="K1761" s="7"/>
    </row>
    <row r="1762" customFormat="false" ht="15" hidden="false" customHeight="true" outlineLevel="0" collapsed="false">
      <c r="A1762" s="14"/>
      <c r="B1762" s="7"/>
      <c r="C1762" s="7"/>
      <c r="D1762" s="7"/>
      <c r="E1762" s="7"/>
      <c r="F1762" s="7"/>
      <c r="G1762" s="9"/>
      <c r="H1762" s="9"/>
      <c r="I1762" s="9"/>
      <c r="J1762" s="7"/>
      <c r="K1762" s="7"/>
    </row>
    <row r="1763" customFormat="false" ht="15" hidden="false" customHeight="true" outlineLevel="0" collapsed="false">
      <c r="A1763" s="14"/>
      <c r="B1763" s="7"/>
      <c r="C1763" s="7"/>
      <c r="D1763" s="7"/>
      <c r="E1763" s="7"/>
      <c r="F1763" s="7"/>
      <c r="G1763" s="9"/>
      <c r="H1763" s="9"/>
      <c r="I1763" s="9"/>
      <c r="J1763" s="7"/>
      <c r="K1763" s="7"/>
    </row>
    <row r="1764" customFormat="false" ht="15" hidden="false" customHeight="true" outlineLevel="0" collapsed="false">
      <c r="A1764" s="14"/>
      <c r="B1764" s="7"/>
      <c r="C1764" s="7"/>
      <c r="D1764" s="7"/>
      <c r="E1764" s="7"/>
      <c r="F1764" s="7"/>
      <c r="G1764" s="9"/>
      <c r="H1764" s="9"/>
      <c r="I1764" s="9"/>
      <c r="J1764" s="7"/>
      <c r="K1764" s="7"/>
    </row>
    <row r="1765" customFormat="false" ht="15" hidden="false" customHeight="true" outlineLevel="0" collapsed="false">
      <c r="A1765" s="14"/>
      <c r="B1765" s="7"/>
      <c r="C1765" s="7"/>
      <c r="D1765" s="7"/>
      <c r="E1765" s="7"/>
      <c r="F1765" s="7"/>
      <c r="G1765" s="9"/>
      <c r="H1765" s="9"/>
      <c r="I1765" s="9"/>
      <c r="J1765" s="7"/>
      <c r="K1765" s="7"/>
    </row>
    <row r="1766" customFormat="false" ht="15" hidden="false" customHeight="true" outlineLevel="0" collapsed="false">
      <c r="A1766" s="14"/>
      <c r="B1766" s="7"/>
      <c r="C1766" s="7"/>
      <c r="D1766" s="7"/>
      <c r="E1766" s="7"/>
      <c r="F1766" s="7"/>
      <c r="G1766" s="9"/>
      <c r="H1766" s="9"/>
      <c r="I1766" s="9"/>
      <c r="J1766" s="7"/>
      <c r="K1766" s="7"/>
    </row>
    <row r="1767" customFormat="false" ht="15" hidden="false" customHeight="true" outlineLevel="0" collapsed="false">
      <c r="A1767" s="14"/>
      <c r="B1767" s="7"/>
      <c r="C1767" s="7"/>
      <c r="D1767" s="7"/>
      <c r="E1767" s="7"/>
      <c r="F1767" s="7"/>
      <c r="G1767" s="9"/>
      <c r="H1767" s="9"/>
      <c r="I1767" s="9"/>
      <c r="J1767" s="7"/>
      <c r="K1767" s="7"/>
    </row>
    <row r="1768" customFormat="false" ht="15" hidden="false" customHeight="true" outlineLevel="0" collapsed="false">
      <c r="A1768" s="14"/>
      <c r="B1768" s="7"/>
      <c r="C1768" s="7"/>
      <c r="D1768" s="7"/>
      <c r="E1768" s="7"/>
      <c r="F1768" s="7"/>
      <c r="G1768" s="9"/>
      <c r="H1768" s="9"/>
      <c r="I1768" s="9"/>
      <c r="J1768" s="7"/>
      <c r="K1768" s="7"/>
    </row>
    <row r="1769" customFormat="false" ht="15" hidden="false" customHeight="true" outlineLevel="0" collapsed="false">
      <c r="A1769" s="14"/>
      <c r="B1769" s="7"/>
      <c r="C1769" s="7"/>
      <c r="D1769" s="7"/>
      <c r="E1769" s="7"/>
      <c r="F1769" s="7"/>
      <c r="G1769" s="9"/>
      <c r="H1769" s="9"/>
      <c r="I1769" s="9"/>
      <c r="J1769" s="7"/>
      <c r="K1769" s="7"/>
    </row>
    <row r="1770" customFormat="false" ht="15" hidden="false" customHeight="true" outlineLevel="0" collapsed="false">
      <c r="A1770" s="14"/>
      <c r="B1770" s="7"/>
      <c r="C1770" s="7"/>
      <c r="D1770" s="7"/>
      <c r="E1770" s="7"/>
      <c r="F1770" s="7"/>
      <c r="G1770" s="9"/>
      <c r="H1770" s="9"/>
      <c r="I1770" s="9"/>
      <c r="J1770" s="7"/>
      <c r="K1770" s="7"/>
    </row>
    <row r="1771" customFormat="false" ht="15" hidden="false" customHeight="true" outlineLevel="0" collapsed="false">
      <c r="A1771" s="14"/>
      <c r="B1771" s="7"/>
      <c r="C1771" s="7"/>
      <c r="D1771" s="7"/>
      <c r="E1771" s="7"/>
      <c r="F1771" s="7"/>
      <c r="G1771" s="9"/>
      <c r="H1771" s="9"/>
      <c r="I1771" s="9"/>
      <c r="J1771" s="7"/>
      <c r="K1771" s="7"/>
    </row>
    <row r="1772" customFormat="false" ht="15" hidden="false" customHeight="true" outlineLevel="0" collapsed="false">
      <c r="A1772" s="14"/>
      <c r="B1772" s="7"/>
      <c r="C1772" s="7"/>
      <c r="D1772" s="7"/>
      <c r="E1772" s="7"/>
      <c r="F1772" s="7"/>
      <c r="G1772" s="9"/>
      <c r="H1772" s="9"/>
      <c r="I1772" s="9"/>
      <c r="J1772" s="7"/>
      <c r="K1772" s="7"/>
    </row>
    <row r="1773" customFormat="false" ht="15" hidden="false" customHeight="true" outlineLevel="0" collapsed="false">
      <c r="A1773" s="14"/>
      <c r="B1773" s="7"/>
      <c r="C1773" s="7"/>
      <c r="D1773" s="7"/>
      <c r="E1773" s="7"/>
      <c r="F1773" s="7"/>
      <c r="G1773" s="9"/>
      <c r="H1773" s="9"/>
      <c r="I1773" s="9"/>
      <c r="J1773" s="7"/>
      <c r="K1773" s="7"/>
    </row>
    <row r="1774" customFormat="false" ht="15" hidden="false" customHeight="true" outlineLevel="0" collapsed="false">
      <c r="A1774" s="14"/>
      <c r="B1774" s="7"/>
      <c r="C1774" s="7"/>
      <c r="D1774" s="7"/>
      <c r="E1774" s="7"/>
      <c r="F1774" s="7"/>
      <c r="G1774" s="9"/>
      <c r="H1774" s="9"/>
      <c r="I1774" s="9"/>
      <c r="J1774" s="7"/>
      <c r="K1774" s="7"/>
    </row>
    <row r="1775" customFormat="false" ht="15" hidden="false" customHeight="true" outlineLevel="0" collapsed="false">
      <c r="A1775" s="14"/>
      <c r="B1775" s="7"/>
      <c r="C1775" s="7"/>
      <c r="D1775" s="7"/>
      <c r="E1775" s="7"/>
      <c r="F1775" s="7"/>
      <c r="G1775" s="9"/>
      <c r="H1775" s="9"/>
      <c r="I1775" s="9"/>
      <c r="J1775" s="7"/>
      <c r="K1775" s="7"/>
    </row>
    <row r="1776" customFormat="false" ht="15" hidden="false" customHeight="true" outlineLevel="0" collapsed="false">
      <c r="A1776" s="14"/>
      <c r="B1776" s="7"/>
      <c r="C1776" s="7"/>
      <c r="D1776" s="7"/>
      <c r="E1776" s="7"/>
      <c r="F1776" s="7"/>
      <c r="G1776" s="9"/>
      <c r="H1776" s="9"/>
      <c r="I1776" s="9"/>
      <c r="J1776" s="7"/>
      <c r="K1776" s="7"/>
    </row>
    <row r="1777" customFormat="false" ht="15" hidden="false" customHeight="true" outlineLevel="0" collapsed="false">
      <c r="A1777" s="14"/>
      <c r="B1777" s="7"/>
      <c r="C1777" s="7"/>
      <c r="D1777" s="7"/>
      <c r="E1777" s="7"/>
      <c r="F1777" s="7"/>
      <c r="G1777" s="9"/>
      <c r="H1777" s="9"/>
      <c r="I1777" s="9"/>
      <c r="J1777" s="7"/>
      <c r="K1777" s="7"/>
    </row>
    <row r="1778" customFormat="false" ht="15" hidden="false" customHeight="true" outlineLevel="0" collapsed="false">
      <c r="A1778" s="14"/>
      <c r="B1778" s="7"/>
      <c r="C1778" s="7"/>
      <c r="D1778" s="7"/>
      <c r="E1778" s="7"/>
      <c r="F1778" s="7"/>
      <c r="G1778" s="9"/>
      <c r="H1778" s="9"/>
      <c r="I1778" s="9"/>
      <c r="J1778" s="7"/>
      <c r="K1778" s="7"/>
    </row>
    <row r="1779" customFormat="false" ht="15" hidden="false" customHeight="true" outlineLevel="0" collapsed="false">
      <c r="A1779" s="14"/>
      <c r="B1779" s="7"/>
      <c r="C1779" s="7"/>
      <c r="D1779" s="7"/>
      <c r="E1779" s="7"/>
      <c r="F1779" s="7"/>
      <c r="G1779" s="9"/>
      <c r="H1779" s="9"/>
      <c r="I1779" s="9"/>
      <c r="J1779" s="7"/>
      <c r="K1779" s="7"/>
    </row>
    <row r="1780" customFormat="false" ht="15" hidden="false" customHeight="true" outlineLevel="0" collapsed="false">
      <c r="A1780" s="14"/>
      <c r="B1780" s="7"/>
      <c r="C1780" s="7"/>
      <c r="D1780" s="7"/>
      <c r="E1780" s="7"/>
      <c r="F1780" s="7"/>
      <c r="G1780" s="9"/>
      <c r="H1780" s="9"/>
      <c r="I1780" s="9"/>
      <c r="J1780" s="7"/>
      <c r="K1780" s="7"/>
    </row>
    <row r="1781" customFormat="false" ht="15" hidden="false" customHeight="true" outlineLevel="0" collapsed="false">
      <c r="A1781" s="14"/>
      <c r="B1781" s="7"/>
      <c r="C1781" s="7"/>
      <c r="D1781" s="7"/>
      <c r="E1781" s="7"/>
      <c r="F1781" s="7"/>
      <c r="G1781" s="9"/>
      <c r="H1781" s="9"/>
      <c r="I1781" s="9"/>
      <c r="J1781" s="7"/>
      <c r="K1781" s="7"/>
    </row>
    <row r="1782" customFormat="false" ht="15" hidden="false" customHeight="true" outlineLevel="0" collapsed="false">
      <c r="A1782" s="14"/>
      <c r="B1782" s="7"/>
      <c r="C1782" s="7"/>
      <c r="D1782" s="7"/>
      <c r="E1782" s="7"/>
      <c r="F1782" s="7"/>
      <c r="G1782" s="9"/>
      <c r="H1782" s="9"/>
      <c r="I1782" s="9"/>
      <c r="J1782" s="7"/>
      <c r="K1782" s="7"/>
    </row>
    <row r="1783" customFormat="false" ht="15" hidden="false" customHeight="true" outlineLevel="0" collapsed="false">
      <c r="A1783" s="14"/>
      <c r="B1783" s="7"/>
      <c r="C1783" s="7"/>
      <c r="D1783" s="7"/>
      <c r="E1783" s="7"/>
      <c r="F1783" s="7"/>
      <c r="G1783" s="9"/>
      <c r="H1783" s="9"/>
      <c r="I1783" s="9"/>
      <c r="J1783" s="7"/>
      <c r="K1783" s="7"/>
    </row>
    <row r="1784" customFormat="false" ht="15" hidden="false" customHeight="true" outlineLevel="0" collapsed="false">
      <c r="A1784" s="14"/>
      <c r="B1784" s="7"/>
      <c r="C1784" s="7"/>
      <c r="D1784" s="7"/>
      <c r="E1784" s="7"/>
      <c r="F1784" s="7"/>
      <c r="G1784" s="9"/>
      <c r="H1784" s="9"/>
      <c r="I1784" s="9"/>
      <c r="J1784" s="7"/>
      <c r="K1784" s="7"/>
    </row>
    <row r="1785" customFormat="false" ht="15" hidden="false" customHeight="true" outlineLevel="0" collapsed="false">
      <c r="A1785" s="14"/>
      <c r="B1785" s="7"/>
      <c r="C1785" s="7"/>
      <c r="D1785" s="7"/>
      <c r="E1785" s="7"/>
      <c r="F1785" s="7"/>
      <c r="G1785" s="9"/>
      <c r="H1785" s="9"/>
      <c r="I1785" s="9"/>
      <c r="J1785" s="7"/>
      <c r="K1785" s="7"/>
    </row>
    <row r="1786" customFormat="false" ht="15" hidden="false" customHeight="true" outlineLevel="0" collapsed="false">
      <c r="A1786" s="14"/>
      <c r="B1786" s="7"/>
      <c r="C1786" s="7"/>
      <c r="D1786" s="7"/>
      <c r="E1786" s="7"/>
      <c r="F1786" s="7"/>
      <c r="G1786" s="9"/>
      <c r="H1786" s="9"/>
      <c r="I1786" s="9"/>
      <c r="J1786" s="7"/>
      <c r="K1786" s="7"/>
    </row>
    <row r="1787" customFormat="false" ht="15" hidden="false" customHeight="true" outlineLevel="0" collapsed="false">
      <c r="A1787" s="14"/>
      <c r="B1787" s="7"/>
      <c r="C1787" s="7"/>
      <c r="D1787" s="7"/>
      <c r="E1787" s="7"/>
      <c r="F1787" s="7"/>
      <c r="G1787" s="9"/>
      <c r="H1787" s="9"/>
      <c r="I1787" s="9"/>
      <c r="J1787" s="7"/>
      <c r="K1787" s="7"/>
    </row>
    <row r="1788" customFormat="false" ht="15" hidden="false" customHeight="true" outlineLevel="0" collapsed="false">
      <c r="A1788" s="14"/>
      <c r="B1788" s="7"/>
      <c r="C1788" s="7"/>
      <c r="D1788" s="7"/>
      <c r="E1788" s="7"/>
      <c r="F1788" s="7"/>
      <c r="G1788" s="9"/>
      <c r="H1788" s="9"/>
      <c r="I1788" s="9"/>
      <c r="J1788" s="7"/>
      <c r="K1788" s="7"/>
    </row>
    <row r="1789" customFormat="false" ht="15" hidden="false" customHeight="true" outlineLevel="0" collapsed="false">
      <c r="A1789" s="14"/>
      <c r="B1789" s="7"/>
      <c r="C1789" s="7"/>
      <c r="D1789" s="7"/>
      <c r="E1789" s="7"/>
      <c r="F1789" s="7"/>
      <c r="G1789" s="9"/>
      <c r="H1789" s="9"/>
      <c r="I1789" s="9"/>
      <c r="J1789" s="7"/>
      <c r="K1789" s="7"/>
    </row>
    <row r="1790" customFormat="false" ht="15" hidden="false" customHeight="true" outlineLevel="0" collapsed="false">
      <c r="A1790" s="14"/>
      <c r="B1790" s="7"/>
      <c r="C1790" s="7"/>
      <c r="D1790" s="7"/>
      <c r="E1790" s="7"/>
      <c r="F1790" s="7"/>
      <c r="G1790" s="9"/>
      <c r="H1790" s="9"/>
      <c r="I1790" s="9"/>
      <c r="J1790" s="7"/>
      <c r="K1790" s="7"/>
    </row>
    <row r="1791" customFormat="false" ht="15" hidden="false" customHeight="true" outlineLevel="0" collapsed="false">
      <c r="A1791" s="14"/>
      <c r="B1791" s="7"/>
      <c r="C1791" s="7"/>
      <c r="D1791" s="7"/>
      <c r="E1791" s="7"/>
      <c r="F1791" s="7"/>
      <c r="G1791" s="9"/>
      <c r="H1791" s="9"/>
      <c r="I1791" s="9"/>
      <c r="J1791" s="7"/>
      <c r="K1791" s="7"/>
    </row>
    <row r="1792" customFormat="false" ht="15" hidden="false" customHeight="true" outlineLevel="0" collapsed="false">
      <c r="A1792" s="14"/>
      <c r="B1792" s="7"/>
      <c r="C1792" s="7"/>
      <c r="D1792" s="7"/>
      <c r="E1792" s="7"/>
      <c r="F1792" s="7"/>
      <c r="G1792" s="9"/>
      <c r="H1792" s="9"/>
      <c r="I1792" s="9"/>
      <c r="J1792" s="7"/>
      <c r="K1792" s="7"/>
    </row>
    <row r="1793" customFormat="false" ht="15" hidden="false" customHeight="true" outlineLevel="0" collapsed="false">
      <c r="A1793" s="14"/>
      <c r="B1793" s="7"/>
      <c r="C1793" s="7"/>
      <c r="D1793" s="7"/>
      <c r="E1793" s="7"/>
      <c r="F1793" s="7"/>
      <c r="G1793" s="9"/>
      <c r="H1793" s="9"/>
      <c r="I1793" s="9"/>
      <c r="J1793" s="7"/>
      <c r="K1793" s="7"/>
    </row>
    <row r="1794" customFormat="false" ht="15" hidden="false" customHeight="true" outlineLevel="0" collapsed="false">
      <c r="A1794" s="14"/>
      <c r="B1794" s="7"/>
      <c r="C1794" s="7"/>
      <c r="D1794" s="7"/>
      <c r="E1794" s="7"/>
      <c r="F1794" s="7"/>
      <c r="G1794" s="9"/>
      <c r="H1794" s="9"/>
      <c r="I1794" s="9"/>
      <c r="J1794" s="7"/>
      <c r="K1794" s="7"/>
    </row>
    <row r="1795" customFormat="false" ht="15" hidden="false" customHeight="true" outlineLevel="0" collapsed="false">
      <c r="A1795" s="14"/>
      <c r="B1795" s="7"/>
      <c r="C1795" s="7"/>
      <c r="D1795" s="7"/>
      <c r="E1795" s="7"/>
      <c r="F1795" s="7"/>
      <c r="G1795" s="9"/>
      <c r="H1795" s="9"/>
      <c r="I1795" s="9"/>
      <c r="J1795" s="7"/>
      <c r="K1795" s="7"/>
    </row>
    <row r="1796" customFormat="false" ht="15" hidden="false" customHeight="true" outlineLevel="0" collapsed="false">
      <c r="A1796" s="14"/>
      <c r="B1796" s="7"/>
      <c r="C1796" s="7"/>
      <c r="D1796" s="7"/>
      <c r="E1796" s="7"/>
      <c r="F1796" s="7"/>
      <c r="G1796" s="9"/>
      <c r="H1796" s="9"/>
      <c r="I1796" s="9"/>
      <c r="J1796" s="7"/>
      <c r="K1796" s="7"/>
    </row>
    <row r="1797" customFormat="false" ht="15" hidden="false" customHeight="true" outlineLevel="0" collapsed="false">
      <c r="A1797" s="14"/>
      <c r="B1797" s="7"/>
      <c r="C1797" s="7"/>
      <c r="D1797" s="7"/>
      <c r="E1797" s="7"/>
      <c r="F1797" s="7"/>
      <c r="G1797" s="9"/>
      <c r="H1797" s="9"/>
      <c r="I1797" s="9"/>
      <c r="J1797" s="7"/>
      <c r="K1797" s="7"/>
    </row>
    <row r="1798" customFormat="false" ht="15" hidden="false" customHeight="true" outlineLevel="0" collapsed="false">
      <c r="A1798" s="14"/>
      <c r="B1798" s="7"/>
      <c r="C1798" s="7"/>
      <c r="D1798" s="7"/>
      <c r="E1798" s="7"/>
      <c r="F1798" s="7"/>
      <c r="G1798" s="9"/>
      <c r="H1798" s="9"/>
      <c r="I1798" s="9"/>
      <c r="J1798" s="7"/>
      <c r="K1798" s="7"/>
    </row>
    <row r="1799" customFormat="false" ht="15" hidden="false" customHeight="true" outlineLevel="0" collapsed="false">
      <c r="A1799" s="14"/>
      <c r="B1799" s="7"/>
      <c r="C1799" s="7"/>
      <c r="D1799" s="7"/>
      <c r="E1799" s="7"/>
      <c r="F1799" s="7"/>
      <c r="G1799" s="9"/>
      <c r="H1799" s="9"/>
      <c r="I1799" s="9"/>
      <c r="J1799" s="7"/>
      <c r="K1799" s="7"/>
    </row>
    <row r="1800" customFormat="false" ht="15" hidden="false" customHeight="true" outlineLevel="0" collapsed="false">
      <c r="A1800" s="14"/>
      <c r="B1800" s="7"/>
      <c r="C1800" s="7"/>
      <c r="D1800" s="7"/>
      <c r="E1800" s="7"/>
      <c r="F1800" s="7"/>
      <c r="G1800" s="9"/>
      <c r="H1800" s="9"/>
      <c r="I1800" s="9"/>
      <c r="J1800" s="7"/>
      <c r="K1800" s="7"/>
    </row>
    <row r="1801" customFormat="false" ht="15" hidden="false" customHeight="true" outlineLevel="0" collapsed="false">
      <c r="A1801" s="14"/>
      <c r="B1801" s="7"/>
      <c r="C1801" s="7"/>
      <c r="D1801" s="7"/>
      <c r="E1801" s="7"/>
      <c r="F1801" s="7"/>
      <c r="G1801" s="9"/>
      <c r="H1801" s="9"/>
      <c r="I1801" s="9"/>
      <c r="J1801" s="7"/>
      <c r="K1801" s="7"/>
    </row>
    <row r="1802" customFormat="false" ht="15" hidden="false" customHeight="true" outlineLevel="0" collapsed="false">
      <c r="A1802" s="14"/>
      <c r="B1802" s="7"/>
      <c r="C1802" s="7"/>
      <c r="D1802" s="7"/>
      <c r="E1802" s="7"/>
      <c r="F1802" s="7"/>
      <c r="G1802" s="9"/>
      <c r="H1802" s="9"/>
      <c r="I1802" s="9"/>
      <c r="J1802" s="7"/>
      <c r="K1802" s="7"/>
    </row>
    <row r="1803" customFormat="false" ht="15" hidden="false" customHeight="true" outlineLevel="0" collapsed="false">
      <c r="A1803" s="14"/>
      <c r="B1803" s="7"/>
      <c r="C1803" s="7"/>
      <c r="D1803" s="7"/>
      <c r="E1803" s="7"/>
      <c r="F1803" s="7"/>
      <c r="G1803" s="9"/>
      <c r="H1803" s="9"/>
      <c r="I1803" s="9"/>
      <c r="J1803" s="7"/>
      <c r="K1803" s="7"/>
    </row>
    <row r="1804" customFormat="false" ht="15" hidden="false" customHeight="true" outlineLevel="0" collapsed="false">
      <c r="A1804" s="14"/>
      <c r="B1804" s="7"/>
      <c r="C1804" s="7"/>
      <c r="D1804" s="7"/>
      <c r="E1804" s="7"/>
      <c r="F1804" s="7"/>
      <c r="G1804" s="9"/>
      <c r="H1804" s="9"/>
      <c r="I1804" s="9"/>
      <c r="J1804" s="7"/>
      <c r="K1804" s="7"/>
    </row>
    <row r="1805" customFormat="false" ht="15" hidden="false" customHeight="true" outlineLevel="0" collapsed="false">
      <c r="A1805" s="14"/>
      <c r="B1805" s="7"/>
      <c r="C1805" s="7"/>
      <c r="D1805" s="7"/>
      <c r="E1805" s="7"/>
      <c r="F1805" s="7"/>
      <c r="G1805" s="9"/>
      <c r="H1805" s="9"/>
      <c r="I1805" s="9"/>
      <c r="J1805" s="7"/>
      <c r="K1805" s="7"/>
    </row>
    <row r="1806" customFormat="false" ht="15" hidden="false" customHeight="true" outlineLevel="0" collapsed="false">
      <c r="A1806" s="14"/>
      <c r="B1806" s="7"/>
      <c r="C1806" s="7"/>
      <c r="D1806" s="7"/>
      <c r="E1806" s="7"/>
      <c r="F1806" s="7"/>
      <c r="G1806" s="9"/>
      <c r="H1806" s="9"/>
      <c r="I1806" s="9"/>
      <c r="J1806" s="7"/>
      <c r="K1806" s="7"/>
    </row>
    <row r="1807" customFormat="false" ht="15" hidden="false" customHeight="true" outlineLevel="0" collapsed="false">
      <c r="A1807" s="14"/>
      <c r="B1807" s="7"/>
      <c r="C1807" s="7"/>
      <c r="D1807" s="7"/>
      <c r="E1807" s="7"/>
      <c r="F1807" s="7"/>
      <c r="G1807" s="9"/>
      <c r="H1807" s="9"/>
      <c r="I1807" s="9"/>
      <c r="J1807" s="7"/>
      <c r="K1807" s="7"/>
    </row>
    <row r="1808" customFormat="false" ht="15" hidden="false" customHeight="true" outlineLevel="0" collapsed="false">
      <c r="A1808" s="14"/>
      <c r="B1808" s="7"/>
      <c r="C1808" s="7"/>
      <c r="D1808" s="7"/>
      <c r="E1808" s="7"/>
      <c r="F1808" s="7"/>
      <c r="G1808" s="9"/>
      <c r="H1808" s="9"/>
      <c r="I1808" s="9"/>
      <c r="J1808" s="7"/>
      <c r="K1808" s="7"/>
    </row>
    <row r="1809" customFormat="false" ht="15" hidden="false" customHeight="true" outlineLevel="0" collapsed="false">
      <c r="A1809" s="14"/>
      <c r="B1809" s="7"/>
      <c r="C1809" s="7"/>
      <c r="D1809" s="7"/>
      <c r="E1809" s="7"/>
      <c r="F1809" s="7"/>
      <c r="G1809" s="9"/>
      <c r="H1809" s="9"/>
      <c r="I1809" s="9"/>
      <c r="J1809" s="7"/>
      <c r="K1809" s="7"/>
    </row>
    <row r="1810" customFormat="false" ht="15" hidden="false" customHeight="true" outlineLevel="0" collapsed="false">
      <c r="A1810" s="14"/>
      <c r="B1810" s="7"/>
      <c r="C1810" s="7"/>
      <c r="D1810" s="7"/>
      <c r="E1810" s="7"/>
      <c r="F1810" s="7"/>
      <c r="G1810" s="9"/>
      <c r="H1810" s="9"/>
      <c r="I1810" s="9"/>
      <c r="J1810" s="7"/>
      <c r="K1810" s="7"/>
    </row>
    <row r="1811" customFormat="false" ht="15" hidden="false" customHeight="true" outlineLevel="0" collapsed="false">
      <c r="A1811" s="14"/>
      <c r="B1811" s="7"/>
      <c r="C1811" s="7"/>
      <c r="D1811" s="7"/>
      <c r="E1811" s="7"/>
      <c r="F1811" s="7"/>
      <c r="G1811" s="9"/>
      <c r="H1811" s="9"/>
      <c r="I1811" s="9"/>
      <c r="J1811" s="7"/>
      <c r="K1811" s="7"/>
    </row>
    <row r="1812" customFormat="false" ht="15" hidden="false" customHeight="true" outlineLevel="0" collapsed="false">
      <c r="A1812" s="14"/>
      <c r="B1812" s="7"/>
      <c r="C1812" s="7"/>
      <c r="D1812" s="7"/>
      <c r="E1812" s="7"/>
      <c r="F1812" s="7"/>
      <c r="G1812" s="9"/>
      <c r="H1812" s="9"/>
      <c r="I1812" s="9"/>
      <c r="J1812" s="7"/>
      <c r="K1812" s="7"/>
    </row>
    <row r="1813" customFormat="false" ht="15" hidden="false" customHeight="true" outlineLevel="0" collapsed="false">
      <c r="A1813" s="14"/>
      <c r="B1813" s="7"/>
      <c r="C1813" s="7"/>
      <c r="D1813" s="7"/>
      <c r="E1813" s="7"/>
      <c r="F1813" s="7"/>
      <c r="G1813" s="9"/>
      <c r="H1813" s="9"/>
      <c r="I1813" s="9"/>
      <c r="J1813" s="7"/>
      <c r="K1813" s="7"/>
    </row>
    <row r="1814" customFormat="false" ht="15" hidden="false" customHeight="true" outlineLevel="0" collapsed="false">
      <c r="A1814" s="14"/>
      <c r="B1814" s="7"/>
      <c r="C1814" s="7"/>
      <c r="D1814" s="7"/>
      <c r="E1814" s="7"/>
      <c r="F1814" s="7"/>
      <c r="G1814" s="9"/>
      <c r="H1814" s="9"/>
      <c r="I1814" s="9"/>
      <c r="J1814" s="7"/>
      <c r="K1814" s="7"/>
    </row>
    <row r="1815" customFormat="false" ht="15" hidden="false" customHeight="true" outlineLevel="0" collapsed="false">
      <c r="A1815" s="14"/>
      <c r="B1815" s="7"/>
      <c r="C1815" s="7"/>
      <c r="D1815" s="7"/>
      <c r="E1815" s="7"/>
      <c r="F1815" s="7"/>
      <c r="G1815" s="9"/>
      <c r="H1815" s="9"/>
      <c r="I1815" s="9"/>
      <c r="J1815" s="7"/>
      <c r="K1815" s="7"/>
    </row>
    <row r="1816" customFormat="false" ht="15" hidden="false" customHeight="true" outlineLevel="0" collapsed="false">
      <c r="A1816" s="14"/>
      <c r="B1816" s="7"/>
      <c r="C1816" s="7"/>
      <c r="D1816" s="7"/>
      <c r="E1816" s="7"/>
      <c r="F1816" s="7"/>
      <c r="G1816" s="9"/>
      <c r="H1816" s="9"/>
      <c r="I1816" s="9"/>
      <c r="J1816" s="7"/>
      <c r="K1816" s="7"/>
    </row>
    <row r="1817" customFormat="false" ht="15" hidden="false" customHeight="true" outlineLevel="0" collapsed="false">
      <c r="A1817" s="14"/>
      <c r="B1817" s="7"/>
      <c r="C1817" s="7"/>
      <c r="D1817" s="7"/>
      <c r="E1817" s="7"/>
      <c r="F1817" s="7"/>
      <c r="G1817" s="9"/>
      <c r="H1817" s="9"/>
      <c r="I1817" s="9"/>
      <c r="J1817" s="7"/>
      <c r="K1817" s="7"/>
    </row>
    <row r="1818" customFormat="false" ht="15" hidden="false" customHeight="true" outlineLevel="0" collapsed="false">
      <c r="A1818" s="14"/>
      <c r="B1818" s="7"/>
      <c r="C1818" s="7"/>
      <c r="D1818" s="7"/>
      <c r="E1818" s="7"/>
      <c r="F1818" s="7"/>
      <c r="G1818" s="9"/>
      <c r="H1818" s="9"/>
      <c r="I1818" s="9"/>
      <c r="J1818" s="7"/>
      <c r="K1818" s="7"/>
    </row>
    <row r="1819" customFormat="false" ht="15" hidden="false" customHeight="true" outlineLevel="0" collapsed="false">
      <c r="A1819" s="14"/>
      <c r="B1819" s="7"/>
      <c r="C1819" s="7"/>
      <c r="D1819" s="7"/>
      <c r="E1819" s="7"/>
      <c r="F1819" s="7"/>
      <c r="G1819" s="9"/>
      <c r="H1819" s="9"/>
      <c r="I1819" s="9"/>
      <c r="J1819" s="7"/>
      <c r="K1819" s="7"/>
    </row>
    <row r="1820" customFormat="false" ht="15" hidden="false" customHeight="true" outlineLevel="0" collapsed="false">
      <c r="A1820" s="14"/>
      <c r="B1820" s="7"/>
      <c r="C1820" s="7"/>
      <c r="D1820" s="7"/>
      <c r="E1820" s="7"/>
      <c r="F1820" s="7"/>
      <c r="G1820" s="9"/>
      <c r="H1820" s="9"/>
      <c r="I1820" s="9"/>
      <c r="J1820" s="7"/>
      <c r="K1820" s="7"/>
    </row>
    <row r="1821" customFormat="false" ht="15" hidden="false" customHeight="true" outlineLevel="0" collapsed="false">
      <c r="A1821" s="14"/>
      <c r="B1821" s="7"/>
      <c r="C1821" s="7"/>
      <c r="D1821" s="7"/>
      <c r="E1821" s="7"/>
      <c r="F1821" s="7"/>
      <c r="G1821" s="9"/>
      <c r="H1821" s="9"/>
      <c r="I1821" s="9"/>
      <c r="J1821" s="7"/>
      <c r="K1821" s="7"/>
    </row>
    <row r="1822" customFormat="false" ht="15" hidden="false" customHeight="true" outlineLevel="0" collapsed="false">
      <c r="A1822" s="14"/>
      <c r="B1822" s="7"/>
      <c r="C1822" s="7"/>
      <c r="D1822" s="7"/>
      <c r="E1822" s="7"/>
      <c r="F1822" s="7"/>
      <c r="G1822" s="9"/>
      <c r="H1822" s="9"/>
      <c r="I1822" s="9"/>
      <c r="J1822" s="7"/>
      <c r="K1822" s="7"/>
    </row>
    <row r="1823" customFormat="false" ht="15" hidden="false" customHeight="true" outlineLevel="0" collapsed="false">
      <c r="A1823" s="14"/>
      <c r="B1823" s="7"/>
      <c r="C1823" s="7"/>
      <c r="D1823" s="7"/>
      <c r="E1823" s="7"/>
      <c r="F1823" s="7"/>
      <c r="G1823" s="9"/>
      <c r="H1823" s="9"/>
      <c r="I1823" s="9"/>
      <c r="J1823" s="7"/>
      <c r="K1823" s="7"/>
    </row>
    <row r="1824" customFormat="false" ht="15" hidden="false" customHeight="true" outlineLevel="0" collapsed="false">
      <c r="A1824" s="14"/>
      <c r="B1824" s="7"/>
      <c r="C1824" s="7"/>
      <c r="D1824" s="7"/>
      <c r="E1824" s="7"/>
      <c r="F1824" s="7"/>
      <c r="G1824" s="9"/>
      <c r="H1824" s="9"/>
      <c r="I1824" s="9"/>
      <c r="J1824" s="7"/>
      <c r="K1824" s="7"/>
    </row>
    <row r="1825" customFormat="false" ht="15" hidden="false" customHeight="true" outlineLevel="0" collapsed="false">
      <c r="A1825" s="14"/>
      <c r="B1825" s="7"/>
      <c r="C1825" s="7"/>
      <c r="D1825" s="7"/>
      <c r="E1825" s="7"/>
      <c r="F1825" s="7"/>
      <c r="G1825" s="9"/>
      <c r="H1825" s="9"/>
      <c r="I1825" s="9"/>
      <c r="J1825" s="7"/>
      <c r="K1825" s="7"/>
    </row>
    <row r="1826" customFormat="false" ht="15" hidden="false" customHeight="true" outlineLevel="0" collapsed="false">
      <c r="A1826" s="14"/>
      <c r="B1826" s="7"/>
      <c r="C1826" s="7"/>
      <c r="D1826" s="7"/>
      <c r="E1826" s="7"/>
      <c r="F1826" s="7"/>
      <c r="G1826" s="9"/>
      <c r="H1826" s="9"/>
      <c r="I1826" s="9"/>
      <c r="J1826" s="7"/>
      <c r="K1826" s="7"/>
    </row>
    <row r="1827" customFormat="false" ht="15" hidden="false" customHeight="true" outlineLevel="0" collapsed="false">
      <c r="A1827" s="14"/>
      <c r="B1827" s="7"/>
      <c r="C1827" s="7"/>
      <c r="D1827" s="7"/>
      <c r="E1827" s="7"/>
      <c r="F1827" s="7"/>
      <c r="G1827" s="9"/>
      <c r="H1827" s="9"/>
      <c r="I1827" s="9"/>
      <c r="J1827" s="7"/>
      <c r="K1827" s="7"/>
    </row>
    <row r="1828" customFormat="false" ht="15" hidden="false" customHeight="true" outlineLevel="0" collapsed="false">
      <c r="A1828" s="14"/>
      <c r="B1828" s="7"/>
      <c r="C1828" s="7"/>
      <c r="D1828" s="7"/>
      <c r="E1828" s="7"/>
      <c r="F1828" s="7"/>
      <c r="G1828" s="9"/>
      <c r="H1828" s="9"/>
      <c r="I1828" s="9"/>
      <c r="J1828" s="7"/>
      <c r="K1828" s="7"/>
    </row>
    <row r="1829" customFormat="false" ht="15" hidden="false" customHeight="true" outlineLevel="0" collapsed="false">
      <c r="A1829" s="14"/>
      <c r="B1829" s="7"/>
      <c r="C1829" s="7"/>
      <c r="D1829" s="7"/>
      <c r="E1829" s="7"/>
      <c r="F1829" s="7"/>
      <c r="G1829" s="9"/>
      <c r="H1829" s="9"/>
      <c r="I1829" s="9"/>
      <c r="J1829" s="7"/>
      <c r="K1829" s="7"/>
    </row>
    <row r="1830" customFormat="false" ht="15" hidden="false" customHeight="true" outlineLevel="0" collapsed="false">
      <c r="A1830" s="14"/>
      <c r="B1830" s="7"/>
      <c r="C1830" s="7"/>
      <c r="D1830" s="7"/>
      <c r="E1830" s="7"/>
      <c r="F1830" s="7"/>
      <c r="G1830" s="9"/>
      <c r="H1830" s="9"/>
      <c r="I1830" s="9"/>
      <c r="J1830" s="7"/>
      <c r="K1830" s="7"/>
    </row>
    <row r="1831" customFormat="false" ht="15" hidden="false" customHeight="true" outlineLevel="0" collapsed="false">
      <c r="A1831" s="14"/>
      <c r="B1831" s="7"/>
      <c r="C1831" s="7"/>
      <c r="D1831" s="7"/>
      <c r="E1831" s="7"/>
      <c r="F1831" s="7"/>
      <c r="G1831" s="9"/>
      <c r="H1831" s="9"/>
      <c r="I1831" s="9"/>
      <c r="J1831" s="7"/>
      <c r="K1831" s="7"/>
    </row>
    <row r="1832" customFormat="false" ht="15" hidden="false" customHeight="true" outlineLevel="0" collapsed="false">
      <c r="A1832" s="14"/>
      <c r="B1832" s="7"/>
      <c r="C1832" s="7"/>
      <c r="D1832" s="7"/>
      <c r="E1832" s="7"/>
      <c r="F1832" s="7"/>
      <c r="G1832" s="9"/>
      <c r="H1832" s="9"/>
      <c r="I1832" s="9"/>
      <c r="J1832" s="7"/>
      <c r="K1832" s="7"/>
    </row>
    <row r="1833" customFormat="false" ht="15" hidden="false" customHeight="true" outlineLevel="0" collapsed="false">
      <c r="A1833" s="14"/>
      <c r="B1833" s="7"/>
      <c r="C1833" s="7"/>
      <c r="D1833" s="7"/>
      <c r="E1833" s="7"/>
      <c r="F1833" s="7"/>
      <c r="G1833" s="9"/>
      <c r="H1833" s="9"/>
      <c r="I1833" s="9"/>
      <c r="J1833" s="7"/>
      <c r="K1833" s="7"/>
    </row>
    <row r="1834" customFormat="false" ht="15" hidden="false" customHeight="true" outlineLevel="0" collapsed="false">
      <c r="A1834" s="14"/>
      <c r="B1834" s="7"/>
      <c r="C1834" s="7"/>
      <c r="D1834" s="7"/>
      <c r="E1834" s="7"/>
      <c r="F1834" s="7"/>
      <c r="G1834" s="9"/>
      <c r="H1834" s="9"/>
      <c r="I1834" s="9"/>
      <c r="J1834" s="7"/>
      <c r="K1834" s="7"/>
    </row>
    <row r="1835" customFormat="false" ht="15" hidden="false" customHeight="true" outlineLevel="0" collapsed="false">
      <c r="A1835" s="14"/>
      <c r="B1835" s="7"/>
      <c r="C1835" s="7"/>
      <c r="D1835" s="7"/>
      <c r="E1835" s="7"/>
      <c r="F1835" s="7"/>
      <c r="G1835" s="9"/>
      <c r="H1835" s="9"/>
      <c r="I1835" s="9"/>
      <c r="J1835" s="7"/>
      <c r="K1835" s="7"/>
    </row>
    <row r="1836" customFormat="false" ht="15" hidden="false" customHeight="true" outlineLevel="0" collapsed="false">
      <c r="A1836" s="14"/>
      <c r="B1836" s="7"/>
      <c r="C1836" s="7"/>
      <c r="D1836" s="7"/>
      <c r="E1836" s="7"/>
      <c r="F1836" s="7"/>
      <c r="G1836" s="9"/>
      <c r="H1836" s="9"/>
      <c r="I1836" s="9"/>
      <c r="J1836" s="7"/>
      <c r="K1836" s="7"/>
    </row>
    <row r="1837" customFormat="false" ht="15" hidden="false" customHeight="true" outlineLevel="0" collapsed="false">
      <c r="A1837" s="14"/>
      <c r="B1837" s="7"/>
      <c r="C1837" s="7"/>
      <c r="D1837" s="7"/>
      <c r="E1837" s="7"/>
      <c r="F1837" s="7"/>
      <c r="G1837" s="9"/>
      <c r="H1837" s="9"/>
      <c r="I1837" s="9"/>
      <c r="J1837" s="7"/>
      <c r="K1837" s="7"/>
    </row>
    <row r="1838" customFormat="false" ht="15" hidden="false" customHeight="true" outlineLevel="0" collapsed="false">
      <c r="A1838" s="14"/>
      <c r="B1838" s="7"/>
      <c r="C1838" s="7"/>
      <c r="D1838" s="7"/>
      <c r="E1838" s="7"/>
      <c r="F1838" s="7"/>
      <c r="G1838" s="9"/>
      <c r="H1838" s="9"/>
      <c r="I1838" s="9"/>
      <c r="J1838" s="7"/>
      <c r="K1838" s="7"/>
    </row>
    <row r="1839" customFormat="false" ht="15" hidden="false" customHeight="true" outlineLevel="0" collapsed="false">
      <c r="A1839" s="14"/>
      <c r="B1839" s="7"/>
      <c r="C1839" s="7"/>
      <c r="D1839" s="7"/>
      <c r="E1839" s="7"/>
      <c r="F1839" s="7"/>
      <c r="G1839" s="9"/>
      <c r="H1839" s="9"/>
      <c r="I1839" s="9"/>
      <c r="J1839" s="7"/>
      <c r="K1839" s="7"/>
    </row>
    <row r="1840" customFormat="false" ht="15" hidden="false" customHeight="true" outlineLevel="0" collapsed="false">
      <c r="A1840" s="14"/>
      <c r="B1840" s="7"/>
      <c r="C1840" s="7"/>
      <c r="D1840" s="7"/>
      <c r="E1840" s="7"/>
      <c r="F1840" s="7"/>
      <c r="G1840" s="9"/>
      <c r="H1840" s="9"/>
      <c r="I1840" s="9"/>
      <c r="J1840" s="7"/>
      <c r="K1840" s="7"/>
    </row>
    <row r="1841" customFormat="false" ht="15" hidden="false" customHeight="true" outlineLevel="0" collapsed="false">
      <c r="A1841" s="14"/>
      <c r="B1841" s="7"/>
      <c r="C1841" s="7"/>
      <c r="D1841" s="7"/>
      <c r="E1841" s="7"/>
      <c r="F1841" s="7"/>
      <c r="G1841" s="9"/>
      <c r="H1841" s="9"/>
      <c r="I1841" s="9"/>
      <c r="J1841" s="7"/>
      <c r="K1841" s="7"/>
    </row>
    <row r="1842" customFormat="false" ht="15" hidden="false" customHeight="true" outlineLevel="0" collapsed="false">
      <c r="A1842" s="14"/>
      <c r="B1842" s="7"/>
      <c r="C1842" s="7"/>
      <c r="D1842" s="7"/>
      <c r="E1842" s="7"/>
      <c r="F1842" s="7"/>
      <c r="G1842" s="9"/>
      <c r="H1842" s="9"/>
      <c r="I1842" s="9"/>
      <c r="J1842" s="7"/>
      <c r="K1842" s="7"/>
    </row>
    <row r="1843" customFormat="false" ht="15" hidden="false" customHeight="true" outlineLevel="0" collapsed="false">
      <c r="A1843" s="14"/>
      <c r="B1843" s="7"/>
      <c r="C1843" s="7"/>
      <c r="D1843" s="7"/>
      <c r="E1843" s="7"/>
      <c r="F1843" s="7"/>
      <c r="G1843" s="9"/>
      <c r="H1843" s="9"/>
      <c r="I1843" s="9"/>
      <c r="J1843" s="7"/>
      <c r="K1843" s="7"/>
    </row>
    <row r="1844" customFormat="false" ht="15" hidden="false" customHeight="true" outlineLevel="0" collapsed="false">
      <c r="A1844" s="14"/>
      <c r="B1844" s="7"/>
      <c r="C1844" s="7"/>
      <c r="D1844" s="7"/>
      <c r="E1844" s="7"/>
      <c r="F1844" s="7"/>
      <c r="G1844" s="9"/>
      <c r="H1844" s="9"/>
      <c r="I1844" s="9"/>
      <c r="J1844" s="7"/>
      <c r="K1844" s="7"/>
    </row>
    <row r="1845" customFormat="false" ht="15" hidden="false" customHeight="true" outlineLevel="0" collapsed="false">
      <c r="A1845" s="14"/>
      <c r="B1845" s="7"/>
      <c r="C1845" s="7"/>
      <c r="D1845" s="7"/>
      <c r="E1845" s="7"/>
      <c r="F1845" s="7"/>
      <c r="G1845" s="9"/>
      <c r="H1845" s="9"/>
      <c r="I1845" s="9"/>
      <c r="J1845" s="7"/>
      <c r="K1845" s="7"/>
    </row>
    <row r="1846" customFormat="false" ht="15" hidden="false" customHeight="true" outlineLevel="0" collapsed="false">
      <c r="A1846" s="14"/>
      <c r="B1846" s="7"/>
      <c r="C1846" s="7"/>
      <c r="D1846" s="7"/>
      <c r="E1846" s="7"/>
      <c r="F1846" s="7"/>
      <c r="G1846" s="9"/>
      <c r="H1846" s="9"/>
      <c r="I1846" s="9"/>
      <c r="J1846" s="7"/>
      <c r="K1846" s="7"/>
    </row>
    <row r="1847" customFormat="false" ht="15" hidden="false" customHeight="true" outlineLevel="0" collapsed="false">
      <c r="A1847" s="14"/>
      <c r="B1847" s="7"/>
      <c r="C1847" s="7"/>
      <c r="D1847" s="7"/>
      <c r="E1847" s="7"/>
      <c r="F1847" s="7"/>
      <c r="G1847" s="9"/>
      <c r="H1847" s="9"/>
      <c r="I1847" s="9"/>
      <c r="J1847" s="7"/>
      <c r="K1847" s="7"/>
    </row>
    <row r="1848" customFormat="false" ht="15" hidden="false" customHeight="true" outlineLevel="0" collapsed="false">
      <c r="A1848" s="14"/>
      <c r="B1848" s="7"/>
      <c r="C1848" s="7"/>
      <c r="D1848" s="7"/>
      <c r="E1848" s="7"/>
      <c r="F1848" s="7"/>
      <c r="G1848" s="9"/>
      <c r="H1848" s="9"/>
      <c r="I1848" s="9"/>
      <c r="J1848" s="7"/>
      <c r="K1848" s="7"/>
    </row>
    <row r="1849" customFormat="false" ht="15" hidden="false" customHeight="true" outlineLevel="0" collapsed="false">
      <c r="A1849" s="14"/>
      <c r="B1849" s="7"/>
      <c r="C1849" s="7"/>
      <c r="D1849" s="7"/>
      <c r="E1849" s="7"/>
      <c r="F1849" s="7"/>
      <c r="G1849" s="9"/>
      <c r="H1849" s="9"/>
      <c r="I1849" s="9"/>
      <c r="J1849" s="7"/>
      <c r="K1849" s="7"/>
    </row>
    <row r="1850" customFormat="false" ht="15" hidden="false" customHeight="true" outlineLevel="0" collapsed="false">
      <c r="A1850" s="14"/>
      <c r="B1850" s="7"/>
      <c r="C1850" s="7"/>
      <c r="D1850" s="7"/>
      <c r="E1850" s="7"/>
      <c r="F1850" s="7"/>
      <c r="G1850" s="9"/>
      <c r="H1850" s="9"/>
      <c r="I1850" s="9"/>
      <c r="J1850" s="7"/>
      <c r="K1850" s="7"/>
    </row>
    <row r="1851" customFormat="false" ht="15" hidden="false" customHeight="true" outlineLevel="0" collapsed="false">
      <c r="A1851" s="14"/>
      <c r="B1851" s="7"/>
      <c r="C1851" s="7"/>
      <c r="D1851" s="7"/>
      <c r="E1851" s="7"/>
      <c r="F1851" s="7"/>
      <c r="G1851" s="9"/>
      <c r="H1851" s="9"/>
      <c r="I1851" s="9"/>
      <c r="J1851" s="7"/>
      <c r="K1851" s="7"/>
    </row>
    <row r="1852" customFormat="false" ht="15" hidden="false" customHeight="true" outlineLevel="0" collapsed="false">
      <c r="A1852" s="14"/>
      <c r="B1852" s="7"/>
      <c r="C1852" s="7"/>
      <c r="D1852" s="7"/>
      <c r="E1852" s="7"/>
      <c r="F1852" s="7"/>
      <c r="G1852" s="9"/>
      <c r="H1852" s="9"/>
      <c r="I1852" s="9"/>
      <c r="J1852" s="7"/>
      <c r="K1852" s="7"/>
    </row>
    <row r="1853" customFormat="false" ht="15" hidden="false" customHeight="true" outlineLevel="0" collapsed="false">
      <c r="A1853" s="14"/>
      <c r="B1853" s="7"/>
      <c r="C1853" s="7"/>
      <c r="D1853" s="7"/>
      <c r="E1853" s="7"/>
      <c r="F1853" s="7"/>
      <c r="G1853" s="9"/>
      <c r="H1853" s="9"/>
      <c r="I1853" s="9"/>
      <c r="J1853" s="7"/>
      <c r="K1853" s="7"/>
    </row>
    <row r="1854" customFormat="false" ht="15" hidden="false" customHeight="true" outlineLevel="0" collapsed="false">
      <c r="A1854" s="14"/>
      <c r="B1854" s="7"/>
      <c r="C1854" s="7"/>
      <c r="D1854" s="7"/>
      <c r="E1854" s="7"/>
      <c r="F1854" s="7"/>
      <c r="G1854" s="9"/>
      <c r="H1854" s="9"/>
      <c r="I1854" s="9"/>
      <c r="J1854" s="7"/>
      <c r="K1854" s="7"/>
    </row>
    <row r="1855" customFormat="false" ht="15" hidden="false" customHeight="true" outlineLevel="0" collapsed="false">
      <c r="A1855" s="14"/>
      <c r="B1855" s="7"/>
      <c r="C1855" s="7"/>
      <c r="D1855" s="7"/>
      <c r="E1855" s="7"/>
      <c r="F1855" s="7"/>
      <c r="G1855" s="9"/>
      <c r="H1855" s="9"/>
      <c r="I1855" s="9"/>
      <c r="J1855" s="7"/>
      <c r="K1855" s="7"/>
    </row>
    <row r="1856" customFormat="false" ht="15" hidden="false" customHeight="true" outlineLevel="0" collapsed="false">
      <c r="A1856" s="14"/>
      <c r="B1856" s="7"/>
      <c r="C1856" s="7"/>
      <c r="D1856" s="7"/>
      <c r="E1856" s="7"/>
      <c r="F1856" s="7"/>
      <c r="G1856" s="9"/>
      <c r="H1856" s="9"/>
      <c r="I1856" s="9"/>
      <c r="J1856" s="7"/>
      <c r="K1856" s="7"/>
    </row>
    <row r="1857" customFormat="false" ht="15" hidden="false" customHeight="true" outlineLevel="0" collapsed="false">
      <c r="A1857" s="14"/>
      <c r="B1857" s="7"/>
      <c r="C1857" s="7"/>
      <c r="D1857" s="7"/>
      <c r="E1857" s="7"/>
      <c r="F1857" s="7"/>
      <c r="G1857" s="9"/>
      <c r="H1857" s="9"/>
      <c r="I1857" s="9"/>
      <c r="J1857" s="7"/>
      <c r="K1857" s="7"/>
    </row>
    <row r="1858" customFormat="false" ht="15" hidden="false" customHeight="true" outlineLevel="0" collapsed="false">
      <c r="A1858" s="14"/>
      <c r="B1858" s="7"/>
      <c r="C1858" s="7"/>
      <c r="D1858" s="7"/>
      <c r="E1858" s="7"/>
      <c r="F1858" s="7"/>
      <c r="G1858" s="9"/>
      <c r="H1858" s="9"/>
      <c r="I1858" s="9"/>
      <c r="J1858" s="7"/>
      <c r="K1858" s="7"/>
    </row>
    <row r="1859" customFormat="false" ht="15" hidden="false" customHeight="true" outlineLevel="0" collapsed="false">
      <c r="A1859" s="14"/>
      <c r="B1859" s="7"/>
      <c r="C1859" s="7"/>
      <c r="D1859" s="7"/>
      <c r="E1859" s="7"/>
      <c r="F1859" s="7"/>
      <c r="G1859" s="9"/>
      <c r="H1859" s="9"/>
      <c r="I1859" s="9"/>
      <c r="J1859" s="7"/>
      <c r="K1859" s="7"/>
    </row>
    <row r="1860" customFormat="false" ht="15" hidden="false" customHeight="true" outlineLevel="0" collapsed="false">
      <c r="A1860" s="14"/>
      <c r="B1860" s="7"/>
      <c r="C1860" s="7"/>
      <c r="D1860" s="7"/>
      <c r="E1860" s="7"/>
      <c r="F1860" s="7"/>
      <c r="G1860" s="9"/>
      <c r="H1860" s="9"/>
      <c r="I1860" s="9"/>
      <c r="J1860" s="7"/>
      <c r="K1860" s="7"/>
    </row>
    <row r="1861" customFormat="false" ht="15" hidden="false" customHeight="true" outlineLevel="0" collapsed="false">
      <c r="A1861" s="14"/>
      <c r="B1861" s="7"/>
      <c r="C1861" s="7"/>
      <c r="D1861" s="7"/>
      <c r="E1861" s="7"/>
      <c r="F1861" s="7"/>
      <c r="G1861" s="9"/>
      <c r="H1861" s="9"/>
      <c r="I1861" s="9"/>
      <c r="J1861" s="7"/>
      <c r="K1861" s="7"/>
    </row>
    <row r="1862" customFormat="false" ht="15" hidden="false" customHeight="true" outlineLevel="0" collapsed="false">
      <c r="A1862" s="14"/>
      <c r="B1862" s="7"/>
      <c r="C1862" s="7"/>
      <c r="D1862" s="7"/>
      <c r="E1862" s="7"/>
      <c r="F1862" s="7"/>
      <c r="G1862" s="9"/>
      <c r="H1862" s="9"/>
      <c r="I1862" s="9"/>
      <c r="J1862" s="7"/>
      <c r="K1862" s="7"/>
    </row>
    <row r="1863" customFormat="false" ht="15" hidden="false" customHeight="true" outlineLevel="0" collapsed="false">
      <c r="A1863" s="14"/>
      <c r="B1863" s="7"/>
      <c r="C1863" s="7"/>
      <c r="D1863" s="7"/>
      <c r="E1863" s="7"/>
      <c r="F1863" s="7"/>
      <c r="G1863" s="9"/>
      <c r="H1863" s="9"/>
      <c r="I1863" s="9"/>
      <c r="J1863" s="7"/>
      <c r="K1863" s="7"/>
    </row>
    <row r="1864" customFormat="false" ht="15" hidden="false" customHeight="true" outlineLevel="0" collapsed="false">
      <c r="A1864" s="14"/>
      <c r="B1864" s="7"/>
      <c r="C1864" s="7"/>
      <c r="D1864" s="7"/>
      <c r="E1864" s="7"/>
      <c r="F1864" s="7"/>
      <c r="G1864" s="9"/>
      <c r="H1864" s="9"/>
      <c r="I1864" s="9"/>
      <c r="J1864" s="7"/>
      <c r="K1864" s="7"/>
    </row>
    <row r="1865" customFormat="false" ht="15" hidden="false" customHeight="true" outlineLevel="0" collapsed="false">
      <c r="A1865" s="14"/>
      <c r="B1865" s="7"/>
      <c r="C1865" s="7"/>
      <c r="D1865" s="7"/>
      <c r="E1865" s="7"/>
      <c r="F1865" s="7"/>
      <c r="G1865" s="9"/>
      <c r="H1865" s="9"/>
      <c r="I1865" s="9"/>
      <c r="J1865" s="7"/>
      <c r="K1865" s="7"/>
    </row>
    <row r="1866" customFormat="false" ht="15" hidden="false" customHeight="true" outlineLevel="0" collapsed="false">
      <c r="A1866" s="14"/>
      <c r="B1866" s="7"/>
      <c r="C1866" s="7"/>
      <c r="D1866" s="7"/>
      <c r="E1866" s="7"/>
      <c r="F1866" s="7"/>
      <c r="G1866" s="9"/>
      <c r="H1866" s="9"/>
      <c r="I1866" s="9"/>
      <c r="J1866" s="7"/>
      <c r="K1866" s="7"/>
    </row>
    <row r="1867" customFormat="false" ht="15" hidden="false" customHeight="true" outlineLevel="0" collapsed="false">
      <c r="A1867" s="14"/>
      <c r="B1867" s="7"/>
      <c r="C1867" s="7"/>
      <c r="D1867" s="7"/>
      <c r="E1867" s="7"/>
      <c r="F1867" s="7"/>
      <c r="G1867" s="9"/>
      <c r="H1867" s="9"/>
      <c r="I1867" s="9"/>
      <c r="J1867" s="7"/>
      <c r="K1867" s="7"/>
    </row>
    <row r="1868" customFormat="false" ht="15" hidden="false" customHeight="true" outlineLevel="0" collapsed="false">
      <c r="A1868" s="14"/>
      <c r="B1868" s="7"/>
      <c r="C1868" s="7"/>
      <c r="D1868" s="7"/>
      <c r="E1868" s="7"/>
      <c r="F1868" s="7"/>
      <c r="G1868" s="9"/>
      <c r="H1868" s="9"/>
      <c r="I1868" s="9"/>
      <c r="J1868" s="7"/>
      <c r="K1868" s="7"/>
    </row>
    <row r="1869" customFormat="false" ht="15" hidden="false" customHeight="true" outlineLevel="0" collapsed="false">
      <c r="A1869" s="14"/>
      <c r="B1869" s="7"/>
      <c r="C1869" s="7"/>
      <c r="D1869" s="7"/>
      <c r="E1869" s="7"/>
      <c r="F1869" s="7"/>
      <c r="G1869" s="9"/>
      <c r="H1869" s="9"/>
      <c r="I1869" s="9"/>
      <c r="J1869" s="7"/>
      <c r="K1869" s="7"/>
    </row>
    <row r="1870" customFormat="false" ht="15" hidden="false" customHeight="true" outlineLevel="0" collapsed="false">
      <c r="A1870" s="14"/>
      <c r="B1870" s="7"/>
      <c r="C1870" s="7"/>
      <c r="D1870" s="7"/>
      <c r="E1870" s="7"/>
      <c r="F1870" s="7"/>
      <c r="G1870" s="9"/>
      <c r="H1870" s="9"/>
      <c r="I1870" s="9"/>
      <c r="J1870" s="7"/>
      <c r="K1870" s="7"/>
    </row>
    <row r="1871" customFormat="false" ht="15" hidden="false" customHeight="true" outlineLevel="0" collapsed="false">
      <c r="A1871" s="14"/>
      <c r="B1871" s="7"/>
      <c r="C1871" s="7"/>
      <c r="D1871" s="7"/>
      <c r="E1871" s="7"/>
      <c r="F1871" s="7"/>
      <c r="G1871" s="9"/>
      <c r="H1871" s="9"/>
      <c r="I1871" s="9"/>
      <c r="J1871" s="7"/>
      <c r="K1871" s="7"/>
    </row>
    <row r="1872" customFormat="false" ht="15" hidden="false" customHeight="true" outlineLevel="0" collapsed="false">
      <c r="A1872" s="14"/>
      <c r="B1872" s="7"/>
      <c r="C1872" s="7"/>
      <c r="D1872" s="7"/>
      <c r="E1872" s="7"/>
      <c r="F1872" s="7"/>
      <c r="G1872" s="9"/>
      <c r="H1872" s="9"/>
      <c r="I1872" s="9"/>
      <c r="J1872" s="7"/>
      <c r="K1872" s="7"/>
    </row>
    <row r="1873" customFormat="false" ht="15" hidden="false" customHeight="true" outlineLevel="0" collapsed="false">
      <c r="A1873" s="14"/>
      <c r="B1873" s="7"/>
      <c r="C1873" s="7"/>
      <c r="D1873" s="7"/>
      <c r="E1873" s="7"/>
      <c r="F1873" s="7"/>
      <c r="G1873" s="9"/>
      <c r="H1873" s="9"/>
      <c r="I1873" s="9"/>
      <c r="J1873" s="7"/>
      <c r="K1873" s="7"/>
    </row>
    <row r="1874" customFormat="false" ht="15" hidden="false" customHeight="true" outlineLevel="0" collapsed="false">
      <c r="A1874" s="14"/>
      <c r="B1874" s="7"/>
      <c r="C1874" s="7"/>
      <c r="D1874" s="7"/>
      <c r="E1874" s="7"/>
      <c r="F1874" s="7"/>
      <c r="G1874" s="9"/>
      <c r="H1874" s="9"/>
      <c r="I1874" s="9"/>
      <c r="J1874" s="7"/>
      <c r="K1874" s="7"/>
    </row>
    <row r="1875" customFormat="false" ht="15" hidden="false" customHeight="true" outlineLevel="0" collapsed="false">
      <c r="A1875" s="14"/>
      <c r="B1875" s="7"/>
      <c r="C1875" s="7"/>
      <c r="D1875" s="7"/>
      <c r="E1875" s="7"/>
      <c r="F1875" s="7"/>
      <c r="G1875" s="9"/>
      <c r="H1875" s="9"/>
      <c r="I1875" s="9"/>
      <c r="J1875" s="7"/>
      <c r="K1875" s="7"/>
    </row>
    <row r="1876" customFormat="false" ht="15" hidden="false" customHeight="true" outlineLevel="0" collapsed="false">
      <c r="A1876" s="14"/>
      <c r="B1876" s="7"/>
      <c r="C1876" s="7"/>
      <c r="D1876" s="7"/>
      <c r="E1876" s="7"/>
      <c r="F1876" s="7"/>
      <c r="G1876" s="9"/>
      <c r="H1876" s="9"/>
      <c r="I1876" s="9"/>
      <c r="J1876" s="7"/>
      <c r="K1876" s="7"/>
    </row>
    <row r="1877" customFormat="false" ht="15" hidden="false" customHeight="true" outlineLevel="0" collapsed="false">
      <c r="A1877" s="14"/>
      <c r="B1877" s="7"/>
      <c r="C1877" s="7"/>
      <c r="D1877" s="7"/>
      <c r="E1877" s="7"/>
      <c r="F1877" s="7"/>
      <c r="G1877" s="9"/>
      <c r="H1877" s="9"/>
      <c r="I1877" s="9"/>
      <c r="J1877" s="7"/>
      <c r="K1877" s="7"/>
    </row>
    <row r="1878" customFormat="false" ht="15" hidden="false" customHeight="true" outlineLevel="0" collapsed="false">
      <c r="A1878" s="14"/>
      <c r="B1878" s="7"/>
      <c r="C1878" s="7"/>
      <c r="D1878" s="7"/>
      <c r="E1878" s="7"/>
      <c r="F1878" s="7"/>
      <c r="G1878" s="9"/>
      <c r="H1878" s="9"/>
      <c r="I1878" s="9"/>
      <c r="J1878" s="7"/>
      <c r="K1878" s="7"/>
    </row>
    <row r="1879" customFormat="false" ht="15" hidden="false" customHeight="true" outlineLevel="0" collapsed="false">
      <c r="A1879" s="14"/>
      <c r="B1879" s="7"/>
      <c r="C1879" s="7"/>
      <c r="D1879" s="7"/>
      <c r="E1879" s="7"/>
      <c r="F1879" s="7"/>
      <c r="G1879" s="9"/>
      <c r="H1879" s="9"/>
      <c r="I1879" s="9"/>
      <c r="J1879" s="7"/>
      <c r="K1879" s="7"/>
    </row>
    <row r="1880" customFormat="false" ht="15" hidden="false" customHeight="true" outlineLevel="0" collapsed="false">
      <c r="A1880" s="14"/>
      <c r="B1880" s="7"/>
      <c r="C1880" s="7"/>
      <c r="D1880" s="7"/>
      <c r="E1880" s="7"/>
      <c r="F1880" s="7"/>
      <c r="G1880" s="9"/>
      <c r="H1880" s="9"/>
      <c r="I1880" s="9"/>
      <c r="J1880" s="7"/>
      <c r="K1880" s="7"/>
    </row>
    <row r="1881" customFormat="false" ht="15" hidden="false" customHeight="true" outlineLevel="0" collapsed="false">
      <c r="A1881" s="14"/>
      <c r="B1881" s="7"/>
      <c r="C1881" s="7"/>
      <c r="D1881" s="7"/>
      <c r="E1881" s="7"/>
      <c r="F1881" s="7"/>
      <c r="G1881" s="9"/>
      <c r="H1881" s="9"/>
      <c r="I1881" s="9"/>
      <c r="J1881" s="7"/>
      <c r="K1881" s="7"/>
    </row>
    <row r="1882" customFormat="false" ht="15" hidden="false" customHeight="true" outlineLevel="0" collapsed="false">
      <c r="A1882" s="14"/>
      <c r="B1882" s="7"/>
      <c r="C1882" s="7"/>
      <c r="D1882" s="7"/>
      <c r="E1882" s="7"/>
      <c r="F1882" s="7"/>
      <c r="G1882" s="9"/>
      <c r="H1882" s="9"/>
      <c r="I1882" s="9"/>
      <c r="J1882" s="7"/>
      <c r="K1882" s="7"/>
    </row>
    <row r="1883" customFormat="false" ht="15" hidden="false" customHeight="true" outlineLevel="0" collapsed="false">
      <c r="A1883" s="14"/>
      <c r="B1883" s="7"/>
      <c r="C1883" s="7"/>
      <c r="D1883" s="7"/>
      <c r="E1883" s="7"/>
      <c r="F1883" s="7"/>
      <c r="G1883" s="9"/>
      <c r="H1883" s="9"/>
      <c r="I1883" s="9"/>
      <c r="J1883" s="7"/>
      <c r="K1883" s="7"/>
    </row>
    <row r="1884" customFormat="false" ht="15" hidden="false" customHeight="true" outlineLevel="0" collapsed="false">
      <c r="A1884" s="14"/>
      <c r="B1884" s="7"/>
      <c r="C1884" s="7"/>
      <c r="D1884" s="7"/>
      <c r="E1884" s="7"/>
      <c r="F1884" s="7"/>
      <c r="G1884" s="9"/>
      <c r="H1884" s="9"/>
      <c r="I1884" s="9"/>
      <c r="J1884" s="7"/>
      <c r="K1884" s="7"/>
    </row>
    <row r="1885" customFormat="false" ht="15" hidden="false" customHeight="true" outlineLevel="0" collapsed="false">
      <c r="A1885" s="14"/>
      <c r="B1885" s="7"/>
      <c r="C1885" s="7"/>
      <c r="D1885" s="7"/>
      <c r="E1885" s="7"/>
      <c r="F1885" s="7"/>
      <c r="G1885" s="9"/>
      <c r="H1885" s="9"/>
      <c r="I1885" s="9"/>
      <c r="J1885" s="7"/>
      <c r="K1885" s="7"/>
    </row>
    <row r="1886" customFormat="false" ht="15" hidden="false" customHeight="true" outlineLevel="0" collapsed="false">
      <c r="A1886" s="14"/>
      <c r="B1886" s="7"/>
      <c r="C1886" s="7"/>
      <c r="D1886" s="7"/>
      <c r="E1886" s="7"/>
      <c r="F1886" s="7"/>
      <c r="G1886" s="9"/>
      <c r="H1886" s="9"/>
      <c r="I1886" s="9"/>
      <c r="J1886" s="7"/>
      <c r="K1886" s="7"/>
    </row>
    <row r="1887" customFormat="false" ht="15" hidden="false" customHeight="true" outlineLevel="0" collapsed="false">
      <c r="A1887" s="14"/>
      <c r="B1887" s="7"/>
      <c r="C1887" s="7"/>
      <c r="D1887" s="7"/>
      <c r="E1887" s="7"/>
      <c r="F1887" s="7"/>
      <c r="G1887" s="9"/>
      <c r="H1887" s="9"/>
      <c r="I1887" s="9"/>
      <c r="J1887" s="7"/>
      <c r="K1887" s="7"/>
    </row>
    <row r="1888" customFormat="false" ht="15" hidden="false" customHeight="true" outlineLevel="0" collapsed="false">
      <c r="A1888" s="14"/>
      <c r="B1888" s="7"/>
      <c r="C1888" s="7"/>
      <c r="D1888" s="7"/>
      <c r="E1888" s="7"/>
      <c r="F1888" s="7"/>
      <c r="G1888" s="9"/>
      <c r="H1888" s="9"/>
      <c r="I1888" s="9"/>
      <c r="J1888" s="7"/>
      <c r="K1888" s="7"/>
    </row>
    <row r="1889" customFormat="false" ht="15" hidden="false" customHeight="true" outlineLevel="0" collapsed="false">
      <c r="A1889" s="14"/>
      <c r="B1889" s="7"/>
      <c r="C1889" s="7"/>
      <c r="D1889" s="7"/>
      <c r="E1889" s="7"/>
      <c r="F1889" s="7"/>
      <c r="G1889" s="9"/>
      <c r="H1889" s="9"/>
      <c r="I1889" s="9"/>
      <c r="J1889" s="7"/>
      <c r="K1889" s="7"/>
    </row>
    <row r="1890" customFormat="false" ht="15" hidden="false" customHeight="true" outlineLevel="0" collapsed="false">
      <c r="A1890" s="14"/>
      <c r="B1890" s="7"/>
      <c r="C1890" s="7"/>
      <c r="D1890" s="7"/>
      <c r="E1890" s="7"/>
      <c r="F1890" s="7"/>
      <c r="G1890" s="9"/>
      <c r="H1890" s="9"/>
      <c r="I1890" s="9"/>
      <c r="J1890" s="7"/>
      <c r="K1890" s="7"/>
    </row>
    <row r="1891" customFormat="false" ht="15" hidden="false" customHeight="true" outlineLevel="0" collapsed="false">
      <c r="A1891" s="14"/>
      <c r="B1891" s="7"/>
      <c r="C1891" s="7"/>
      <c r="D1891" s="7"/>
      <c r="E1891" s="7"/>
      <c r="F1891" s="7"/>
      <c r="G1891" s="9"/>
      <c r="H1891" s="9"/>
      <c r="I1891" s="9"/>
      <c r="J1891" s="7"/>
      <c r="K1891" s="7"/>
    </row>
    <row r="1892" customFormat="false" ht="15" hidden="false" customHeight="true" outlineLevel="0" collapsed="false">
      <c r="A1892" s="14"/>
      <c r="B1892" s="7"/>
      <c r="C1892" s="7"/>
      <c r="D1892" s="7"/>
      <c r="E1892" s="7"/>
      <c r="F1892" s="7"/>
      <c r="G1892" s="9"/>
      <c r="H1892" s="9"/>
      <c r="I1892" s="9"/>
      <c r="J1892" s="7"/>
      <c r="K1892" s="7"/>
    </row>
    <row r="1893" customFormat="false" ht="15" hidden="false" customHeight="true" outlineLevel="0" collapsed="false">
      <c r="A1893" s="14"/>
      <c r="B1893" s="7"/>
      <c r="C1893" s="7"/>
      <c r="D1893" s="7"/>
      <c r="E1893" s="7"/>
      <c r="F1893" s="7"/>
      <c r="G1893" s="9"/>
      <c r="H1893" s="9"/>
      <c r="I1893" s="9"/>
      <c r="J1893" s="7"/>
      <c r="K1893" s="7"/>
    </row>
    <row r="1894" customFormat="false" ht="15" hidden="false" customHeight="true" outlineLevel="0" collapsed="false">
      <c r="A1894" s="14"/>
      <c r="B1894" s="7"/>
      <c r="C1894" s="7"/>
      <c r="D1894" s="7"/>
      <c r="E1894" s="7"/>
      <c r="F1894" s="7"/>
      <c r="G1894" s="9"/>
      <c r="H1894" s="9"/>
      <c r="I1894" s="9"/>
      <c r="J1894" s="7"/>
      <c r="K1894" s="7"/>
    </row>
    <row r="1895" customFormat="false" ht="15" hidden="false" customHeight="true" outlineLevel="0" collapsed="false">
      <c r="A1895" s="14"/>
      <c r="B1895" s="7"/>
      <c r="C1895" s="7"/>
      <c r="D1895" s="7"/>
      <c r="E1895" s="7"/>
      <c r="F1895" s="7"/>
      <c r="G1895" s="9"/>
      <c r="H1895" s="9"/>
      <c r="I1895" s="9"/>
      <c r="J1895" s="7"/>
      <c r="K1895" s="7"/>
    </row>
    <row r="1896" customFormat="false" ht="15" hidden="false" customHeight="true" outlineLevel="0" collapsed="false">
      <c r="A1896" s="14"/>
      <c r="B1896" s="7"/>
      <c r="C1896" s="7"/>
      <c r="D1896" s="7"/>
      <c r="E1896" s="7"/>
      <c r="F1896" s="7"/>
      <c r="G1896" s="9"/>
      <c r="H1896" s="9"/>
      <c r="I1896" s="9"/>
      <c r="J1896" s="7"/>
      <c r="K1896" s="7"/>
    </row>
    <row r="1897" customFormat="false" ht="15" hidden="false" customHeight="true" outlineLevel="0" collapsed="false">
      <c r="A1897" s="14"/>
      <c r="B1897" s="7"/>
      <c r="C1897" s="7"/>
      <c r="D1897" s="7"/>
      <c r="E1897" s="7"/>
      <c r="F1897" s="7"/>
      <c r="G1897" s="9"/>
      <c r="H1897" s="9"/>
      <c r="I1897" s="9"/>
      <c r="J1897" s="7"/>
      <c r="K1897" s="7"/>
    </row>
    <row r="1898" customFormat="false" ht="15" hidden="false" customHeight="true" outlineLevel="0" collapsed="false">
      <c r="A1898" s="14"/>
      <c r="B1898" s="7"/>
      <c r="C1898" s="7"/>
      <c r="D1898" s="7"/>
      <c r="E1898" s="7"/>
      <c r="F1898" s="7"/>
      <c r="G1898" s="9"/>
      <c r="H1898" s="9"/>
      <c r="I1898" s="9"/>
      <c r="J1898" s="7"/>
      <c r="K1898" s="7"/>
    </row>
    <row r="1899" customFormat="false" ht="15" hidden="false" customHeight="true" outlineLevel="0" collapsed="false">
      <c r="A1899" s="14"/>
      <c r="B1899" s="7"/>
      <c r="C1899" s="7"/>
      <c r="D1899" s="7"/>
      <c r="E1899" s="7"/>
      <c r="F1899" s="7"/>
      <c r="G1899" s="9"/>
      <c r="H1899" s="9"/>
      <c r="I1899" s="9"/>
      <c r="J1899" s="7"/>
      <c r="K1899" s="7"/>
    </row>
    <row r="1900" customFormat="false" ht="15" hidden="false" customHeight="true" outlineLevel="0" collapsed="false">
      <c r="A1900" s="14"/>
      <c r="B1900" s="7"/>
      <c r="C1900" s="7"/>
      <c r="D1900" s="7"/>
      <c r="E1900" s="7"/>
      <c r="F1900" s="7"/>
      <c r="G1900" s="9"/>
      <c r="H1900" s="9"/>
      <c r="I1900" s="9"/>
      <c r="J1900" s="7"/>
      <c r="K1900" s="7"/>
    </row>
    <row r="1901" customFormat="false" ht="15" hidden="false" customHeight="true" outlineLevel="0" collapsed="false">
      <c r="A1901" s="14"/>
      <c r="B1901" s="7"/>
      <c r="C1901" s="7"/>
      <c r="D1901" s="7"/>
      <c r="E1901" s="7"/>
      <c r="F1901" s="7"/>
      <c r="G1901" s="9"/>
      <c r="H1901" s="9"/>
      <c r="I1901" s="9"/>
      <c r="J1901" s="7"/>
      <c r="K1901" s="7"/>
    </row>
    <row r="1902" customFormat="false" ht="15" hidden="false" customHeight="true" outlineLevel="0" collapsed="false">
      <c r="A1902" s="14"/>
      <c r="B1902" s="7"/>
      <c r="C1902" s="7"/>
      <c r="D1902" s="7"/>
      <c r="E1902" s="7"/>
      <c r="F1902" s="7"/>
      <c r="G1902" s="9"/>
      <c r="H1902" s="9"/>
      <c r="I1902" s="9"/>
      <c r="J1902" s="7"/>
      <c r="K1902" s="7"/>
    </row>
    <row r="1903" customFormat="false" ht="15" hidden="false" customHeight="true" outlineLevel="0" collapsed="false">
      <c r="A1903" s="14"/>
      <c r="B1903" s="7"/>
      <c r="C1903" s="7"/>
      <c r="D1903" s="7"/>
      <c r="E1903" s="7"/>
      <c r="F1903" s="7"/>
      <c r="G1903" s="9"/>
      <c r="H1903" s="9"/>
      <c r="I1903" s="9"/>
      <c r="J1903" s="7"/>
      <c r="K1903" s="7"/>
    </row>
    <row r="1904" customFormat="false" ht="15" hidden="false" customHeight="true" outlineLevel="0" collapsed="false">
      <c r="A1904" s="14"/>
      <c r="B1904" s="7"/>
      <c r="C1904" s="7"/>
      <c r="D1904" s="7"/>
      <c r="E1904" s="7"/>
      <c r="F1904" s="7"/>
      <c r="G1904" s="9"/>
      <c r="H1904" s="9"/>
      <c r="I1904" s="9"/>
      <c r="J1904" s="7"/>
      <c r="K1904" s="7"/>
    </row>
    <row r="1905" customFormat="false" ht="15" hidden="false" customHeight="true" outlineLevel="0" collapsed="false">
      <c r="A1905" s="14"/>
      <c r="B1905" s="7"/>
      <c r="C1905" s="7"/>
      <c r="D1905" s="7"/>
      <c r="E1905" s="7"/>
      <c r="F1905" s="7"/>
      <c r="G1905" s="9"/>
      <c r="H1905" s="9"/>
      <c r="I1905" s="9"/>
      <c r="J1905" s="7"/>
      <c r="K1905" s="7"/>
    </row>
    <row r="1906" customFormat="false" ht="15" hidden="false" customHeight="true" outlineLevel="0" collapsed="false">
      <c r="A1906" s="14"/>
      <c r="B1906" s="7"/>
      <c r="C1906" s="7"/>
      <c r="D1906" s="7"/>
      <c r="E1906" s="7"/>
      <c r="F1906" s="7"/>
      <c r="G1906" s="9"/>
      <c r="H1906" s="9"/>
      <c r="I1906" s="9"/>
      <c r="J1906" s="7"/>
      <c r="K1906" s="7"/>
    </row>
    <row r="1907" customFormat="false" ht="15" hidden="false" customHeight="true" outlineLevel="0" collapsed="false">
      <c r="A1907" s="14"/>
      <c r="B1907" s="7"/>
      <c r="C1907" s="7"/>
      <c r="D1907" s="7"/>
      <c r="E1907" s="7"/>
      <c r="F1907" s="7"/>
      <c r="G1907" s="9"/>
      <c r="H1907" s="9"/>
      <c r="I1907" s="9"/>
      <c r="J1907" s="7"/>
      <c r="K1907" s="7"/>
    </row>
    <row r="1908" customFormat="false" ht="15" hidden="false" customHeight="true" outlineLevel="0" collapsed="false">
      <c r="A1908" s="14"/>
      <c r="B1908" s="7"/>
      <c r="C1908" s="7"/>
      <c r="D1908" s="7"/>
      <c r="E1908" s="7"/>
      <c r="F1908" s="7"/>
      <c r="G1908" s="9"/>
      <c r="H1908" s="9"/>
      <c r="I1908" s="9"/>
      <c r="J1908" s="7"/>
      <c r="K1908" s="7"/>
    </row>
    <row r="1909" customFormat="false" ht="15" hidden="false" customHeight="true" outlineLevel="0" collapsed="false">
      <c r="A1909" s="14"/>
      <c r="B1909" s="7"/>
      <c r="C1909" s="7"/>
      <c r="D1909" s="7"/>
      <c r="E1909" s="7"/>
      <c r="F1909" s="7"/>
      <c r="G1909" s="9"/>
      <c r="H1909" s="9"/>
      <c r="I1909" s="9"/>
      <c r="J1909" s="7"/>
      <c r="K1909" s="7"/>
    </row>
    <row r="1910" customFormat="false" ht="15" hidden="false" customHeight="true" outlineLevel="0" collapsed="false">
      <c r="A1910" s="14"/>
      <c r="B1910" s="7"/>
      <c r="C1910" s="7"/>
      <c r="D1910" s="7"/>
      <c r="E1910" s="7"/>
      <c r="F1910" s="7"/>
      <c r="G1910" s="9"/>
      <c r="H1910" s="9"/>
      <c r="I1910" s="9"/>
      <c r="J1910" s="7"/>
      <c r="K1910" s="7"/>
    </row>
    <row r="1911" customFormat="false" ht="15" hidden="false" customHeight="true" outlineLevel="0" collapsed="false">
      <c r="A1911" s="14"/>
      <c r="B1911" s="7"/>
      <c r="C1911" s="7"/>
      <c r="D1911" s="7"/>
      <c r="E1911" s="7"/>
      <c r="F1911" s="7"/>
      <c r="G1911" s="9"/>
      <c r="H1911" s="9"/>
      <c r="I1911" s="9"/>
      <c r="J1911" s="7"/>
      <c r="K1911" s="7"/>
    </row>
    <row r="1912" customFormat="false" ht="15" hidden="false" customHeight="true" outlineLevel="0" collapsed="false">
      <c r="A1912" s="14"/>
      <c r="B1912" s="7"/>
      <c r="C1912" s="7"/>
      <c r="D1912" s="7"/>
      <c r="E1912" s="7"/>
      <c r="F1912" s="7"/>
      <c r="G1912" s="9"/>
      <c r="H1912" s="9"/>
      <c r="I1912" s="9"/>
      <c r="J1912" s="7"/>
      <c r="K1912" s="7"/>
    </row>
    <row r="1913" customFormat="false" ht="15" hidden="false" customHeight="true" outlineLevel="0" collapsed="false">
      <c r="A1913" s="14"/>
      <c r="B1913" s="7"/>
      <c r="C1913" s="7"/>
      <c r="D1913" s="7"/>
      <c r="E1913" s="7"/>
      <c r="F1913" s="7"/>
      <c r="G1913" s="9"/>
      <c r="H1913" s="9"/>
      <c r="I1913" s="9"/>
      <c r="J1913" s="7"/>
      <c r="K1913" s="7"/>
    </row>
    <row r="1914" customFormat="false" ht="15" hidden="false" customHeight="true" outlineLevel="0" collapsed="false">
      <c r="A1914" s="14"/>
      <c r="B1914" s="7"/>
      <c r="C1914" s="7"/>
      <c r="D1914" s="7"/>
      <c r="E1914" s="7"/>
      <c r="F1914" s="7"/>
      <c r="G1914" s="9"/>
      <c r="H1914" s="9"/>
      <c r="I1914" s="9"/>
      <c r="J1914" s="7"/>
      <c r="K1914" s="7"/>
    </row>
    <row r="1915" customFormat="false" ht="15" hidden="false" customHeight="true" outlineLevel="0" collapsed="false">
      <c r="A1915" s="14"/>
      <c r="B1915" s="7"/>
      <c r="C1915" s="7"/>
      <c r="D1915" s="7"/>
      <c r="E1915" s="7"/>
      <c r="F1915" s="7"/>
      <c r="G1915" s="9"/>
      <c r="H1915" s="9"/>
      <c r="I1915" s="9"/>
      <c r="J1915" s="7"/>
      <c r="K1915" s="7"/>
    </row>
    <row r="1916" customFormat="false" ht="15" hidden="false" customHeight="true" outlineLevel="0" collapsed="false">
      <c r="A1916" s="14"/>
      <c r="B1916" s="7"/>
      <c r="C1916" s="7"/>
      <c r="D1916" s="7"/>
      <c r="E1916" s="7"/>
      <c r="F1916" s="7"/>
      <c r="G1916" s="9"/>
      <c r="H1916" s="9"/>
      <c r="I1916" s="9"/>
      <c r="J1916" s="7"/>
      <c r="K1916" s="7"/>
    </row>
    <row r="1917" customFormat="false" ht="15" hidden="false" customHeight="true" outlineLevel="0" collapsed="false">
      <c r="A1917" s="14"/>
      <c r="B1917" s="7"/>
      <c r="C1917" s="7"/>
      <c r="D1917" s="7"/>
      <c r="E1917" s="7"/>
      <c r="F1917" s="7"/>
      <c r="G1917" s="9"/>
      <c r="H1917" s="9"/>
      <c r="I1917" s="9"/>
      <c r="J1917" s="7"/>
      <c r="K1917" s="7"/>
    </row>
    <row r="1918" customFormat="false" ht="15" hidden="false" customHeight="true" outlineLevel="0" collapsed="false">
      <c r="A1918" s="14"/>
      <c r="B1918" s="7"/>
      <c r="C1918" s="7"/>
      <c r="D1918" s="7"/>
      <c r="E1918" s="7"/>
      <c r="F1918" s="7"/>
      <c r="G1918" s="9"/>
      <c r="H1918" s="9"/>
      <c r="I1918" s="9"/>
      <c r="J1918" s="7"/>
      <c r="K1918" s="7"/>
    </row>
    <row r="1919" customFormat="false" ht="15" hidden="false" customHeight="true" outlineLevel="0" collapsed="false">
      <c r="A1919" s="14"/>
      <c r="B1919" s="7"/>
      <c r="C1919" s="7"/>
      <c r="D1919" s="7"/>
      <c r="E1919" s="7"/>
      <c r="F1919" s="7"/>
      <c r="G1919" s="9"/>
      <c r="H1919" s="9"/>
      <c r="I1919" s="9"/>
      <c r="J1919" s="7"/>
      <c r="K1919" s="7"/>
    </row>
    <row r="1920" customFormat="false" ht="15" hidden="false" customHeight="true" outlineLevel="0" collapsed="false">
      <c r="A1920" s="14"/>
      <c r="B1920" s="7"/>
      <c r="C1920" s="7"/>
      <c r="D1920" s="7"/>
      <c r="E1920" s="7"/>
      <c r="F1920" s="7"/>
      <c r="G1920" s="9"/>
      <c r="H1920" s="9"/>
      <c r="I1920" s="9"/>
      <c r="J1920" s="7"/>
      <c r="K1920" s="7"/>
    </row>
    <row r="1921" customFormat="false" ht="15" hidden="false" customHeight="true" outlineLevel="0" collapsed="false">
      <c r="A1921" s="14"/>
      <c r="B1921" s="7"/>
      <c r="C1921" s="7"/>
      <c r="D1921" s="7"/>
      <c r="E1921" s="7"/>
      <c r="F1921" s="7"/>
      <c r="G1921" s="9"/>
      <c r="H1921" s="9"/>
      <c r="I1921" s="9"/>
      <c r="J1921" s="7"/>
      <c r="K1921" s="7"/>
    </row>
    <row r="1922" customFormat="false" ht="15" hidden="false" customHeight="true" outlineLevel="0" collapsed="false">
      <c r="A1922" s="14"/>
      <c r="B1922" s="7"/>
      <c r="C1922" s="7"/>
      <c r="D1922" s="7"/>
      <c r="E1922" s="7"/>
      <c r="F1922" s="7"/>
      <c r="G1922" s="9"/>
      <c r="H1922" s="9"/>
      <c r="I1922" s="9"/>
      <c r="J1922" s="7"/>
      <c r="K1922" s="7"/>
    </row>
    <row r="1923" customFormat="false" ht="15" hidden="false" customHeight="true" outlineLevel="0" collapsed="false">
      <c r="A1923" s="14"/>
      <c r="B1923" s="7"/>
      <c r="C1923" s="7"/>
      <c r="D1923" s="7"/>
      <c r="E1923" s="7"/>
      <c r="F1923" s="7"/>
      <c r="G1923" s="9"/>
      <c r="H1923" s="9"/>
      <c r="I1923" s="9"/>
      <c r="J1923" s="7"/>
      <c r="K1923" s="7"/>
    </row>
    <row r="1924" customFormat="false" ht="15" hidden="false" customHeight="true" outlineLevel="0" collapsed="false">
      <c r="A1924" s="14"/>
      <c r="B1924" s="7"/>
      <c r="C1924" s="7"/>
      <c r="D1924" s="7"/>
      <c r="E1924" s="7"/>
      <c r="F1924" s="7"/>
      <c r="G1924" s="9"/>
      <c r="H1924" s="9"/>
      <c r="I1924" s="9"/>
      <c r="J1924" s="7"/>
      <c r="K1924" s="7"/>
    </row>
    <row r="1925" customFormat="false" ht="15" hidden="false" customHeight="true" outlineLevel="0" collapsed="false">
      <c r="A1925" s="14"/>
      <c r="B1925" s="7"/>
      <c r="C1925" s="7"/>
      <c r="D1925" s="7"/>
      <c r="E1925" s="7"/>
      <c r="F1925" s="7"/>
      <c r="G1925" s="9"/>
      <c r="H1925" s="9"/>
      <c r="I1925" s="9"/>
      <c r="J1925" s="7"/>
      <c r="K1925" s="7"/>
    </row>
    <row r="1926" customFormat="false" ht="15" hidden="false" customHeight="true" outlineLevel="0" collapsed="false">
      <c r="A1926" s="14"/>
      <c r="B1926" s="7"/>
      <c r="C1926" s="7"/>
      <c r="D1926" s="7"/>
      <c r="E1926" s="7"/>
      <c r="F1926" s="7"/>
      <c r="G1926" s="9"/>
      <c r="H1926" s="9"/>
      <c r="I1926" s="9"/>
      <c r="J1926" s="7"/>
      <c r="K1926" s="7"/>
    </row>
    <row r="1927" customFormat="false" ht="15" hidden="false" customHeight="true" outlineLevel="0" collapsed="false">
      <c r="A1927" s="14"/>
      <c r="B1927" s="7"/>
      <c r="C1927" s="7"/>
      <c r="D1927" s="7"/>
      <c r="E1927" s="7"/>
      <c r="F1927" s="7"/>
      <c r="G1927" s="9"/>
      <c r="H1927" s="9"/>
      <c r="I1927" s="9"/>
      <c r="J1927" s="7"/>
      <c r="K1927" s="7"/>
    </row>
    <row r="1928" customFormat="false" ht="15" hidden="false" customHeight="true" outlineLevel="0" collapsed="false">
      <c r="A1928" s="14"/>
      <c r="B1928" s="7"/>
      <c r="C1928" s="7"/>
      <c r="D1928" s="7"/>
      <c r="E1928" s="7"/>
      <c r="F1928" s="7"/>
      <c r="G1928" s="9"/>
      <c r="H1928" s="9"/>
      <c r="I1928" s="9"/>
      <c r="J1928" s="7"/>
      <c r="K1928" s="7"/>
    </row>
    <row r="1929" customFormat="false" ht="15" hidden="false" customHeight="true" outlineLevel="0" collapsed="false">
      <c r="A1929" s="14"/>
      <c r="B1929" s="7"/>
      <c r="C1929" s="7"/>
      <c r="D1929" s="7"/>
      <c r="E1929" s="7"/>
      <c r="F1929" s="7"/>
      <c r="G1929" s="9"/>
      <c r="H1929" s="9"/>
      <c r="I1929" s="9"/>
      <c r="J1929" s="7"/>
      <c r="K1929" s="7"/>
    </row>
    <row r="1930" customFormat="false" ht="15" hidden="false" customHeight="true" outlineLevel="0" collapsed="false">
      <c r="A1930" s="14"/>
      <c r="B1930" s="7"/>
      <c r="C1930" s="7"/>
      <c r="D1930" s="7"/>
      <c r="E1930" s="7"/>
      <c r="F1930" s="7"/>
      <c r="G1930" s="9"/>
      <c r="H1930" s="9"/>
      <c r="I1930" s="9"/>
      <c r="J1930" s="7"/>
      <c r="K1930" s="7"/>
    </row>
    <row r="1931" customFormat="false" ht="15" hidden="false" customHeight="true" outlineLevel="0" collapsed="false">
      <c r="A1931" s="14"/>
      <c r="B1931" s="7"/>
      <c r="C1931" s="7"/>
      <c r="D1931" s="7"/>
      <c r="E1931" s="7"/>
      <c r="F1931" s="7"/>
      <c r="G1931" s="9"/>
      <c r="H1931" s="9"/>
      <c r="I1931" s="9"/>
      <c r="J1931" s="7"/>
      <c r="K1931" s="7"/>
    </row>
    <row r="1932" customFormat="false" ht="15" hidden="false" customHeight="true" outlineLevel="0" collapsed="false">
      <c r="A1932" s="14"/>
      <c r="B1932" s="7"/>
      <c r="C1932" s="7"/>
      <c r="D1932" s="7"/>
      <c r="E1932" s="7"/>
      <c r="F1932" s="7"/>
      <c r="G1932" s="9"/>
      <c r="H1932" s="9"/>
      <c r="I1932" s="9"/>
      <c r="J1932" s="7"/>
      <c r="K1932" s="7"/>
    </row>
    <row r="1933" customFormat="false" ht="15" hidden="false" customHeight="true" outlineLevel="0" collapsed="false">
      <c r="A1933" s="14"/>
      <c r="B1933" s="7"/>
      <c r="C1933" s="7"/>
      <c r="D1933" s="7"/>
      <c r="E1933" s="7"/>
      <c r="F1933" s="7"/>
      <c r="G1933" s="9"/>
      <c r="H1933" s="9"/>
      <c r="I1933" s="9"/>
      <c r="J1933" s="7"/>
      <c r="K1933" s="7"/>
    </row>
    <row r="1934" customFormat="false" ht="15" hidden="false" customHeight="true" outlineLevel="0" collapsed="false">
      <c r="A1934" s="14"/>
      <c r="B1934" s="7"/>
      <c r="C1934" s="7"/>
      <c r="D1934" s="7"/>
      <c r="E1934" s="7"/>
      <c r="F1934" s="7"/>
      <c r="G1934" s="9"/>
      <c r="H1934" s="9"/>
      <c r="I1934" s="9"/>
      <c r="J1934" s="7"/>
      <c r="K1934" s="7"/>
    </row>
    <row r="1935" customFormat="false" ht="15" hidden="false" customHeight="true" outlineLevel="0" collapsed="false">
      <c r="A1935" s="14"/>
      <c r="B1935" s="7"/>
      <c r="C1935" s="7"/>
      <c r="D1935" s="7"/>
      <c r="E1935" s="7"/>
      <c r="F1935" s="7"/>
      <c r="G1935" s="9"/>
      <c r="H1935" s="9"/>
      <c r="I1935" s="9"/>
      <c r="J1935" s="7"/>
      <c r="K1935" s="7"/>
    </row>
    <row r="1936" customFormat="false" ht="15" hidden="false" customHeight="true" outlineLevel="0" collapsed="false">
      <c r="A1936" s="14"/>
      <c r="B1936" s="7"/>
      <c r="C1936" s="7"/>
      <c r="D1936" s="7"/>
      <c r="E1936" s="7"/>
      <c r="F1936" s="7"/>
      <c r="G1936" s="9"/>
      <c r="H1936" s="9"/>
      <c r="I1936" s="9"/>
      <c r="J1936" s="7"/>
      <c r="K1936" s="7"/>
    </row>
    <row r="1937" customFormat="false" ht="15" hidden="false" customHeight="true" outlineLevel="0" collapsed="false">
      <c r="A1937" s="14"/>
      <c r="B1937" s="7"/>
      <c r="C1937" s="7"/>
      <c r="D1937" s="7"/>
      <c r="E1937" s="7"/>
      <c r="F1937" s="7"/>
      <c r="G1937" s="9"/>
      <c r="H1937" s="9"/>
      <c r="I1937" s="9"/>
      <c r="J1937" s="7"/>
      <c r="K1937" s="7"/>
    </row>
    <row r="1938" customFormat="false" ht="15" hidden="false" customHeight="true" outlineLevel="0" collapsed="false">
      <c r="A1938" s="14"/>
      <c r="B1938" s="7"/>
      <c r="C1938" s="7"/>
      <c r="D1938" s="7"/>
      <c r="E1938" s="7"/>
      <c r="F1938" s="7"/>
      <c r="G1938" s="9"/>
      <c r="H1938" s="9"/>
      <c r="I1938" s="9"/>
      <c r="J1938" s="7"/>
      <c r="K1938" s="7"/>
    </row>
    <row r="1939" customFormat="false" ht="15" hidden="false" customHeight="true" outlineLevel="0" collapsed="false">
      <c r="A1939" s="14"/>
      <c r="B1939" s="7"/>
      <c r="C1939" s="7"/>
      <c r="D1939" s="7"/>
      <c r="E1939" s="7"/>
      <c r="F1939" s="7"/>
      <c r="G1939" s="9"/>
      <c r="H1939" s="9"/>
      <c r="I1939" s="9"/>
      <c r="J1939" s="7"/>
      <c r="K1939" s="7"/>
    </row>
    <row r="1940" customFormat="false" ht="15" hidden="false" customHeight="true" outlineLevel="0" collapsed="false">
      <c r="A1940" s="14"/>
      <c r="B1940" s="7"/>
      <c r="C1940" s="7"/>
      <c r="D1940" s="7"/>
      <c r="E1940" s="7"/>
      <c r="F1940" s="7"/>
      <c r="G1940" s="9"/>
      <c r="H1940" s="9"/>
      <c r="I1940" s="9"/>
      <c r="J1940" s="7"/>
      <c r="K1940" s="7"/>
    </row>
    <row r="1941" customFormat="false" ht="15" hidden="false" customHeight="true" outlineLevel="0" collapsed="false">
      <c r="A1941" s="14"/>
      <c r="B1941" s="7"/>
      <c r="C1941" s="7"/>
      <c r="D1941" s="7"/>
      <c r="E1941" s="7"/>
      <c r="F1941" s="7"/>
      <c r="G1941" s="9"/>
      <c r="H1941" s="9"/>
      <c r="I1941" s="9"/>
      <c r="J1941" s="7"/>
      <c r="K1941" s="7"/>
    </row>
    <row r="1942" customFormat="false" ht="15" hidden="false" customHeight="true" outlineLevel="0" collapsed="false">
      <c r="A1942" s="14"/>
      <c r="B1942" s="7"/>
      <c r="C1942" s="7"/>
      <c r="D1942" s="7"/>
      <c r="E1942" s="7"/>
      <c r="F1942" s="7"/>
      <c r="G1942" s="9"/>
      <c r="H1942" s="9"/>
      <c r="I1942" s="9"/>
      <c r="J1942" s="7"/>
      <c r="K1942" s="7"/>
    </row>
    <row r="1943" customFormat="false" ht="15" hidden="false" customHeight="true" outlineLevel="0" collapsed="false">
      <c r="A1943" s="14"/>
      <c r="B1943" s="7"/>
      <c r="C1943" s="7"/>
      <c r="D1943" s="7"/>
      <c r="E1943" s="7"/>
      <c r="F1943" s="7"/>
      <c r="G1943" s="9"/>
      <c r="H1943" s="9"/>
      <c r="I1943" s="9"/>
      <c r="J1943" s="7"/>
      <c r="K1943" s="7"/>
    </row>
    <row r="1944" customFormat="false" ht="15" hidden="false" customHeight="true" outlineLevel="0" collapsed="false">
      <c r="A1944" s="14"/>
      <c r="B1944" s="7"/>
      <c r="C1944" s="7"/>
      <c r="D1944" s="7"/>
      <c r="E1944" s="7"/>
      <c r="F1944" s="7"/>
      <c r="G1944" s="9"/>
      <c r="H1944" s="9"/>
      <c r="I1944" s="9"/>
      <c r="J1944" s="7"/>
      <c r="K1944" s="7"/>
    </row>
    <row r="1945" customFormat="false" ht="15" hidden="false" customHeight="true" outlineLevel="0" collapsed="false">
      <c r="A1945" s="14"/>
      <c r="B1945" s="7"/>
      <c r="C1945" s="7"/>
      <c r="D1945" s="7"/>
      <c r="E1945" s="7"/>
      <c r="F1945" s="7"/>
      <c r="G1945" s="9"/>
      <c r="H1945" s="9"/>
      <c r="I1945" s="9"/>
      <c r="J1945" s="7"/>
      <c r="K1945" s="7"/>
    </row>
    <row r="1946" customFormat="false" ht="15" hidden="false" customHeight="true" outlineLevel="0" collapsed="false">
      <c r="A1946" s="14"/>
      <c r="B1946" s="7"/>
      <c r="C1946" s="7"/>
      <c r="D1946" s="7"/>
      <c r="E1946" s="7"/>
      <c r="F1946" s="7"/>
      <c r="G1946" s="9"/>
      <c r="H1946" s="9"/>
      <c r="I1946" s="9"/>
      <c r="J1946" s="7"/>
      <c r="K1946" s="7"/>
    </row>
    <row r="1947" customFormat="false" ht="15" hidden="false" customHeight="true" outlineLevel="0" collapsed="false">
      <c r="A1947" s="14"/>
      <c r="B1947" s="7"/>
      <c r="C1947" s="7"/>
      <c r="D1947" s="7"/>
      <c r="E1947" s="7"/>
      <c r="F1947" s="7"/>
      <c r="G1947" s="9"/>
      <c r="H1947" s="9"/>
      <c r="I1947" s="9"/>
      <c r="J1947" s="7"/>
      <c r="K1947" s="7"/>
    </row>
    <row r="1948" customFormat="false" ht="15" hidden="false" customHeight="true" outlineLevel="0" collapsed="false">
      <c r="A1948" s="14"/>
      <c r="B1948" s="7"/>
      <c r="C1948" s="7"/>
      <c r="D1948" s="7"/>
      <c r="E1948" s="7"/>
      <c r="F1948" s="7"/>
      <c r="G1948" s="9"/>
      <c r="H1948" s="9"/>
      <c r="I1948" s="9"/>
      <c r="J1948" s="7"/>
      <c r="K1948" s="7"/>
    </row>
    <row r="1949" customFormat="false" ht="15" hidden="false" customHeight="true" outlineLevel="0" collapsed="false">
      <c r="A1949" s="14"/>
      <c r="B1949" s="7"/>
      <c r="C1949" s="7"/>
      <c r="D1949" s="7"/>
      <c r="E1949" s="7"/>
      <c r="F1949" s="7"/>
      <c r="G1949" s="9"/>
      <c r="H1949" s="9"/>
      <c r="I1949" s="9"/>
      <c r="J1949" s="7"/>
      <c r="K1949" s="7"/>
    </row>
    <row r="1950" customFormat="false" ht="15" hidden="false" customHeight="true" outlineLevel="0" collapsed="false">
      <c r="A1950" s="14"/>
      <c r="B1950" s="7"/>
      <c r="C1950" s="7"/>
      <c r="D1950" s="7"/>
      <c r="E1950" s="7"/>
      <c r="F1950" s="7"/>
      <c r="G1950" s="9"/>
      <c r="H1950" s="9"/>
      <c r="I1950" s="9"/>
      <c r="J1950" s="7"/>
      <c r="K1950" s="7"/>
    </row>
    <row r="1951" customFormat="false" ht="15" hidden="false" customHeight="true" outlineLevel="0" collapsed="false">
      <c r="A1951" s="14"/>
      <c r="B1951" s="7"/>
      <c r="C1951" s="7"/>
      <c r="D1951" s="7"/>
      <c r="E1951" s="7"/>
      <c r="F1951" s="7"/>
      <c r="G1951" s="9"/>
      <c r="H1951" s="9"/>
      <c r="I1951" s="9"/>
      <c r="J1951" s="7"/>
      <c r="K1951" s="7"/>
    </row>
    <row r="1952" customFormat="false" ht="15" hidden="false" customHeight="true" outlineLevel="0" collapsed="false">
      <c r="A1952" s="14"/>
      <c r="B1952" s="7"/>
      <c r="C1952" s="7"/>
      <c r="D1952" s="7"/>
      <c r="E1952" s="7"/>
      <c r="F1952" s="7"/>
      <c r="G1952" s="9"/>
      <c r="H1952" s="9"/>
      <c r="I1952" s="9"/>
      <c r="J1952" s="7"/>
      <c r="K1952" s="7"/>
    </row>
    <row r="1953" customFormat="false" ht="15" hidden="false" customHeight="true" outlineLevel="0" collapsed="false">
      <c r="A1953" s="14"/>
      <c r="B1953" s="7"/>
      <c r="C1953" s="7"/>
      <c r="D1953" s="7"/>
      <c r="E1953" s="7"/>
      <c r="F1953" s="7"/>
      <c r="G1953" s="9"/>
      <c r="H1953" s="9"/>
      <c r="I1953" s="9"/>
      <c r="J1953" s="7"/>
      <c r="K1953" s="7"/>
    </row>
    <row r="1954" customFormat="false" ht="15" hidden="false" customHeight="true" outlineLevel="0" collapsed="false">
      <c r="A1954" s="14"/>
      <c r="B1954" s="7"/>
      <c r="C1954" s="7"/>
      <c r="D1954" s="7"/>
      <c r="E1954" s="7"/>
      <c r="F1954" s="7"/>
      <c r="G1954" s="9"/>
      <c r="H1954" s="9"/>
      <c r="I1954" s="9"/>
      <c r="J1954" s="7"/>
      <c r="K1954" s="7"/>
    </row>
    <row r="1955" customFormat="false" ht="15" hidden="false" customHeight="true" outlineLevel="0" collapsed="false">
      <c r="A1955" s="14"/>
      <c r="B1955" s="7"/>
      <c r="C1955" s="7"/>
      <c r="D1955" s="7"/>
      <c r="E1955" s="7"/>
      <c r="F1955" s="7"/>
      <c r="G1955" s="9"/>
      <c r="H1955" s="9"/>
      <c r="I1955" s="9"/>
      <c r="J1955" s="7"/>
      <c r="K1955" s="7"/>
    </row>
    <row r="1956" customFormat="false" ht="15" hidden="false" customHeight="true" outlineLevel="0" collapsed="false">
      <c r="A1956" s="14"/>
      <c r="B1956" s="7"/>
      <c r="C1956" s="7"/>
      <c r="D1956" s="7"/>
      <c r="E1956" s="7"/>
      <c r="F1956" s="7"/>
      <c r="G1956" s="9"/>
      <c r="H1956" s="9"/>
      <c r="I1956" s="9"/>
      <c r="J1956" s="7"/>
      <c r="K1956" s="7"/>
    </row>
    <row r="1957" customFormat="false" ht="15" hidden="false" customHeight="true" outlineLevel="0" collapsed="false">
      <c r="A1957" s="14"/>
      <c r="B1957" s="7"/>
      <c r="C1957" s="7"/>
      <c r="D1957" s="7"/>
      <c r="E1957" s="7"/>
      <c r="F1957" s="7"/>
      <c r="G1957" s="9"/>
      <c r="H1957" s="9"/>
      <c r="I1957" s="9"/>
      <c r="J1957" s="7"/>
      <c r="K1957" s="7"/>
    </row>
    <row r="1958" customFormat="false" ht="15" hidden="false" customHeight="true" outlineLevel="0" collapsed="false">
      <c r="A1958" s="14"/>
      <c r="B1958" s="7"/>
      <c r="C1958" s="7"/>
      <c r="D1958" s="7"/>
      <c r="E1958" s="7"/>
      <c r="F1958" s="7"/>
      <c r="G1958" s="9"/>
      <c r="H1958" s="9"/>
      <c r="I1958" s="9"/>
      <c r="J1958" s="7"/>
      <c r="K1958" s="7"/>
    </row>
    <row r="1959" customFormat="false" ht="15" hidden="false" customHeight="true" outlineLevel="0" collapsed="false">
      <c r="A1959" s="14"/>
      <c r="B1959" s="7"/>
      <c r="C1959" s="7"/>
      <c r="D1959" s="7"/>
      <c r="E1959" s="7"/>
      <c r="F1959" s="7"/>
      <c r="G1959" s="9"/>
      <c r="H1959" s="9"/>
      <c r="I1959" s="9"/>
      <c r="J1959" s="7"/>
      <c r="K1959" s="7"/>
    </row>
    <row r="1960" customFormat="false" ht="15" hidden="false" customHeight="true" outlineLevel="0" collapsed="false">
      <c r="A1960" s="14"/>
      <c r="B1960" s="7"/>
      <c r="C1960" s="7"/>
      <c r="D1960" s="7"/>
      <c r="E1960" s="7"/>
      <c r="F1960" s="7"/>
      <c r="G1960" s="9"/>
      <c r="H1960" s="9"/>
      <c r="I1960" s="9"/>
      <c r="J1960" s="7"/>
      <c r="K1960" s="7"/>
    </row>
    <row r="1961" customFormat="false" ht="15" hidden="false" customHeight="true" outlineLevel="0" collapsed="false">
      <c r="A1961" s="14"/>
      <c r="B1961" s="7"/>
      <c r="C1961" s="7"/>
      <c r="D1961" s="7"/>
      <c r="E1961" s="7"/>
      <c r="F1961" s="7"/>
      <c r="G1961" s="9"/>
      <c r="H1961" s="9"/>
      <c r="I1961" s="9"/>
      <c r="J1961" s="7"/>
      <c r="K1961" s="7"/>
    </row>
    <row r="1962" customFormat="false" ht="15" hidden="false" customHeight="true" outlineLevel="0" collapsed="false">
      <c r="A1962" s="14"/>
      <c r="B1962" s="7"/>
      <c r="C1962" s="7"/>
      <c r="D1962" s="7"/>
      <c r="E1962" s="7"/>
      <c r="F1962" s="7"/>
      <c r="G1962" s="9"/>
      <c r="H1962" s="9"/>
      <c r="I1962" s="9"/>
      <c r="J1962" s="7"/>
      <c r="K1962" s="7"/>
    </row>
    <row r="1963" customFormat="false" ht="15" hidden="false" customHeight="true" outlineLevel="0" collapsed="false">
      <c r="A1963" s="14"/>
      <c r="B1963" s="7"/>
      <c r="C1963" s="7"/>
      <c r="D1963" s="7"/>
      <c r="E1963" s="7"/>
      <c r="F1963" s="7"/>
      <c r="G1963" s="9"/>
      <c r="H1963" s="9"/>
      <c r="I1963" s="9"/>
      <c r="J1963" s="7"/>
      <c r="K1963" s="7"/>
    </row>
    <row r="1964" customFormat="false" ht="15" hidden="false" customHeight="true" outlineLevel="0" collapsed="false">
      <c r="A1964" s="14"/>
      <c r="B1964" s="7"/>
      <c r="C1964" s="7"/>
      <c r="D1964" s="7"/>
      <c r="E1964" s="7"/>
      <c r="F1964" s="7"/>
      <c r="G1964" s="9"/>
      <c r="H1964" s="9"/>
      <c r="I1964" s="9"/>
      <c r="J1964" s="7"/>
      <c r="K1964" s="7"/>
    </row>
    <row r="1965" customFormat="false" ht="15" hidden="false" customHeight="true" outlineLevel="0" collapsed="false">
      <c r="A1965" s="14"/>
      <c r="B1965" s="7"/>
      <c r="C1965" s="7"/>
      <c r="D1965" s="7"/>
      <c r="E1965" s="7"/>
      <c r="F1965" s="7"/>
      <c r="G1965" s="9"/>
      <c r="H1965" s="9"/>
      <c r="I1965" s="9"/>
      <c r="J1965" s="7"/>
      <c r="K1965" s="7"/>
    </row>
    <row r="1966" customFormat="false" ht="15" hidden="false" customHeight="true" outlineLevel="0" collapsed="false">
      <c r="A1966" s="14"/>
      <c r="B1966" s="7"/>
      <c r="C1966" s="7"/>
      <c r="D1966" s="7"/>
      <c r="E1966" s="7"/>
      <c r="F1966" s="7"/>
      <c r="G1966" s="9"/>
      <c r="H1966" s="9"/>
      <c r="I1966" s="9"/>
      <c r="J1966" s="7"/>
      <c r="K1966" s="7"/>
    </row>
    <row r="1967" customFormat="false" ht="15" hidden="false" customHeight="true" outlineLevel="0" collapsed="false">
      <c r="A1967" s="14"/>
      <c r="B1967" s="7"/>
      <c r="C1967" s="7"/>
      <c r="D1967" s="7"/>
      <c r="E1967" s="7"/>
      <c r="F1967" s="7"/>
      <c r="G1967" s="9"/>
      <c r="H1967" s="9"/>
      <c r="I1967" s="9"/>
      <c r="J1967" s="7"/>
      <c r="K1967" s="7"/>
    </row>
    <row r="1968" customFormat="false" ht="15" hidden="false" customHeight="true" outlineLevel="0" collapsed="false">
      <c r="A1968" s="14"/>
      <c r="B1968" s="7"/>
      <c r="C1968" s="7"/>
      <c r="D1968" s="7"/>
      <c r="E1968" s="7"/>
      <c r="F1968" s="7"/>
      <c r="G1968" s="9"/>
      <c r="H1968" s="9"/>
      <c r="I1968" s="9"/>
      <c r="J1968" s="7"/>
      <c r="K1968" s="7"/>
    </row>
    <row r="1969" customFormat="false" ht="15" hidden="false" customHeight="true" outlineLevel="0" collapsed="false">
      <c r="A1969" s="14"/>
      <c r="B1969" s="7"/>
      <c r="C1969" s="7"/>
      <c r="D1969" s="7"/>
      <c r="E1969" s="7"/>
      <c r="F1969" s="7"/>
      <c r="G1969" s="9"/>
      <c r="H1969" s="9"/>
      <c r="I1969" s="9"/>
      <c r="J1969" s="7"/>
      <c r="K1969" s="7"/>
    </row>
    <row r="1970" customFormat="false" ht="15" hidden="false" customHeight="true" outlineLevel="0" collapsed="false">
      <c r="A1970" s="14"/>
      <c r="B1970" s="7"/>
      <c r="C1970" s="7"/>
      <c r="D1970" s="7"/>
      <c r="E1970" s="7"/>
      <c r="F1970" s="7"/>
      <c r="G1970" s="9"/>
      <c r="H1970" s="9"/>
      <c r="I1970" s="9"/>
      <c r="J1970" s="7"/>
      <c r="K1970" s="7"/>
    </row>
    <row r="1971" customFormat="false" ht="15" hidden="false" customHeight="true" outlineLevel="0" collapsed="false">
      <c r="A1971" s="14"/>
      <c r="B1971" s="7"/>
      <c r="C1971" s="7"/>
      <c r="D1971" s="7"/>
      <c r="E1971" s="7"/>
      <c r="F1971" s="7"/>
      <c r="G1971" s="9"/>
      <c r="H1971" s="9"/>
      <c r="I1971" s="9"/>
      <c r="J1971" s="7"/>
      <c r="K1971" s="7"/>
    </row>
    <row r="1972" customFormat="false" ht="15" hidden="false" customHeight="true" outlineLevel="0" collapsed="false">
      <c r="A1972" s="14"/>
      <c r="B1972" s="7"/>
      <c r="C1972" s="7"/>
      <c r="D1972" s="7"/>
      <c r="E1972" s="7"/>
      <c r="F1972" s="7"/>
      <c r="G1972" s="9"/>
      <c r="H1972" s="9"/>
      <c r="I1972" s="9"/>
      <c r="J1972" s="7"/>
      <c r="K1972" s="7"/>
    </row>
    <row r="1973" customFormat="false" ht="15" hidden="false" customHeight="true" outlineLevel="0" collapsed="false">
      <c r="A1973" s="14"/>
      <c r="B1973" s="7"/>
      <c r="C1973" s="7"/>
      <c r="D1973" s="7"/>
      <c r="E1973" s="7"/>
      <c r="F1973" s="7"/>
      <c r="G1973" s="9"/>
      <c r="H1973" s="9"/>
      <c r="I1973" s="9"/>
      <c r="J1973" s="7"/>
      <c r="K1973" s="7"/>
    </row>
    <row r="1974" customFormat="false" ht="15" hidden="false" customHeight="true" outlineLevel="0" collapsed="false">
      <c r="A1974" s="14"/>
      <c r="B1974" s="7"/>
      <c r="C1974" s="7"/>
      <c r="D1974" s="7"/>
      <c r="E1974" s="7"/>
      <c r="F1974" s="7"/>
      <c r="G1974" s="9"/>
      <c r="H1974" s="9"/>
      <c r="I1974" s="9"/>
      <c r="J1974" s="7"/>
      <c r="K1974" s="7"/>
    </row>
    <row r="1975" customFormat="false" ht="15" hidden="false" customHeight="true" outlineLevel="0" collapsed="false">
      <c r="A1975" s="14"/>
      <c r="B1975" s="7"/>
      <c r="C1975" s="7"/>
      <c r="D1975" s="7"/>
      <c r="E1975" s="7"/>
      <c r="F1975" s="7"/>
      <c r="G1975" s="9"/>
      <c r="H1975" s="9"/>
      <c r="I1975" s="9"/>
      <c r="J1975" s="7"/>
      <c r="K1975" s="7"/>
    </row>
    <row r="1976" customFormat="false" ht="15" hidden="false" customHeight="true" outlineLevel="0" collapsed="false">
      <c r="A1976" s="14"/>
      <c r="B1976" s="7"/>
      <c r="C1976" s="7"/>
      <c r="D1976" s="7"/>
      <c r="E1976" s="7"/>
      <c r="F1976" s="7"/>
      <c r="G1976" s="9"/>
      <c r="H1976" s="9"/>
      <c r="I1976" s="9"/>
      <c r="J1976" s="7"/>
      <c r="K1976" s="7"/>
    </row>
    <row r="1977" customFormat="false" ht="15" hidden="false" customHeight="true" outlineLevel="0" collapsed="false">
      <c r="A1977" s="14"/>
      <c r="B1977" s="7"/>
      <c r="C1977" s="7"/>
      <c r="D1977" s="7"/>
      <c r="E1977" s="7"/>
      <c r="F1977" s="7"/>
      <c r="G1977" s="9"/>
      <c r="H1977" s="9"/>
      <c r="I1977" s="9"/>
      <c r="J1977" s="7"/>
      <c r="K1977" s="7"/>
    </row>
    <row r="1978" customFormat="false" ht="15" hidden="false" customHeight="true" outlineLevel="0" collapsed="false">
      <c r="A1978" s="14"/>
      <c r="B1978" s="7"/>
      <c r="C1978" s="7"/>
      <c r="D1978" s="7"/>
      <c r="E1978" s="7"/>
      <c r="F1978" s="7"/>
      <c r="G1978" s="9"/>
      <c r="H1978" s="9"/>
      <c r="I1978" s="9"/>
      <c r="J1978" s="7"/>
      <c r="K1978" s="7"/>
    </row>
    <row r="1979" customFormat="false" ht="15" hidden="false" customHeight="true" outlineLevel="0" collapsed="false">
      <c r="A1979" s="14"/>
      <c r="B1979" s="7"/>
      <c r="C1979" s="7"/>
      <c r="D1979" s="7"/>
      <c r="E1979" s="7"/>
      <c r="F1979" s="7"/>
      <c r="G1979" s="9"/>
      <c r="H1979" s="9"/>
      <c r="I1979" s="9"/>
      <c r="J1979" s="7"/>
      <c r="K1979" s="7"/>
    </row>
    <row r="1980" customFormat="false" ht="15" hidden="false" customHeight="true" outlineLevel="0" collapsed="false">
      <c r="A1980" s="14"/>
      <c r="B1980" s="7"/>
      <c r="C1980" s="7"/>
      <c r="D1980" s="7"/>
      <c r="E1980" s="7"/>
      <c r="F1980" s="7"/>
      <c r="G1980" s="9"/>
      <c r="H1980" s="9"/>
      <c r="I1980" s="9"/>
      <c r="J1980" s="7"/>
      <c r="K1980" s="7"/>
    </row>
    <row r="1981" customFormat="false" ht="15" hidden="false" customHeight="true" outlineLevel="0" collapsed="false">
      <c r="A1981" s="14"/>
      <c r="B1981" s="7"/>
      <c r="C1981" s="7"/>
      <c r="D1981" s="7"/>
      <c r="E1981" s="7"/>
      <c r="F1981" s="7"/>
      <c r="G1981" s="9"/>
      <c r="H1981" s="9"/>
      <c r="I1981" s="9"/>
      <c r="J1981" s="7"/>
      <c r="K1981" s="7"/>
    </row>
    <row r="1982" customFormat="false" ht="15" hidden="false" customHeight="true" outlineLevel="0" collapsed="false">
      <c r="A1982" s="14"/>
      <c r="B1982" s="7"/>
      <c r="C1982" s="7"/>
      <c r="D1982" s="7"/>
      <c r="E1982" s="7"/>
      <c r="F1982" s="7"/>
      <c r="G1982" s="9"/>
      <c r="H1982" s="9"/>
      <c r="I1982" s="9"/>
      <c r="J1982" s="7"/>
      <c r="K1982" s="7"/>
    </row>
    <row r="1983" customFormat="false" ht="15" hidden="false" customHeight="true" outlineLevel="0" collapsed="false">
      <c r="A1983" s="14"/>
      <c r="B1983" s="7"/>
      <c r="C1983" s="7"/>
      <c r="D1983" s="7"/>
      <c r="E1983" s="7"/>
      <c r="F1983" s="7"/>
      <c r="G1983" s="9"/>
      <c r="H1983" s="9"/>
      <c r="I1983" s="9"/>
      <c r="J1983" s="7"/>
      <c r="K1983" s="7"/>
    </row>
    <row r="1984" customFormat="false" ht="15" hidden="false" customHeight="true" outlineLevel="0" collapsed="false">
      <c r="A1984" s="14"/>
      <c r="B1984" s="7"/>
      <c r="C1984" s="7"/>
      <c r="D1984" s="7"/>
      <c r="E1984" s="7"/>
      <c r="F1984" s="7"/>
      <c r="G1984" s="9"/>
      <c r="H1984" s="9"/>
      <c r="I1984" s="9"/>
      <c r="J1984" s="7"/>
      <c r="K1984" s="7"/>
    </row>
    <row r="1985" customFormat="false" ht="15" hidden="false" customHeight="true" outlineLevel="0" collapsed="false">
      <c r="A1985" s="14"/>
      <c r="B1985" s="7"/>
      <c r="C1985" s="7"/>
      <c r="D1985" s="7"/>
      <c r="E1985" s="7"/>
      <c r="F1985" s="7"/>
      <c r="G1985" s="9"/>
      <c r="H1985" s="9"/>
      <c r="I1985" s="9"/>
      <c r="J1985" s="7"/>
      <c r="K1985" s="7"/>
    </row>
    <row r="1986" customFormat="false" ht="15" hidden="false" customHeight="true" outlineLevel="0" collapsed="false">
      <c r="A1986" s="14"/>
      <c r="B1986" s="7"/>
      <c r="C1986" s="7"/>
      <c r="D1986" s="7"/>
      <c r="E1986" s="7"/>
      <c r="F1986" s="7"/>
      <c r="G1986" s="9"/>
      <c r="H1986" s="9"/>
      <c r="I1986" s="9"/>
      <c r="J1986" s="7"/>
      <c r="K1986" s="7"/>
    </row>
    <row r="1987" customFormat="false" ht="15" hidden="false" customHeight="true" outlineLevel="0" collapsed="false">
      <c r="A1987" s="14"/>
      <c r="B1987" s="7"/>
      <c r="C1987" s="7"/>
      <c r="D1987" s="7"/>
      <c r="E1987" s="7"/>
      <c r="F1987" s="7"/>
      <c r="G1987" s="9"/>
      <c r="H1987" s="9"/>
      <c r="I1987" s="9"/>
      <c r="J1987" s="7"/>
      <c r="K1987" s="7"/>
    </row>
    <row r="1988" customFormat="false" ht="15" hidden="false" customHeight="true" outlineLevel="0" collapsed="false">
      <c r="A1988" s="14"/>
      <c r="B1988" s="7"/>
      <c r="C1988" s="7"/>
      <c r="D1988" s="7"/>
      <c r="E1988" s="7"/>
      <c r="F1988" s="7"/>
      <c r="G1988" s="9"/>
      <c r="H1988" s="9"/>
      <c r="I1988" s="9"/>
      <c r="J1988" s="7"/>
      <c r="K1988" s="7"/>
    </row>
    <row r="1989" customFormat="false" ht="15" hidden="false" customHeight="true" outlineLevel="0" collapsed="false">
      <c r="A1989" s="14"/>
      <c r="B1989" s="7"/>
      <c r="C1989" s="7"/>
      <c r="D1989" s="7"/>
      <c r="E1989" s="7"/>
      <c r="F1989" s="7"/>
      <c r="G1989" s="9"/>
      <c r="H1989" s="9"/>
      <c r="I1989" s="9"/>
      <c r="J1989" s="7"/>
      <c r="K1989" s="7"/>
    </row>
    <row r="1990" customFormat="false" ht="15" hidden="false" customHeight="true" outlineLevel="0" collapsed="false">
      <c r="A1990" s="14"/>
      <c r="B1990" s="7"/>
      <c r="C1990" s="7"/>
      <c r="D1990" s="7"/>
      <c r="E1990" s="7"/>
      <c r="F1990" s="7"/>
      <c r="G1990" s="9"/>
      <c r="H1990" s="9"/>
      <c r="I1990" s="9"/>
      <c r="J1990" s="7"/>
      <c r="K1990" s="7"/>
    </row>
    <row r="1991" customFormat="false" ht="15" hidden="false" customHeight="true" outlineLevel="0" collapsed="false">
      <c r="A1991" s="14"/>
      <c r="B1991" s="7"/>
      <c r="C1991" s="7"/>
      <c r="D1991" s="7"/>
      <c r="E1991" s="7"/>
      <c r="F1991" s="7"/>
      <c r="G1991" s="9"/>
      <c r="H1991" s="9"/>
      <c r="I1991" s="9"/>
      <c r="J1991" s="7"/>
      <c r="K1991" s="7"/>
    </row>
    <row r="1992" customFormat="false" ht="15" hidden="false" customHeight="true" outlineLevel="0" collapsed="false">
      <c r="A1992" s="14"/>
      <c r="B1992" s="7"/>
      <c r="C1992" s="7"/>
      <c r="D1992" s="7"/>
      <c r="E1992" s="7"/>
      <c r="F1992" s="7"/>
      <c r="G1992" s="9"/>
      <c r="H1992" s="9"/>
      <c r="I1992" s="9"/>
      <c r="J1992" s="7"/>
      <c r="K1992" s="7"/>
    </row>
    <row r="1993" customFormat="false" ht="15" hidden="false" customHeight="true" outlineLevel="0" collapsed="false">
      <c r="A1993" s="14"/>
      <c r="B1993" s="7"/>
      <c r="C1993" s="7"/>
      <c r="D1993" s="7"/>
      <c r="E1993" s="7"/>
      <c r="F1993" s="7"/>
      <c r="G1993" s="9"/>
      <c r="H1993" s="9"/>
      <c r="I1993" s="9"/>
      <c r="J1993" s="7"/>
      <c r="K1993" s="7"/>
    </row>
    <row r="1994" customFormat="false" ht="15" hidden="false" customHeight="true" outlineLevel="0" collapsed="false">
      <c r="A1994" s="14"/>
      <c r="B1994" s="7"/>
      <c r="C1994" s="7"/>
      <c r="D1994" s="7"/>
      <c r="E1994" s="7"/>
      <c r="F1994" s="7"/>
      <c r="G1994" s="9"/>
      <c r="H1994" s="9"/>
      <c r="I1994" s="9"/>
      <c r="J1994" s="7"/>
      <c r="K1994" s="7"/>
    </row>
    <row r="1995" customFormat="false" ht="15" hidden="false" customHeight="true" outlineLevel="0" collapsed="false">
      <c r="A1995" s="14"/>
      <c r="B1995" s="7"/>
      <c r="C1995" s="7"/>
      <c r="D1995" s="7"/>
      <c r="E1995" s="7"/>
      <c r="F1995" s="7"/>
      <c r="G1995" s="9"/>
      <c r="H1995" s="9"/>
      <c r="I1995" s="9"/>
      <c r="J1995" s="7"/>
      <c r="K1995" s="7"/>
    </row>
    <row r="1996" customFormat="false" ht="15" hidden="false" customHeight="true" outlineLevel="0" collapsed="false">
      <c r="A1996" s="14"/>
      <c r="B1996" s="7"/>
      <c r="C1996" s="7"/>
      <c r="D1996" s="7"/>
      <c r="E1996" s="7"/>
      <c r="F1996" s="7"/>
      <c r="G1996" s="9"/>
      <c r="H1996" s="9"/>
      <c r="I1996" s="9"/>
      <c r="J1996" s="7"/>
      <c r="K1996" s="7"/>
    </row>
    <row r="1997" customFormat="false" ht="15" hidden="false" customHeight="true" outlineLevel="0" collapsed="false">
      <c r="A1997" s="14"/>
      <c r="B1997" s="7"/>
      <c r="C1997" s="7"/>
      <c r="D1997" s="7"/>
      <c r="E1997" s="7"/>
      <c r="F1997" s="7"/>
      <c r="G1997" s="9"/>
      <c r="H1997" s="9"/>
      <c r="I1997" s="9"/>
      <c r="J1997" s="7"/>
      <c r="K1997" s="7"/>
    </row>
    <row r="1998" customFormat="false" ht="15" hidden="false" customHeight="true" outlineLevel="0" collapsed="false">
      <c r="A1998" s="14"/>
      <c r="B1998" s="7"/>
      <c r="C1998" s="7"/>
      <c r="D1998" s="7"/>
      <c r="E1998" s="7"/>
      <c r="F1998" s="7"/>
      <c r="G1998" s="9"/>
      <c r="H1998" s="9"/>
      <c r="I1998" s="9"/>
      <c r="J1998" s="7"/>
      <c r="K1998" s="7"/>
    </row>
    <row r="1999" customFormat="false" ht="15" hidden="false" customHeight="true" outlineLevel="0" collapsed="false">
      <c r="A1999" s="14"/>
      <c r="B1999" s="7"/>
      <c r="C1999" s="7"/>
      <c r="D1999" s="7"/>
      <c r="E1999" s="7"/>
      <c r="F1999" s="7"/>
      <c r="G1999" s="9"/>
      <c r="H1999" s="9"/>
      <c r="I1999" s="9"/>
      <c r="J1999" s="7"/>
      <c r="K1999" s="7"/>
    </row>
    <row r="2000" customFormat="false" ht="15" hidden="false" customHeight="true" outlineLevel="0" collapsed="false">
      <c r="A2000" s="14"/>
      <c r="B2000" s="7"/>
      <c r="C2000" s="7"/>
      <c r="D2000" s="7"/>
      <c r="E2000" s="7"/>
      <c r="F2000" s="7"/>
      <c r="G2000" s="9"/>
      <c r="H2000" s="9"/>
      <c r="I2000" s="9"/>
      <c r="J2000" s="7"/>
      <c r="K2000" s="7"/>
    </row>
    <row r="2001" customFormat="false" ht="15" hidden="false" customHeight="true" outlineLevel="0" collapsed="false">
      <c r="A2001" s="14"/>
      <c r="B2001" s="7"/>
      <c r="C2001" s="7"/>
      <c r="D2001" s="7"/>
      <c r="E2001" s="7"/>
      <c r="F2001" s="7"/>
      <c r="G2001" s="9"/>
      <c r="H2001" s="9"/>
      <c r="I2001" s="9"/>
      <c r="J2001" s="7"/>
      <c r="K2001" s="7"/>
    </row>
    <row r="2002" customFormat="false" ht="15" hidden="false" customHeight="true" outlineLevel="0" collapsed="false">
      <c r="A2002" s="14"/>
      <c r="B2002" s="7"/>
      <c r="C2002" s="7"/>
      <c r="D2002" s="7"/>
      <c r="E2002" s="7"/>
      <c r="F2002" s="7"/>
      <c r="G2002" s="9"/>
      <c r="H2002" s="9"/>
      <c r="I2002" s="9"/>
      <c r="J2002" s="7"/>
      <c r="K2002" s="7"/>
    </row>
    <row r="2004" customFormat="false" ht="15" hidden="false" customHeight="true" outlineLevel="0" collapsed="false">
      <c r="A2004" s="24" t="s">
        <v>99</v>
      </c>
    </row>
    <row r="2005" customFormat="false" ht="15" hidden="false" customHeight="true" outlineLevel="0" collapsed="false">
      <c r="A2005" s="5" t="s">
        <v>100</v>
      </c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J3:J2002" type="list">
      <formula1>"정기,임시,추가"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5"/>
    <col collapsed="false" customWidth="true" hidden="false" outlineLevel="0" max="5" min="4" style="1" width="13"/>
    <col collapsed="false" customWidth="true" hidden="false" outlineLevel="0" max="6" min="6" style="1" width="17"/>
  </cols>
  <sheetData>
    <row r="1" customFormat="false" ht="25.5" hidden="false" customHeight="true" outlineLevel="0" collapsed="false">
      <c r="A1" s="2" t="s">
        <v>101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102</v>
      </c>
      <c r="B3" s="25" t="n">
        <v>2026</v>
      </c>
    </row>
    <row r="5" customFormat="false" ht="15" hidden="false" customHeight="true" outlineLevel="0" collapsed="false">
      <c r="A5" s="6" t="s">
        <v>24</v>
      </c>
      <c r="B5" s="6" t="s">
        <v>25</v>
      </c>
      <c r="C5" s="6" t="s">
        <v>103</v>
      </c>
      <c r="D5" s="6" t="s">
        <v>104</v>
      </c>
      <c r="E5" s="6" t="s">
        <v>105</v>
      </c>
      <c r="F5" s="6" t="s">
        <v>106</v>
      </c>
    </row>
    <row r="6" customFormat="false" ht="15" hidden="false" customHeight="true" outlineLevel="0" collapsed="false">
      <c r="A6" s="19" t="str">
        <f aca="false">IF(거래처목록!$A3="","",거래처목록!$A3)</f>
        <v>C001</v>
      </c>
      <c r="B6" s="19" t="str">
        <f aca="false">IF($A6="","",거래처목록!$B3)</f>
        <v>○○식당</v>
      </c>
      <c r="C6" s="20" t="n">
        <f aca="false">IF($A6="","",COUNTIFS(정기주문설정!$B$3:$B$302,$A6))</f>
        <v>2</v>
      </c>
      <c r="D6" s="20" t="n">
        <f aca="false">IF($A6="","",COUNTIFS(주문내역!$B$3:$B$2002,$A6,주문내역!$A$3:$A$2002,"&gt;="&amp;DATE($B$3,1,1),주문내역!$A$3:$A$2002,"&lt;="&amp;DATE($B$3,12,31)))</f>
        <v>3</v>
      </c>
      <c r="E6" s="20" t="n">
        <f aca="false">IF($A6="","",SUMIFS(주문내역!$G$3:$G$2002,주문내역!$B$3:$B$2002,$A6,주문내역!$A$3:$A$2002,"&gt;="&amp;DATE($B$3,1,1),주문내역!$A$3:$A$2002,"&lt;="&amp;DATE($B$3,12,31)))</f>
        <v>5</v>
      </c>
      <c r="F6" s="12" t="n">
        <f aca="false">IF($A6="","",SUMIFS(주문내역!$I$3:$I$2002,주문내역!$B$3:$B$2002,$A6,주문내역!$A$3:$A$2002,"&gt;="&amp;DATE($B$3,1,1),주문내역!$A$3:$A$2002,"&lt;="&amp;DATE($B$3,12,31)))</f>
        <v>66000</v>
      </c>
    </row>
    <row r="7" customFormat="false" ht="15" hidden="false" customHeight="true" outlineLevel="0" collapsed="false">
      <c r="A7" s="19" t="str">
        <f aca="false">IF(거래처목록!$A4="","",거래처목록!$A4)</f>
        <v>C002</v>
      </c>
      <c r="B7" s="19" t="str">
        <f aca="false">IF($A7="","",거래처목록!$B4)</f>
        <v>△△치킨</v>
      </c>
      <c r="C7" s="20" t="n">
        <f aca="false">IF($A7="","",COUNTIFS(정기주문설정!$B$3:$B$302,$A7))</f>
        <v>1</v>
      </c>
      <c r="D7" s="20" t="n">
        <f aca="false">IF($A7="","",COUNTIFS(주문내역!$B$3:$B$2002,$A7,주문내역!$A$3:$A$2002,"&gt;="&amp;DATE($B$3,1,1),주문내역!$A$3:$A$2002,"&lt;="&amp;DATE($B$3,12,31)))</f>
        <v>2</v>
      </c>
      <c r="E7" s="20" t="n">
        <f aca="false">IF($A7="","",SUMIFS(주문내역!$G$3:$G$2002,주문내역!$B$3:$B$2002,$A7,주문내역!$A$3:$A$2002,"&gt;="&amp;DATE($B$3,1,1),주문내역!$A$3:$A$2002,"&lt;="&amp;DATE($B$3,12,31)))</f>
        <v>6</v>
      </c>
      <c r="F7" s="12" t="n">
        <f aca="false">IF($A7="","",SUMIFS(주문내역!$I$3:$I$2002,주문내역!$B$3:$B$2002,$A7,주문내역!$A$3:$A$2002,"&gt;="&amp;DATE($B$3,1,1),주문내역!$A$3:$A$2002,"&lt;="&amp;DATE($B$3,12,31)))</f>
        <v>72000</v>
      </c>
    </row>
    <row r="8" customFormat="false" ht="15" hidden="false" customHeight="true" outlineLevel="0" collapsed="false">
      <c r="A8" s="19" t="str">
        <f aca="false">IF(거래처목록!$A5="","",거래처목록!$A5)</f>
        <v>C003</v>
      </c>
      <c r="B8" s="19" t="str">
        <f aca="false">IF($A8="","",거래처목록!$B5)</f>
        <v>□□분식</v>
      </c>
      <c r="C8" s="20" t="n">
        <f aca="false">IF($A8="","",COUNTIFS(정기주문설정!$B$3:$B$302,$A8))</f>
        <v>1</v>
      </c>
      <c r="D8" s="20" t="n">
        <f aca="false">IF($A8="","",COUNTIFS(주문내역!$B$3:$B$2002,$A8,주문내역!$A$3:$A$2002,"&gt;="&amp;DATE($B$3,1,1),주문내역!$A$3:$A$2002,"&lt;="&amp;DATE($B$3,12,31)))</f>
        <v>1</v>
      </c>
      <c r="E8" s="20" t="n">
        <f aca="false">IF($A8="","",SUMIFS(주문내역!$G$3:$G$2002,주문내역!$B$3:$B$2002,$A8,주문내역!$A$3:$A$2002,"&gt;="&amp;DATE($B$3,1,1),주문내역!$A$3:$A$2002,"&lt;="&amp;DATE($B$3,12,31)))</f>
        <v>2</v>
      </c>
      <c r="F8" s="12" t="n">
        <f aca="false">IF($A8="","",SUMIFS(주문내역!$I$3:$I$2002,주문내역!$B$3:$B$2002,$A8,주문내역!$A$3:$A$2002,"&gt;="&amp;DATE($B$3,1,1),주문내역!$A$3:$A$2002,"&lt;="&amp;DATE($B$3,12,31)))</f>
        <v>84000</v>
      </c>
    </row>
    <row r="9" customFormat="false" ht="15" hidden="false" customHeight="true" outlineLevel="0" collapsed="false">
      <c r="A9" s="19" t="str">
        <f aca="false">IF(거래처목록!$A6="","",거래처목록!$A6)</f>
        <v/>
      </c>
      <c r="B9" s="19" t="str">
        <f aca="false">IF($A9="","",거래처목록!$B6)</f>
        <v/>
      </c>
      <c r="C9" s="20" t="str">
        <f aca="false">IF($A9="","",COUNTIFS(정기주문설정!$B$3:$B$302,$A9))</f>
        <v/>
      </c>
      <c r="D9" s="20" t="str">
        <f aca="false">IF($A9="","",COUNTIFS(주문내역!$B$3:$B$2002,$A9,주문내역!$A$3:$A$2002,"&gt;="&amp;DATE($B$3,1,1),주문내역!$A$3:$A$2002,"&lt;="&amp;DATE($B$3,12,31)))</f>
        <v/>
      </c>
      <c r="E9" s="20" t="str">
        <f aca="false">IF($A9="","",SUMIFS(주문내역!$G$3:$G$2002,주문내역!$B$3:$B$2002,$A9,주문내역!$A$3:$A$2002,"&gt;="&amp;DATE($B$3,1,1),주문내역!$A$3:$A$2002,"&lt;="&amp;DATE($B$3,12,31)))</f>
        <v/>
      </c>
      <c r="F9" s="12" t="str">
        <f aca="false">IF($A9="","",SUMIFS(주문내역!$I$3:$I$2002,주문내역!$B$3:$B$2002,$A9,주문내역!$A$3:$A$2002,"&gt;="&amp;DATE($B$3,1,1),주문내역!$A$3:$A$2002,"&lt;="&amp;DATE($B$3,12,31)))</f>
        <v/>
      </c>
    </row>
    <row r="10" customFormat="false" ht="15" hidden="false" customHeight="true" outlineLevel="0" collapsed="false">
      <c r="A10" s="19" t="str">
        <f aca="false">IF(거래처목록!$A7="","",거래처목록!$A7)</f>
        <v/>
      </c>
      <c r="B10" s="19" t="str">
        <f aca="false">IF($A10="","",거래처목록!$B7)</f>
        <v/>
      </c>
      <c r="C10" s="20" t="str">
        <f aca="false">IF($A10="","",COUNTIFS(정기주문설정!$B$3:$B$302,$A10))</f>
        <v/>
      </c>
      <c r="D10" s="20" t="str">
        <f aca="false">IF($A10="","",COUNTIFS(주문내역!$B$3:$B$2002,$A10,주문내역!$A$3:$A$2002,"&gt;="&amp;DATE($B$3,1,1),주문내역!$A$3:$A$2002,"&lt;="&amp;DATE($B$3,12,31)))</f>
        <v/>
      </c>
      <c r="E10" s="20" t="str">
        <f aca="false">IF($A10="","",SUMIFS(주문내역!$G$3:$G$2002,주문내역!$B$3:$B$2002,$A10,주문내역!$A$3:$A$2002,"&gt;="&amp;DATE($B$3,1,1),주문내역!$A$3:$A$2002,"&lt;="&amp;DATE($B$3,12,31)))</f>
        <v/>
      </c>
      <c r="F10" s="12" t="str">
        <f aca="false">IF($A10="","",SUMIFS(주문내역!$I$3:$I$2002,주문내역!$B$3:$B$2002,$A10,주문내역!$A$3:$A$2002,"&gt;="&amp;DATE($B$3,1,1),주문내역!$A$3:$A$2002,"&lt;="&amp;DATE($B$3,12,31)))</f>
        <v/>
      </c>
    </row>
    <row r="11" customFormat="false" ht="15" hidden="false" customHeight="true" outlineLevel="0" collapsed="false">
      <c r="A11" s="19" t="str">
        <f aca="false">IF(거래처목록!$A8="","",거래처목록!$A8)</f>
        <v/>
      </c>
      <c r="B11" s="19" t="str">
        <f aca="false">IF($A11="","",거래처목록!$B8)</f>
        <v/>
      </c>
      <c r="C11" s="20" t="str">
        <f aca="false">IF($A11="","",COUNTIFS(정기주문설정!$B$3:$B$302,$A11))</f>
        <v/>
      </c>
      <c r="D11" s="20" t="str">
        <f aca="false">IF($A11="","",COUNTIFS(주문내역!$B$3:$B$2002,$A11,주문내역!$A$3:$A$2002,"&gt;="&amp;DATE($B$3,1,1),주문내역!$A$3:$A$2002,"&lt;="&amp;DATE($B$3,12,31)))</f>
        <v/>
      </c>
      <c r="E11" s="20" t="str">
        <f aca="false">IF($A11="","",SUMIFS(주문내역!$G$3:$G$2002,주문내역!$B$3:$B$2002,$A11,주문내역!$A$3:$A$2002,"&gt;="&amp;DATE($B$3,1,1),주문내역!$A$3:$A$2002,"&lt;="&amp;DATE($B$3,12,31)))</f>
        <v/>
      </c>
      <c r="F11" s="12" t="str">
        <f aca="false">IF($A11="","",SUMIFS(주문내역!$I$3:$I$2002,주문내역!$B$3:$B$2002,$A11,주문내역!$A$3:$A$2002,"&gt;="&amp;DATE($B$3,1,1),주문내역!$A$3:$A$2002,"&lt;="&amp;DATE($B$3,12,31)))</f>
        <v/>
      </c>
    </row>
    <row r="12" customFormat="false" ht="15" hidden="false" customHeight="true" outlineLevel="0" collapsed="false">
      <c r="A12" s="19" t="str">
        <f aca="false">IF(거래처목록!$A9="","",거래처목록!$A9)</f>
        <v/>
      </c>
      <c r="B12" s="19" t="str">
        <f aca="false">IF($A12="","",거래처목록!$B9)</f>
        <v/>
      </c>
      <c r="C12" s="20" t="str">
        <f aca="false">IF($A12="","",COUNTIFS(정기주문설정!$B$3:$B$302,$A12))</f>
        <v/>
      </c>
      <c r="D12" s="20" t="str">
        <f aca="false">IF($A12="","",COUNTIFS(주문내역!$B$3:$B$2002,$A12,주문내역!$A$3:$A$2002,"&gt;="&amp;DATE($B$3,1,1),주문내역!$A$3:$A$2002,"&lt;="&amp;DATE($B$3,12,31)))</f>
        <v/>
      </c>
      <c r="E12" s="20" t="str">
        <f aca="false">IF($A12="","",SUMIFS(주문내역!$G$3:$G$2002,주문내역!$B$3:$B$2002,$A12,주문내역!$A$3:$A$2002,"&gt;="&amp;DATE($B$3,1,1),주문내역!$A$3:$A$2002,"&lt;="&amp;DATE($B$3,12,31)))</f>
        <v/>
      </c>
      <c r="F12" s="12" t="str">
        <f aca="false">IF($A12="","",SUMIFS(주문내역!$I$3:$I$2002,주문내역!$B$3:$B$2002,$A12,주문내역!$A$3:$A$2002,"&gt;="&amp;DATE($B$3,1,1),주문내역!$A$3:$A$2002,"&lt;="&amp;DATE($B$3,12,31)))</f>
        <v/>
      </c>
    </row>
    <row r="13" customFormat="false" ht="15" hidden="false" customHeight="true" outlineLevel="0" collapsed="false">
      <c r="A13" s="19" t="str">
        <f aca="false">IF(거래처목록!$A10="","",거래처목록!$A10)</f>
        <v/>
      </c>
      <c r="B13" s="19" t="str">
        <f aca="false">IF($A13="","",거래처목록!$B10)</f>
        <v/>
      </c>
      <c r="C13" s="20" t="str">
        <f aca="false">IF($A13="","",COUNTIFS(정기주문설정!$B$3:$B$302,$A13))</f>
        <v/>
      </c>
      <c r="D13" s="20" t="str">
        <f aca="false">IF($A13="","",COUNTIFS(주문내역!$B$3:$B$2002,$A13,주문내역!$A$3:$A$2002,"&gt;="&amp;DATE($B$3,1,1),주문내역!$A$3:$A$2002,"&lt;="&amp;DATE($B$3,12,31)))</f>
        <v/>
      </c>
      <c r="E13" s="20" t="str">
        <f aca="false">IF($A13="","",SUMIFS(주문내역!$G$3:$G$2002,주문내역!$B$3:$B$2002,$A13,주문내역!$A$3:$A$2002,"&gt;="&amp;DATE($B$3,1,1),주문내역!$A$3:$A$2002,"&lt;="&amp;DATE($B$3,12,31)))</f>
        <v/>
      </c>
      <c r="F13" s="12" t="str">
        <f aca="false">IF($A13="","",SUMIFS(주문내역!$I$3:$I$2002,주문내역!$B$3:$B$2002,$A13,주문내역!$A$3:$A$2002,"&gt;="&amp;DATE($B$3,1,1),주문내역!$A$3:$A$2002,"&lt;="&amp;DATE($B$3,12,31)))</f>
        <v/>
      </c>
    </row>
    <row r="14" customFormat="false" ht="15" hidden="false" customHeight="true" outlineLevel="0" collapsed="false">
      <c r="A14" s="19" t="str">
        <f aca="false">IF(거래처목록!$A11="","",거래처목록!$A11)</f>
        <v/>
      </c>
      <c r="B14" s="19" t="str">
        <f aca="false">IF($A14="","",거래처목록!$B11)</f>
        <v/>
      </c>
      <c r="C14" s="20" t="str">
        <f aca="false">IF($A14="","",COUNTIFS(정기주문설정!$B$3:$B$302,$A14))</f>
        <v/>
      </c>
      <c r="D14" s="20" t="str">
        <f aca="false">IF($A14="","",COUNTIFS(주문내역!$B$3:$B$2002,$A14,주문내역!$A$3:$A$2002,"&gt;="&amp;DATE($B$3,1,1),주문내역!$A$3:$A$2002,"&lt;="&amp;DATE($B$3,12,31)))</f>
        <v/>
      </c>
      <c r="E14" s="20" t="str">
        <f aca="false">IF($A14="","",SUMIFS(주문내역!$G$3:$G$2002,주문내역!$B$3:$B$2002,$A14,주문내역!$A$3:$A$2002,"&gt;="&amp;DATE($B$3,1,1),주문내역!$A$3:$A$2002,"&lt;="&amp;DATE($B$3,12,31)))</f>
        <v/>
      </c>
      <c r="F14" s="12" t="str">
        <f aca="false">IF($A14="","",SUMIFS(주문내역!$I$3:$I$2002,주문내역!$B$3:$B$2002,$A14,주문내역!$A$3:$A$2002,"&gt;="&amp;DATE($B$3,1,1),주문내역!$A$3:$A$2002,"&lt;="&amp;DATE($B$3,12,31)))</f>
        <v/>
      </c>
    </row>
    <row r="15" customFormat="false" ht="15" hidden="false" customHeight="true" outlineLevel="0" collapsed="false">
      <c r="A15" s="19" t="str">
        <f aca="false">IF(거래처목록!$A12="","",거래처목록!$A12)</f>
        <v/>
      </c>
      <c r="B15" s="19" t="str">
        <f aca="false">IF($A15="","",거래처목록!$B12)</f>
        <v/>
      </c>
      <c r="C15" s="20" t="str">
        <f aca="false">IF($A15="","",COUNTIFS(정기주문설정!$B$3:$B$302,$A15))</f>
        <v/>
      </c>
      <c r="D15" s="20" t="str">
        <f aca="false">IF($A15="","",COUNTIFS(주문내역!$B$3:$B$2002,$A15,주문내역!$A$3:$A$2002,"&gt;="&amp;DATE($B$3,1,1),주문내역!$A$3:$A$2002,"&lt;="&amp;DATE($B$3,12,31)))</f>
        <v/>
      </c>
      <c r="E15" s="20" t="str">
        <f aca="false">IF($A15="","",SUMIFS(주문내역!$G$3:$G$2002,주문내역!$B$3:$B$2002,$A15,주문내역!$A$3:$A$2002,"&gt;="&amp;DATE($B$3,1,1),주문내역!$A$3:$A$2002,"&lt;="&amp;DATE($B$3,12,31)))</f>
        <v/>
      </c>
      <c r="F15" s="12" t="str">
        <f aca="false">IF($A15="","",SUMIFS(주문내역!$I$3:$I$2002,주문내역!$B$3:$B$2002,$A15,주문내역!$A$3:$A$2002,"&gt;="&amp;DATE($B$3,1,1),주문내역!$A$3:$A$2002,"&lt;="&amp;DATE($B$3,12,31)))</f>
        <v/>
      </c>
    </row>
    <row r="16" customFormat="false" ht="15" hidden="false" customHeight="true" outlineLevel="0" collapsed="false">
      <c r="A16" s="19" t="str">
        <f aca="false">IF(거래처목록!$A13="","",거래처목록!$A13)</f>
        <v/>
      </c>
      <c r="B16" s="19" t="str">
        <f aca="false">IF($A16="","",거래처목록!$B13)</f>
        <v/>
      </c>
      <c r="C16" s="20" t="str">
        <f aca="false">IF($A16="","",COUNTIFS(정기주문설정!$B$3:$B$302,$A16))</f>
        <v/>
      </c>
      <c r="D16" s="20" t="str">
        <f aca="false">IF($A16="","",COUNTIFS(주문내역!$B$3:$B$2002,$A16,주문내역!$A$3:$A$2002,"&gt;="&amp;DATE($B$3,1,1),주문내역!$A$3:$A$2002,"&lt;="&amp;DATE($B$3,12,31)))</f>
        <v/>
      </c>
      <c r="E16" s="20" t="str">
        <f aca="false">IF($A16="","",SUMIFS(주문내역!$G$3:$G$2002,주문내역!$B$3:$B$2002,$A16,주문내역!$A$3:$A$2002,"&gt;="&amp;DATE($B$3,1,1),주문내역!$A$3:$A$2002,"&lt;="&amp;DATE($B$3,12,31)))</f>
        <v/>
      </c>
      <c r="F16" s="12" t="str">
        <f aca="false">IF($A16="","",SUMIFS(주문내역!$I$3:$I$2002,주문내역!$B$3:$B$2002,$A16,주문내역!$A$3:$A$2002,"&gt;="&amp;DATE($B$3,1,1),주문내역!$A$3:$A$2002,"&lt;="&amp;DATE($B$3,12,31)))</f>
        <v/>
      </c>
    </row>
    <row r="17" customFormat="false" ht="15" hidden="false" customHeight="true" outlineLevel="0" collapsed="false">
      <c r="A17" s="19" t="str">
        <f aca="false">IF(거래처목록!$A14="","",거래처목록!$A14)</f>
        <v/>
      </c>
      <c r="B17" s="19" t="str">
        <f aca="false">IF($A17="","",거래처목록!$B14)</f>
        <v/>
      </c>
      <c r="C17" s="20" t="str">
        <f aca="false">IF($A17="","",COUNTIFS(정기주문설정!$B$3:$B$302,$A17))</f>
        <v/>
      </c>
      <c r="D17" s="20" t="str">
        <f aca="false">IF($A17="","",COUNTIFS(주문내역!$B$3:$B$2002,$A17,주문내역!$A$3:$A$2002,"&gt;="&amp;DATE($B$3,1,1),주문내역!$A$3:$A$2002,"&lt;="&amp;DATE($B$3,12,31)))</f>
        <v/>
      </c>
      <c r="E17" s="20" t="str">
        <f aca="false">IF($A17="","",SUMIFS(주문내역!$G$3:$G$2002,주문내역!$B$3:$B$2002,$A17,주문내역!$A$3:$A$2002,"&gt;="&amp;DATE($B$3,1,1),주문내역!$A$3:$A$2002,"&lt;="&amp;DATE($B$3,12,31)))</f>
        <v/>
      </c>
      <c r="F17" s="12" t="str">
        <f aca="false">IF($A17="","",SUMIFS(주문내역!$I$3:$I$2002,주문내역!$B$3:$B$2002,$A17,주문내역!$A$3:$A$2002,"&gt;="&amp;DATE($B$3,1,1),주문내역!$A$3:$A$2002,"&lt;="&amp;DATE($B$3,12,31)))</f>
        <v/>
      </c>
    </row>
    <row r="18" customFormat="false" ht="15" hidden="false" customHeight="true" outlineLevel="0" collapsed="false">
      <c r="A18" s="19" t="str">
        <f aca="false">IF(거래처목록!$A15="","",거래처목록!$A15)</f>
        <v/>
      </c>
      <c r="B18" s="19" t="str">
        <f aca="false">IF($A18="","",거래처목록!$B15)</f>
        <v/>
      </c>
      <c r="C18" s="20" t="str">
        <f aca="false">IF($A18="","",COUNTIFS(정기주문설정!$B$3:$B$302,$A18))</f>
        <v/>
      </c>
      <c r="D18" s="20" t="str">
        <f aca="false">IF($A18="","",COUNTIFS(주문내역!$B$3:$B$2002,$A18,주문내역!$A$3:$A$2002,"&gt;="&amp;DATE($B$3,1,1),주문내역!$A$3:$A$2002,"&lt;="&amp;DATE($B$3,12,31)))</f>
        <v/>
      </c>
      <c r="E18" s="20" t="str">
        <f aca="false">IF($A18="","",SUMIFS(주문내역!$G$3:$G$2002,주문내역!$B$3:$B$2002,$A18,주문내역!$A$3:$A$2002,"&gt;="&amp;DATE($B$3,1,1),주문내역!$A$3:$A$2002,"&lt;="&amp;DATE($B$3,12,31)))</f>
        <v/>
      </c>
      <c r="F18" s="12" t="str">
        <f aca="false">IF($A18="","",SUMIFS(주문내역!$I$3:$I$2002,주문내역!$B$3:$B$2002,$A18,주문내역!$A$3:$A$2002,"&gt;="&amp;DATE($B$3,1,1),주문내역!$A$3:$A$2002,"&lt;="&amp;DATE($B$3,12,31)))</f>
        <v/>
      </c>
    </row>
    <row r="19" customFormat="false" ht="15" hidden="false" customHeight="true" outlineLevel="0" collapsed="false">
      <c r="A19" s="19" t="str">
        <f aca="false">IF(거래처목록!$A16="","",거래처목록!$A16)</f>
        <v/>
      </c>
      <c r="B19" s="19" t="str">
        <f aca="false">IF($A19="","",거래처목록!$B16)</f>
        <v/>
      </c>
      <c r="C19" s="20" t="str">
        <f aca="false">IF($A19="","",COUNTIFS(정기주문설정!$B$3:$B$302,$A19))</f>
        <v/>
      </c>
      <c r="D19" s="20" t="str">
        <f aca="false">IF($A19="","",COUNTIFS(주문내역!$B$3:$B$2002,$A19,주문내역!$A$3:$A$2002,"&gt;="&amp;DATE($B$3,1,1),주문내역!$A$3:$A$2002,"&lt;="&amp;DATE($B$3,12,31)))</f>
        <v/>
      </c>
      <c r="E19" s="20" t="str">
        <f aca="false">IF($A19="","",SUMIFS(주문내역!$G$3:$G$2002,주문내역!$B$3:$B$2002,$A19,주문내역!$A$3:$A$2002,"&gt;="&amp;DATE($B$3,1,1),주문내역!$A$3:$A$2002,"&lt;="&amp;DATE($B$3,12,31)))</f>
        <v/>
      </c>
      <c r="F19" s="12" t="str">
        <f aca="false">IF($A19="","",SUMIFS(주문내역!$I$3:$I$2002,주문내역!$B$3:$B$2002,$A19,주문내역!$A$3:$A$2002,"&gt;="&amp;DATE($B$3,1,1),주문내역!$A$3:$A$2002,"&lt;="&amp;DATE($B$3,12,31)))</f>
        <v/>
      </c>
    </row>
    <row r="20" customFormat="false" ht="15" hidden="false" customHeight="true" outlineLevel="0" collapsed="false">
      <c r="A20" s="19" t="str">
        <f aca="false">IF(거래처목록!$A17="","",거래처목록!$A17)</f>
        <v/>
      </c>
      <c r="B20" s="19" t="str">
        <f aca="false">IF($A20="","",거래처목록!$B17)</f>
        <v/>
      </c>
      <c r="C20" s="20" t="str">
        <f aca="false">IF($A20="","",COUNTIFS(정기주문설정!$B$3:$B$302,$A20))</f>
        <v/>
      </c>
      <c r="D20" s="20" t="str">
        <f aca="false">IF($A20="","",COUNTIFS(주문내역!$B$3:$B$2002,$A20,주문내역!$A$3:$A$2002,"&gt;="&amp;DATE($B$3,1,1),주문내역!$A$3:$A$2002,"&lt;="&amp;DATE($B$3,12,31)))</f>
        <v/>
      </c>
      <c r="E20" s="20" t="str">
        <f aca="false">IF($A20="","",SUMIFS(주문내역!$G$3:$G$2002,주문내역!$B$3:$B$2002,$A20,주문내역!$A$3:$A$2002,"&gt;="&amp;DATE($B$3,1,1),주문내역!$A$3:$A$2002,"&lt;="&amp;DATE($B$3,12,31)))</f>
        <v/>
      </c>
      <c r="F20" s="12" t="str">
        <f aca="false">IF($A20="","",SUMIFS(주문내역!$I$3:$I$2002,주문내역!$B$3:$B$2002,$A20,주문내역!$A$3:$A$2002,"&gt;="&amp;DATE($B$3,1,1),주문내역!$A$3:$A$2002,"&lt;="&amp;DATE($B$3,12,31)))</f>
        <v/>
      </c>
    </row>
    <row r="21" customFormat="false" ht="15" hidden="false" customHeight="true" outlineLevel="0" collapsed="false">
      <c r="A21" s="19" t="str">
        <f aca="false">IF(거래처목록!$A18="","",거래처목록!$A18)</f>
        <v/>
      </c>
      <c r="B21" s="19" t="str">
        <f aca="false">IF($A21="","",거래처목록!$B18)</f>
        <v/>
      </c>
      <c r="C21" s="20" t="str">
        <f aca="false">IF($A21="","",COUNTIFS(정기주문설정!$B$3:$B$302,$A21))</f>
        <v/>
      </c>
      <c r="D21" s="20" t="str">
        <f aca="false">IF($A21="","",COUNTIFS(주문내역!$B$3:$B$2002,$A21,주문내역!$A$3:$A$2002,"&gt;="&amp;DATE($B$3,1,1),주문내역!$A$3:$A$2002,"&lt;="&amp;DATE($B$3,12,31)))</f>
        <v/>
      </c>
      <c r="E21" s="20" t="str">
        <f aca="false">IF($A21="","",SUMIFS(주문내역!$G$3:$G$2002,주문내역!$B$3:$B$2002,$A21,주문내역!$A$3:$A$2002,"&gt;="&amp;DATE($B$3,1,1),주문내역!$A$3:$A$2002,"&lt;="&amp;DATE($B$3,12,31)))</f>
        <v/>
      </c>
      <c r="F21" s="12" t="str">
        <f aca="false">IF($A21="","",SUMIFS(주문내역!$I$3:$I$2002,주문내역!$B$3:$B$2002,$A21,주문내역!$A$3:$A$2002,"&gt;="&amp;DATE($B$3,1,1),주문내역!$A$3:$A$2002,"&lt;="&amp;DATE($B$3,12,31)))</f>
        <v/>
      </c>
    </row>
    <row r="22" customFormat="false" ht="15" hidden="false" customHeight="true" outlineLevel="0" collapsed="false">
      <c r="A22" s="19" t="str">
        <f aca="false">IF(거래처목록!$A19="","",거래처목록!$A19)</f>
        <v/>
      </c>
      <c r="B22" s="19" t="str">
        <f aca="false">IF($A22="","",거래처목록!$B19)</f>
        <v/>
      </c>
      <c r="C22" s="20" t="str">
        <f aca="false">IF($A22="","",COUNTIFS(정기주문설정!$B$3:$B$302,$A22))</f>
        <v/>
      </c>
      <c r="D22" s="20" t="str">
        <f aca="false">IF($A22="","",COUNTIFS(주문내역!$B$3:$B$2002,$A22,주문내역!$A$3:$A$2002,"&gt;="&amp;DATE($B$3,1,1),주문내역!$A$3:$A$2002,"&lt;="&amp;DATE($B$3,12,31)))</f>
        <v/>
      </c>
      <c r="E22" s="20" t="str">
        <f aca="false">IF($A22="","",SUMIFS(주문내역!$G$3:$G$2002,주문내역!$B$3:$B$2002,$A22,주문내역!$A$3:$A$2002,"&gt;="&amp;DATE($B$3,1,1),주문내역!$A$3:$A$2002,"&lt;="&amp;DATE($B$3,12,31)))</f>
        <v/>
      </c>
      <c r="F22" s="12" t="str">
        <f aca="false">IF($A22="","",SUMIFS(주문내역!$I$3:$I$2002,주문내역!$B$3:$B$2002,$A22,주문내역!$A$3:$A$2002,"&gt;="&amp;DATE($B$3,1,1),주문내역!$A$3:$A$2002,"&lt;="&amp;DATE($B$3,12,31)))</f>
        <v/>
      </c>
    </row>
    <row r="23" customFormat="false" ht="15" hidden="false" customHeight="true" outlineLevel="0" collapsed="false">
      <c r="A23" s="19" t="str">
        <f aca="false">IF(거래처목록!$A20="","",거래처목록!$A20)</f>
        <v/>
      </c>
      <c r="B23" s="19" t="str">
        <f aca="false">IF($A23="","",거래처목록!$B20)</f>
        <v/>
      </c>
      <c r="C23" s="20" t="str">
        <f aca="false">IF($A23="","",COUNTIFS(정기주문설정!$B$3:$B$302,$A23))</f>
        <v/>
      </c>
      <c r="D23" s="20" t="str">
        <f aca="false">IF($A23="","",COUNTIFS(주문내역!$B$3:$B$2002,$A23,주문내역!$A$3:$A$2002,"&gt;="&amp;DATE($B$3,1,1),주문내역!$A$3:$A$2002,"&lt;="&amp;DATE($B$3,12,31)))</f>
        <v/>
      </c>
      <c r="E23" s="20" t="str">
        <f aca="false">IF($A23="","",SUMIFS(주문내역!$G$3:$G$2002,주문내역!$B$3:$B$2002,$A23,주문내역!$A$3:$A$2002,"&gt;="&amp;DATE($B$3,1,1),주문내역!$A$3:$A$2002,"&lt;="&amp;DATE($B$3,12,31)))</f>
        <v/>
      </c>
      <c r="F23" s="12" t="str">
        <f aca="false">IF($A23="","",SUMIFS(주문내역!$I$3:$I$2002,주문내역!$B$3:$B$2002,$A23,주문내역!$A$3:$A$2002,"&gt;="&amp;DATE($B$3,1,1),주문내역!$A$3:$A$2002,"&lt;="&amp;DATE($B$3,12,31)))</f>
        <v/>
      </c>
    </row>
    <row r="24" customFormat="false" ht="15" hidden="false" customHeight="true" outlineLevel="0" collapsed="false">
      <c r="A24" s="19" t="str">
        <f aca="false">IF(거래처목록!$A21="","",거래처목록!$A21)</f>
        <v/>
      </c>
      <c r="B24" s="19" t="str">
        <f aca="false">IF($A24="","",거래처목록!$B21)</f>
        <v/>
      </c>
      <c r="C24" s="20" t="str">
        <f aca="false">IF($A24="","",COUNTIFS(정기주문설정!$B$3:$B$302,$A24))</f>
        <v/>
      </c>
      <c r="D24" s="20" t="str">
        <f aca="false">IF($A24="","",COUNTIFS(주문내역!$B$3:$B$2002,$A24,주문내역!$A$3:$A$2002,"&gt;="&amp;DATE($B$3,1,1),주문내역!$A$3:$A$2002,"&lt;="&amp;DATE($B$3,12,31)))</f>
        <v/>
      </c>
      <c r="E24" s="20" t="str">
        <f aca="false">IF($A24="","",SUMIFS(주문내역!$G$3:$G$2002,주문내역!$B$3:$B$2002,$A24,주문내역!$A$3:$A$2002,"&gt;="&amp;DATE($B$3,1,1),주문내역!$A$3:$A$2002,"&lt;="&amp;DATE($B$3,12,31)))</f>
        <v/>
      </c>
      <c r="F24" s="12" t="str">
        <f aca="false">IF($A24="","",SUMIFS(주문내역!$I$3:$I$2002,주문내역!$B$3:$B$2002,$A24,주문내역!$A$3:$A$2002,"&gt;="&amp;DATE($B$3,1,1),주문내역!$A$3:$A$2002,"&lt;="&amp;DATE($B$3,12,31)))</f>
        <v/>
      </c>
    </row>
    <row r="25" customFormat="false" ht="15" hidden="false" customHeight="true" outlineLevel="0" collapsed="false">
      <c r="A25" s="19" t="str">
        <f aca="false">IF(거래처목록!$A22="","",거래처목록!$A22)</f>
        <v/>
      </c>
      <c r="B25" s="19" t="str">
        <f aca="false">IF($A25="","",거래처목록!$B22)</f>
        <v/>
      </c>
      <c r="C25" s="20" t="str">
        <f aca="false">IF($A25="","",COUNTIFS(정기주문설정!$B$3:$B$302,$A25))</f>
        <v/>
      </c>
      <c r="D25" s="20" t="str">
        <f aca="false">IF($A25="","",COUNTIFS(주문내역!$B$3:$B$2002,$A25,주문내역!$A$3:$A$2002,"&gt;="&amp;DATE($B$3,1,1),주문내역!$A$3:$A$2002,"&lt;="&amp;DATE($B$3,12,31)))</f>
        <v/>
      </c>
      <c r="E25" s="20" t="str">
        <f aca="false">IF($A25="","",SUMIFS(주문내역!$G$3:$G$2002,주문내역!$B$3:$B$2002,$A25,주문내역!$A$3:$A$2002,"&gt;="&amp;DATE($B$3,1,1),주문내역!$A$3:$A$2002,"&lt;="&amp;DATE($B$3,12,31)))</f>
        <v/>
      </c>
      <c r="F25" s="12" t="str">
        <f aca="false">IF($A25="","",SUMIFS(주문내역!$I$3:$I$2002,주문내역!$B$3:$B$2002,$A25,주문내역!$A$3:$A$2002,"&gt;="&amp;DATE($B$3,1,1),주문내역!$A$3:$A$2002,"&lt;="&amp;DATE($B$3,12,31)))</f>
        <v/>
      </c>
    </row>
    <row r="26" customFormat="false" ht="15" hidden="false" customHeight="true" outlineLevel="0" collapsed="false">
      <c r="A26" s="19" t="str">
        <f aca="false">IF(거래처목록!$A23="","",거래처목록!$A23)</f>
        <v/>
      </c>
      <c r="B26" s="19" t="str">
        <f aca="false">IF($A26="","",거래처목록!$B23)</f>
        <v/>
      </c>
      <c r="C26" s="20" t="str">
        <f aca="false">IF($A26="","",COUNTIFS(정기주문설정!$B$3:$B$302,$A26))</f>
        <v/>
      </c>
      <c r="D26" s="20" t="str">
        <f aca="false">IF($A26="","",COUNTIFS(주문내역!$B$3:$B$2002,$A26,주문내역!$A$3:$A$2002,"&gt;="&amp;DATE($B$3,1,1),주문내역!$A$3:$A$2002,"&lt;="&amp;DATE($B$3,12,31)))</f>
        <v/>
      </c>
      <c r="E26" s="20" t="str">
        <f aca="false">IF($A26="","",SUMIFS(주문내역!$G$3:$G$2002,주문내역!$B$3:$B$2002,$A26,주문내역!$A$3:$A$2002,"&gt;="&amp;DATE($B$3,1,1),주문내역!$A$3:$A$2002,"&lt;="&amp;DATE($B$3,12,31)))</f>
        <v/>
      </c>
      <c r="F26" s="12" t="str">
        <f aca="false">IF($A26="","",SUMIFS(주문내역!$I$3:$I$2002,주문내역!$B$3:$B$2002,$A26,주문내역!$A$3:$A$2002,"&gt;="&amp;DATE($B$3,1,1),주문내역!$A$3:$A$2002,"&lt;="&amp;DATE($B$3,12,31)))</f>
        <v/>
      </c>
    </row>
    <row r="27" customFormat="false" ht="15" hidden="false" customHeight="true" outlineLevel="0" collapsed="false">
      <c r="A27" s="19" t="str">
        <f aca="false">IF(거래처목록!$A24="","",거래처목록!$A24)</f>
        <v/>
      </c>
      <c r="B27" s="19" t="str">
        <f aca="false">IF($A27="","",거래처목록!$B24)</f>
        <v/>
      </c>
      <c r="C27" s="20" t="str">
        <f aca="false">IF($A27="","",COUNTIFS(정기주문설정!$B$3:$B$302,$A27))</f>
        <v/>
      </c>
      <c r="D27" s="20" t="str">
        <f aca="false">IF($A27="","",COUNTIFS(주문내역!$B$3:$B$2002,$A27,주문내역!$A$3:$A$2002,"&gt;="&amp;DATE($B$3,1,1),주문내역!$A$3:$A$2002,"&lt;="&amp;DATE($B$3,12,31)))</f>
        <v/>
      </c>
      <c r="E27" s="20" t="str">
        <f aca="false">IF($A27="","",SUMIFS(주문내역!$G$3:$G$2002,주문내역!$B$3:$B$2002,$A27,주문내역!$A$3:$A$2002,"&gt;="&amp;DATE($B$3,1,1),주문내역!$A$3:$A$2002,"&lt;="&amp;DATE($B$3,12,31)))</f>
        <v/>
      </c>
      <c r="F27" s="12" t="str">
        <f aca="false">IF($A27="","",SUMIFS(주문내역!$I$3:$I$2002,주문내역!$B$3:$B$2002,$A27,주문내역!$A$3:$A$2002,"&gt;="&amp;DATE($B$3,1,1),주문내역!$A$3:$A$2002,"&lt;="&amp;DATE($B$3,12,31)))</f>
        <v/>
      </c>
    </row>
    <row r="28" customFormat="false" ht="15" hidden="false" customHeight="true" outlineLevel="0" collapsed="false">
      <c r="A28" s="19" t="str">
        <f aca="false">IF(거래처목록!$A25="","",거래처목록!$A25)</f>
        <v/>
      </c>
      <c r="B28" s="19" t="str">
        <f aca="false">IF($A28="","",거래처목록!$B25)</f>
        <v/>
      </c>
      <c r="C28" s="20" t="str">
        <f aca="false">IF($A28="","",COUNTIFS(정기주문설정!$B$3:$B$302,$A28))</f>
        <v/>
      </c>
      <c r="D28" s="20" t="str">
        <f aca="false">IF($A28="","",COUNTIFS(주문내역!$B$3:$B$2002,$A28,주문내역!$A$3:$A$2002,"&gt;="&amp;DATE($B$3,1,1),주문내역!$A$3:$A$2002,"&lt;="&amp;DATE($B$3,12,31)))</f>
        <v/>
      </c>
      <c r="E28" s="20" t="str">
        <f aca="false">IF($A28="","",SUMIFS(주문내역!$G$3:$G$2002,주문내역!$B$3:$B$2002,$A28,주문내역!$A$3:$A$2002,"&gt;="&amp;DATE($B$3,1,1),주문내역!$A$3:$A$2002,"&lt;="&amp;DATE($B$3,12,31)))</f>
        <v/>
      </c>
      <c r="F28" s="12" t="str">
        <f aca="false">IF($A28="","",SUMIFS(주문내역!$I$3:$I$2002,주문내역!$B$3:$B$2002,$A28,주문내역!$A$3:$A$2002,"&gt;="&amp;DATE($B$3,1,1),주문내역!$A$3:$A$2002,"&lt;="&amp;DATE($B$3,12,31)))</f>
        <v/>
      </c>
    </row>
    <row r="29" customFormat="false" ht="15" hidden="false" customHeight="true" outlineLevel="0" collapsed="false">
      <c r="A29" s="19" t="str">
        <f aca="false">IF(거래처목록!$A26="","",거래처목록!$A26)</f>
        <v/>
      </c>
      <c r="B29" s="19" t="str">
        <f aca="false">IF($A29="","",거래처목록!$B26)</f>
        <v/>
      </c>
      <c r="C29" s="20" t="str">
        <f aca="false">IF($A29="","",COUNTIFS(정기주문설정!$B$3:$B$302,$A29))</f>
        <v/>
      </c>
      <c r="D29" s="20" t="str">
        <f aca="false">IF($A29="","",COUNTIFS(주문내역!$B$3:$B$2002,$A29,주문내역!$A$3:$A$2002,"&gt;="&amp;DATE($B$3,1,1),주문내역!$A$3:$A$2002,"&lt;="&amp;DATE($B$3,12,31)))</f>
        <v/>
      </c>
      <c r="E29" s="20" t="str">
        <f aca="false">IF($A29="","",SUMIFS(주문내역!$G$3:$G$2002,주문내역!$B$3:$B$2002,$A29,주문내역!$A$3:$A$2002,"&gt;="&amp;DATE($B$3,1,1),주문내역!$A$3:$A$2002,"&lt;="&amp;DATE($B$3,12,31)))</f>
        <v/>
      </c>
      <c r="F29" s="12" t="str">
        <f aca="false">IF($A29="","",SUMIFS(주문내역!$I$3:$I$2002,주문내역!$B$3:$B$2002,$A29,주문내역!$A$3:$A$2002,"&gt;="&amp;DATE($B$3,1,1),주문내역!$A$3:$A$2002,"&lt;="&amp;DATE($B$3,12,31)))</f>
        <v/>
      </c>
    </row>
    <row r="30" customFormat="false" ht="15" hidden="false" customHeight="true" outlineLevel="0" collapsed="false">
      <c r="A30" s="19" t="str">
        <f aca="false">IF(거래처목록!$A27="","",거래처목록!$A27)</f>
        <v/>
      </c>
      <c r="B30" s="19" t="str">
        <f aca="false">IF($A30="","",거래처목록!$B27)</f>
        <v/>
      </c>
      <c r="C30" s="20" t="str">
        <f aca="false">IF($A30="","",COUNTIFS(정기주문설정!$B$3:$B$302,$A30))</f>
        <v/>
      </c>
      <c r="D30" s="20" t="str">
        <f aca="false">IF($A30="","",COUNTIFS(주문내역!$B$3:$B$2002,$A30,주문내역!$A$3:$A$2002,"&gt;="&amp;DATE($B$3,1,1),주문내역!$A$3:$A$2002,"&lt;="&amp;DATE($B$3,12,31)))</f>
        <v/>
      </c>
      <c r="E30" s="20" t="str">
        <f aca="false">IF($A30="","",SUMIFS(주문내역!$G$3:$G$2002,주문내역!$B$3:$B$2002,$A30,주문내역!$A$3:$A$2002,"&gt;="&amp;DATE($B$3,1,1),주문내역!$A$3:$A$2002,"&lt;="&amp;DATE($B$3,12,31)))</f>
        <v/>
      </c>
      <c r="F30" s="12" t="str">
        <f aca="false">IF($A30="","",SUMIFS(주문내역!$I$3:$I$2002,주문내역!$B$3:$B$2002,$A30,주문내역!$A$3:$A$2002,"&gt;="&amp;DATE($B$3,1,1),주문내역!$A$3:$A$2002,"&lt;="&amp;DATE($B$3,12,31)))</f>
        <v/>
      </c>
    </row>
    <row r="31" customFormat="false" ht="15" hidden="false" customHeight="true" outlineLevel="0" collapsed="false">
      <c r="A31" s="19" t="str">
        <f aca="false">IF(거래처목록!$A28="","",거래처목록!$A28)</f>
        <v/>
      </c>
      <c r="B31" s="19" t="str">
        <f aca="false">IF($A31="","",거래처목록!$B28)</f>
        <v/>
      </c>
      <c r="C31" s="20" t="str">
        <f aca="false">IF($A31="","",COUNTIFS(정기주문설정!$B$3:$B$302,$A31))</f>
        <v/>
      </c>
      <c r="D31" s="20" t="str">
        <f aca="false">IF($A31="","",COUNTIFS(주문내역!$B$3:$B$2002,$A31,주문내역!$A$3:$A$2002,"&gt;="&amp;DATE($B$3,1,1),주문내역!$A$3:$A$2002,"&lt;="&amp;DATE($B$3,12,31)))</f>
        <v/>
      </c>
      <c r="E31" s="20" t="str">
        <f aca="false">IF($A31="","",SUMIFS(주문내역!$G$3:$G$2002,주문내역!$B$3:$B$2002,$A31,주문내역!$A$3:$A$2002,"&gt;="&amp;DATE($B$3,1,1),주문내역!$A$3:$A$2002,"&lt;="&amp;DATE($B$3,12,31)))</f>
        <v/>
      </c>
      <c r="F31" s="12" t="str">
        <f aca="false">IF($A31="","",SUMIFS(주문내역!$I$3:$I$2002,주문내역!$B$3:$B$2002,$A31,주문내역!$A$3:$A$2002,"&gt;="&amp;DATE($B$3,1,1),주문내역!$A$3:$A$2002,"&lt;="&amp;DATE($B$3,12,31)))</f>
        <v/>
      </c>
    </row>
    <row r="32" customFormat="false" ht="15" hidden="false" customHeight="true" outlineLevel="0" collapsed="false">
      <c r="A32" s="19" t="str">
        <f aca="false">IF(거래처목록!$A29="","",거래처목록!$A29)</f>
        <v/>
      </c>
      <c r="B32" s="19" t="str">
        <f aca="false">IF($A32="","",거래처목록!$B29)</f>
        <v/>
      </c>
      <c r="C32" s="20" t="str">
        <f aca="false">IF($A32="","",COUNTIFS(정기주문설정!$B$3:$B$302,$A32))</f>
        <v/>
      </c>
      <c r="D32" s="20" t="str">
        <f aca="false">IF($A32="","",COUNTIFS(주문내역!$B$3:$B$2002,$A32,주문내역!$A$3:$A$2002,"&gt;="&amp;DATE($B$3,1,1),주문내역!$A$3:$A$2002,"&lt;="&amp;DATE($B$3,12,31)))</f>
        <v/>
      </c>
      <c r="E32" s="20" t="str">
        <f aca="false">IF($A32="","",SUMIFS(주문내역!$G$3:$G$2002,주문내역!$B$3:$B$2002,$A32,주문내역!$A$3:$A$2002,"&gt;="&amp;DATE($B$3,1,1),주문내역!$A$3:$A$2002,"&lt;="&amp;DATE($B$3,12,31)))</f>
        <v/>
      </c>
      <c r="F32" s="12" t="str">
        <f aca="false">IF($A32="","",SUMIFS(주문내역!$I$3:$I$2002,주문내역!$B$3:$B$2002,$A32,주문내역!$A$3:$A$2002,"&gt;="&amp;DATE($B$3,1,1),주문내역!$A$3:$A$2002,"&lt;="&amp;DATE($B$3,12,31)))</f>
        <v/>
      </c>
    </row>
    <row r="33" customFormat="false" ht="15" hidden="false" customHeight="true" outlineLevel="0" collapsed="false">
      <c r="A33" s="19" t="str">
        <f aca="false">IF(거래처목록!$A30="","",거래처목록!$A30)</f>
        <v/>
      </c>
      <c r="B33" s="19" t="str">
        <f aca="false">IF($A33="","",거래처목록!$B30)</f>
        <v/>
      </c>
      <c r="C33" s="20" t="str">
        <f aca="false">IF($A33="","",COUNTIFS(정기주문설정!$B$3:$B$302,$A33))</f>
        <v/>
      </c>
      <c r="D33" s="20" t="str">
        <f aca="false">IF($A33="","",COUNTIFS(주문내역!$B$3:$B$2002,$A33,주문내역!$A$3:$A$2002,"&gt;="&amp;DATE($B$3,1,1),주문내역!$A$3:$A$2002,"&lt;="&amp;DATE($B$3,12,31)))</f>
        <v/>
      </c>
      <c r="E33" s="20" t="str">
        <f aca="false">IF($A33="","",SUMIFS(주문내역!$G$3:$G$2002,주문내역!$B$3:$B$2002,$A33,주문내역!$A$3:$A$2002,"&gt;="&amp;DATE($B$3,1,1),주문내역!$A$3:$A$2002,"&lt;="&amp;DATE($B$3,12,31)))</f>
        <v/>
      </c>
      <c r="F33" s="12" t="str">
        <f aca="false">IF($A33="","",SUMIFS(주문내역!$I$3:$I$2002,주문내역!$B$3:$B$2002,$A33,주문내역!$A$3:$A$2002,"&gt;="&amp;DATE($B$3,1,1),주문내역!$A$3:$A$2002,"&lt;="&amp;DATE($B$3,12,31)))</f>
        <v/>
      </c>
    </row>
    <row r="34" customFormat="false" ht="15" hidden="false" customHeight="true" outlineLevel="0" collapsed="false">
      <c r="A34" s="19" t="str">
        <f aca="false">IF(거래처목록!$A31="","",거래처목록!$A31)</f>
        <v/>
      </c>
      <c r="B34" s="19" t="str">
        <f aca="false">IF($A34="","",거래처목록!$B31)</f>
        <v/>
      </c>
      <c r="C34" s="20" t="str">
        <f aca="false">IF($A34="","",COUNTIFS(정기주문설정!$B$3:$B$302,$A34))</f>
        <v/>
      </c>
      <c r="D34" s="20" t="str">
        <f aca="false">IF($A34="","",COUNTIFS(주문내역!$B$3:$B$2002,$A34,주문내역!$A$3:$A$2002,"&gt;="&amp;DATE($B$3,1,1),주문내역!$A$3:$A$2002,"&lt;="&amp;DATE($B$3,12,31)))</f>
        <v/>
      </c>
      <c r="E34" s="20" t="str">
        <f aca="false">IF($A34="","",SUMIFS(주문내역!$G$3:$G$2002,주문내역!$B$3:$B$2002,$A34,주문내역!$A$3:$A$2002,"&gt;="&amp;DATE($B$3,1,1),주문내역!$A$3:$A$2002,"&lt;="&amp;DATE($B$3,12,31)))</f>
        <v/>
      </c>
      <c r="F34" s="12" t="str">
        <f aca="false">IF($A34="","",SUMIFS(주문내역!$I$3:$I$2002,주문내역!$B$3:$B$2002,$A34,주문내역!$A$3:$A$2002,"&gt;="&amp;DATE($B$3,1,1),주문내역!$A$3:$A$2002,"&lt;="&amp;DATE($B$3,12,31)))</f>
        <v/>
      </c>
    </row>
    <row r="35" customFormat="false" ht="15" hidden="false" customHeight="true" outlineLevel="0" collapsed="false">
      <c r="A35" s="19" t="str">
        <f aca="false">IF(거래처목록!$A32="","",거래처목록!$A32)</f>
        <v/>
      </c>
      <c r="B35" s="19" t="str">
        <f aca="false">IF($A35="","",거래처목록!$B32)</f>
        <v/>
      </c>
      <c r="C35" s="20" t="str">
        <f aca="false">IF($A35="","",COUNTIFS(정기주문설정!$B$3:$B$302,$A35))</f>
        <v/>
      </c>
      <c r="D35" s="20" t="str">
        <f aca="false">IF($A35="","",COUNTIFS(주문내역!$B$3:$B$2002,$A35,주문내역!$A$3:$A$2002,"&gt;="&amp;DATE($B$3,1,1),주문내역!$A$3:$A$2002,"&lt;="&amp;DATE($B$3,12,31)))</f>
        <v/>
      </c>
      <c r="E35" s="20" t="str">
        <f aca="false">IF($A35="","",SUMIFS(주문내역!$G$3:$G$2002,주문내역!$B$3:$B$2002,$A35,주문내역!$A$3:$A$2002,"&gt;="&amp;DATE($B$3,1,1),주문내역!$A$3:$A$2002,"&lt;="&amp;DATE($B$3,12,31)))</f>
        <v/>
      </c>
      <c r="F35" s="12" t="str">
        <f aca="false">IF($A35="","",SUMIFS(주문내역!$I$3:$I$2002,주문내역!$B$3:$B$2002,$A35,주문내역!$A$3:$A$2002,"&gt;="&amp;DATE($B$3,1,1),주문내역!$A$3:$A$2002,"&lt;="&amp;DATE($B$3,12,31)))</f>
        <v/>
      </c>
    </row>
    <row r="36" customFormat="false" ht="15" hidden="false" customHeight="true" outlineLevel="0" collapsed="false">
      <c r="A36" s="19" t="str">
        <f aca="false">IF(거래처목록!$A33="","",거래처목록!$A33)</f>
        <v/>
      </c>
      <c r="B36" s="19" t="str">
        <f aca="false">IF($A36="","",거래처목록!$B33)</f>
        <v/>
      </c>
      <c r="C36" s="20" t="str">
        <f aca="false">IF($A36="","",COUNTIFS(정기주문설정!$B$3:$B$302,$A36))</f>
        <v/>
      </c>
      <c r="D36" s="20" t="str">
        <f aca="false">IF($A36="","",COUNTIFS(주문내역!$B$3:$B$2002,$A36,주문내역!$A$3:$A$2002,"&gt;="&amp;DATE($B$3,1,1),주문내역!$A$3:$A$2002,"&lt;="&amp;DATE($B$3,12,31)))</f>
        <v/>
      </c>
      <c r="E36" s="20" t="str">
        <f aca="false">IF($A36="","",SUMIFS(주문내역!$G$3:$G$2002,주문내역!$B$3:$B$2002,$A36,주문내역!$A$3:$A$2002,"&gt;="&amp;DATE($B$3,1,1),주문내역!$A$3:$A$2002,"&lt;="&amp;DATE($B$3,12,31)))</f>
        <v/>
      </c>
      <c r="F36" s="12" t="str">
        <f aca="false">IF($A36="","",SUMIFS(주문내역!$I$3:$I$2002,주문내역!$B$3:$B$2002,$A36,주문내역!$A$3:$A$2002,"&gt;="&amp;DATE($B$3,1,1),주문내역!$A$3:$A$2002,"&lt;="&amp;DATE($B$3,12,31)))</f>
        <v/>
      </c>
    </row>
    <row r="37" customFormat="false" ht="15" hidden="false" customHeight="true" outlineLevel="0" collapsed="false">
      <c r="A37" s="19" t="str">
        <f aca="false">IF(거래처목록!$A34="","",거래처목록!$A34)</f>
        <v/>
      </c>
      <c r="B37" s="19" t="str">
        <f aca="false">IF($A37="","",거래처목록!$B34)</f>
        <v/>
      </c>
      <c r="C37" s="20" t="str">
        <f aca="false">IF($A37="","",COUNTIFS(정기주문설정!$B$3:$B$302,$A37))</f>
        <v/>
      </c>
      <c r="D37" s="20" t="str">
        <f aca="false">IF($A37="","",COUNTIFS(주문내역!$B$3:$B$2002,$A37,주문내역!$A$3:$A$2002,"&gt;="&amp;DATE($B$3,1,1),주문내역!$A$3:$A$2002,"&lt;="&amp;DATE($B$3,12,31)))</f>
        <v/>
      </c>
      <c r="E37" s="20" t="str">
        <f aca="false">IF($A37="","",SUMIFS(주문내역!$G$3:$G$2002,주문내역!$B$3:$B$2002,$A37,주문내역!$A$3:$A$2002,"&gt;="&amp;DATE($B$3,1,1),주문내역!$A$3:$A$2002,"&lt;="&amp;DATE($B$3,12,31)))</f>
        <v/>
      </c>
      <c r="F37" s="12" t="str">
        <f aca="false">IF($A37="","",SUMIFS(주문내역!$I$3:$I$2002,주문내역!$B$3:$B$2002,$A37,주문내역!$A$3:$A$2002,"&gt;="&amp;DATE($B$3,1,1),주문내역!$A$3:$A$2002,"&lt;="&amp;DATE($B$3,12,31)))</f>
        <v/>
      </c>
    </row>
    <row r="38" customFormat="false" ht="15" hidden="false" customHeight="true" outlineLevel="0" collapsed="false">
      <c r="A38" s="19" t="str">
        <f aca="false">IF(거래처목록!$A35="","",거래처목록!$A35)</f>
        <v/>
      </c>
      <c r="B38" s="19" t="str">
        <f aca="false">IF($A38="","",거래처목록!$B35)</f>
        <v/>
      </c>
      <c r="C38" s="20" t="str">
        <f aca="false">IF($A38="","",COUNTIFS(정기주문설정!$B$3:$B$302,$A38))</f>
        <v/>
      </c>
      <c r="D38" s="20" t="str">
        <f aca="false">IF($A38="","",COUNTIFS(주문내역!$B$3:$B$2002,$A38,주문내역!$A$3:$A$2002,"&gt;="&amp;DATE($B$3,1,1),주문내역!$A$3:$A$2002,"&lt;="&amp;DATE($B$3,12,31)))</f>
        <v/>
      </c>
      <c r="E38" s="20" t="str">
        <f aca="false">IF($A38="","",SUMIFS(주문내역!$G$3:$G$2002,주문내역!$B$3:$B$2002,$A38,주문내역!$A$3:$A$2002,"&gt;="&amp;DATE($B$3,1,1),주문내역!$A$3:$A$2002,"&lt;="&amp;DATE($B$3,12,31)))</f>
        <v/>
      </c>
      <c r="F38" s="12" t="str">
        <f aca="false">IF($A38="","",SUMIFS(주문내역!$I$3:$I$2002,주문내역!$B$3:$B$2002,$A38,주문내역!$A$3:$A$2002,"&gt;="&amp;DATE($B$3,1,1),주문내역!$A$3:$A$2002,"&lt;="&amp;DATE($B$3,12,31)))</f>
        <v/>
      </c>
    </row>
    <row r="39" customFormat="false" ht="15" hidden="false" customHeight="true" outlineLevel="0" collapsed="false">
      <c r="A39" s="19" t="str">
        <f aca="false">IF(거래처목록!$A36="","",거래처목록!$A36)</f>
        <v/>
      </c>
      <c r="B39" s="19" t="str">
        <f aca="false">IF($A39="","",거래처목록!$B36)</f>
        <v/>
      </c>
      <c r="C39" s="20" t="str">
        <f aca="false">IF($A39="","",COUNTIFS(정기주문설정!$B$3:$B$302,$A39))</f>
        <v/>
      </c>
      <c r="D39" s="20" t="str">
        <f aca="false">IF($A39="","",COUNTIFS(주문내역!$B$3:$B$2002,$A39,주문내역!$A$3:$A$2002,"&gt;="&amp;DATE($B$3,1,1),주문내역!$A$3:$A$2002,"&lt;="&amp;DATE($B$3,12,31)))</f>
        <v/>
      </c>
      <c r="E39" s="20" t="str">
        <f aca="false">IF($A39="","",SUMIFS(주문내역!$G$3:$G$2002,주문내역!$B$3:$B$2002,$A39,주문내역!$A$3:$A$2002,"&gt;="&amp;DATE($B$3,1,1),주문내역!$A$3:$A$2002,"&lt;="&amp;DATE($B$3,12,31)))</f>
        <v/>
      </c>
      <c r="F39" s="12" t="str">
        <f aca="false">IF($A39="","",SUMIFS(주문내역!$I$3:$I$2002,주문내역!$B$3:$B$2002,$A39,주문내역!$A$3:$A$2002,"&gt;="&amp;DATE($B$3,1,1),주문내역!$A$3:$A$2002,"&lt;="&amp;DATE($B$3,12,31)))</f>
        <v/>
      </c>
    </row>
    <row r="40" customFormat="false" ht="15" hidden="false" customHeight="true" outlineLevel="0" collapsed="false">
      <c r="A40" s="19" t="str">
        <f aca="false">IF(거래처목록!$A37="","",거래처목록!$A37)</f>
        <v/>
      </c>
      <c r="B40" s="19" t="str">
        <f aca="false">IF($A40="","",거래처목록!$B37)</f>
        <v/>
      </c>
      <c r="C40" s="20" t="str">
        <f aca="false">IF($A40="","",COUNTIFS(정기주문설정!$B$3:$B$302,$A40))</f>
        <v/>
      </c>
      <c r="D40" s="20" t="str">
        <f aca="false">IF($A40="","",COUNTIFS(주문내역!$B$3:$B$2002,$A40,주문내역!$A$3:$A$2002,"&gt;="&amp;DATE($B$3,1,1),주문내역!$A$3:$A$2002,"&lt;="&amp;DATE($B$3,12,31)))</f>
        <v/>
      </c>
      <c r="E40" s="20" t="str">
        <f aca="false">IF($A40="","",SUMIFS(주문내역!$G$3:$G$2002,주문내역!$B$3:$B$2002,$A40,주문내역!$A$3:$A$2002,"&gt;="&amp;DATE($B$3,1,1),주문내역!$A$3:$A$2002,"&lt;="&amp;DATE($B$3,12,31)))</f>
        <v/>
      </c>
      <c r="F40" s="12" t="str">
        <f aca="false">IF($A40="","",SUMIFS(주문내역!$I$3:$I$2002,주문내역!$B$3:$B$2002,$A40,주문내역!$A$3:$A$2002,"&gt;="&amp;DATE($B$3,1,1),주문내역!$A$3:$A$2002,"&lt;="&amp;DATE($B$3,12,31)))</f>
        <v/>
      </c>
    </row>
    <row r="41" customFormat="false" ht="15" hidden="false" customHeight="true" outlineLevel="0" collapsed="false">
      <c r="A41" s="19" t="str">
        <f aca="false">IF(거래처목록!$A38="","",거래처목록!$A38)</f>
        <v/>
      </c>
      <c r="B41" s="19" t="str">
        <f aca="false">IF($A41="","",거래처목록!$B38)</f>
        <v/>
      </c>
      <c r="C41" s="20" t="str">
        <f aca="false">IF($A41="","",COUNTIFS(정기주문설정!$B$3:$B$302,$A41))</f>
        <v/>
      </c>
      <c r="D41" s="20" t="str">
        <f aca="false">IF($A41="","",COUNTIFS(주문내역!$B$3:$B$2002,$A41,주문내역!$A$3:$A$2002,"&gt;="&amp;DATE($B$3,1,1),주문내역!$A$3:$A$2002,"&lt;="&amp;DATE($B$3,12,31)))</f>
        <v/>
      </c>
      <c r="E41" s="20" t="str">
        <f aca="false">IF($A41="","",SUMIFS(주문내역!$G$3:$G$2002,주문내역!$B$3:$B$2002,$A41,주문내역!$A$3:$A$2002,"&gt;="&amp;DATE($B$3,1,1),주문내역!$A$3:$A$2002,"&lt;="&amp;DATE($B$3,12,31)))</f>
        <v/>
      </c>
      <c r="F41" s="12" t="str">
        <f aca="false">IF($A41="","",SUMIFS(주문내역!$I$3:$I$2002,주문내역!$B$3:$B$2002,$A41,주문내역!$A$3:$A$2002,"&gt;="&amp;DATE($B$3,1,1),주문내역!$A$3:$A$2002,"&lt;="&amp;DATE($B$3,12,31)))</f>
        <v/>
      </c>
    </row>
    <row r="42" customFormat="false" ht="15" hidden="false" customHeight="true" outlineLevel="0" collapsed="false">
      <c r="A42" s="19" t="str">
        <f aca="false">IF(거래처목록!$A39="","",거래처목록!$A39)</f>
        <v/>
      </c>
      <c r="B42" s="19" t="str">
        <f aca="false">IF($A42="","",거래처목록!$B39)</f>
        <v/>
      </c>
      <c r="C42" s="20" t="str">
        <f aca="false">IF($A42="","",COUNTIFS(정기주문설정!$B$3:$B$302,$A42))</f>
        <v/>
      </c>
      <c r="D42" s="20" t="str">
        <f aca="false">IF($A42="","",COUNTIFS(주문내역!$B$3:$B$2002,$A42,주문내역!$A$3:$A$2002,"&gt;="&amp;DATE($B$3,1,1),주문내역!$A$3:$A$2002,"&lt;="&amp;DATE($B$3,12,31)))</f>
        <v/>
      </c>
      <c r="E42" s="20" t="str">
        <f aca="false">IF($A42="","",SUMIFS(주문내역!$G$3:$G$2002,주문내역!$B$3:$B$2002,$A42,주문내역!$A$3:$A$2002,"&gt;="&amp;DATE($B$3,1,1),주문내역!$A$3:$A$2002,"&lt;="&amp;DATE($B$3,12,31)))</f>
        <v/>
      </c>
      <c r="F42" s="12" t="str">
        <f aca="false">IF($A42="","",SUMIFS(주문내역!$I$3:$I$2002,주문내역!$B$3:$B$2002,$A42,주문내역!$A$3:$A$2002,"&gt;="&amp;DATE($B$3,1,1),주문내역!$A$3:$A$2002,"&lt;="&amp;DATE($B$3,12,31)))</f>
        <v/>
      </c>
    </row>
    <row r="43" customFormat="false" ht="15" hidden="false" customHeight="true" outlineLevel="0" collapsed="false">
      <c r="A43" s="19" t="str">
        <f aca="false">IF(거래처목록!$A40="","",거래처목록!$A40)</f>
        <v/>
      </c>
      <c r="B43" s="19" t="str">
        <f aca="false">IF($A43="","",거래처목록!$B40)</f>
        <v/>
      </c>
      <c r="C43" s="20" t="str">
        <f aca="false">IF($A43="","",COUNTIFS(정기주문설정!$B$3:$B$302,$A43))</f>
        <v/>
      </c>
      <c r="D43" s="20" t="str">
        <f aca="false">IF($A43="","",COUNTIFS(주문내역!$B$3:$B$2002,$A43,주문내역!$A$3:$A$2002,"&gt;="&amp;DATE($B$3,1,1),주문내역!$A$3:$A$2002,"&lt;="&amp;DATE($B$3,12,31)))</f>
        <v/>
      </c>
      <c r="E43" s="20" t="str">
        <f aca="false">IF($A43="","",SUMIFS(주문내역!$G$3:$G$2002,주문내역!$B$3:$B$2002,$A43,주문내역!$A$3:$A$2002,"&gt;="&amp;DATE($B$3,1,1),주문내역!$A$3:$A$2002,"&lt;="&amp;DATE($B$3,12,31)))</f>
        <v/>
      </c>
      <c r="F43" s="12" t="str">
        <f aca="false">IF($A43="","",SUMIFS(주문내역!$I$3:$I$2002,주문내역!$B$3:$B$2002,$A43,주문내역!$A$3:$A$2002,"&gt;="&amp;DATE($B$3,1,1),주문내역!$A$3:$A$2002,"&lt;="&amp;DATE($B$3,12,31)))</f>
        <v/>
      </c>
    </row>
    <row r="44" customFormat="false" ht="15" hidden="false" customHeight="true" outlineLevel="0" collapsed="false">
      <c r="A44" s="19" t="str">
        <f aca="false">IF(거래처목록!$A41="","",거래처목록!$A41)</f>
        <v/>
      </c>
      <c r="B44" s="19" t="str">
        <f aca="false">IF($A44="","",거래처목록!$B41)</f>
        <v/>
      </c>
      <c r="C44" s="20" t="str">
        <f aca="false">IF($A44="","",COUNTIFS(정기주문설정!$B$3:$B$302,$A44))</f>
        <v/>
      </c>
      <c r="D44" s="20" t="str">
        <f aca="false">IF($A44="","",COUNTIFS(주문내역!$B$3:$B$2002,$A44,주문내역!$A$3:$A$2002,"&gt;="&amp;DATE($B$3,1,1),주문내역!$A$3:$A$2002,"&lt;="&amp;DATE($B$3,12,31)))</f>
        <v/>
      </c>
      <c r="E44" s="20" t="str">
        <f aca="false">IF($A44="","",SUMIFS(주문내역!$G$3:$G$2002,주문내역!$B$3:$B$2002,$A44,주문내역!$A$3:$A$2002,"&gt;="&amp;DATE($B$3,1,1),주문내역!$A$3:$A$2002,"&lt;="&amp;DATE($B$3,12,31)))</f>
        <v/>
      </c>
      <c r="F44" s="12" t="str">
        <f aca="false">IF($A44="","",SUMIFS(주문내역!$I$3:$I$2002,주문내역!$B$3:$B$2002,$A44,주문내역!$A$3:$A$2002,"&gt;="&amp;DATE($B$3,1,1),주문내역!$A$3:$A$2002,"&lt;="&amp;DATE($B$3,12,31)))</f>
        <v/>
      </c>
    </row>
    <row r="45" customFormat="false" ht="15" hidden="false" customHeight="true" outlineLevel="0" collapsed="false">
      <c r="A45" s="19" t="str">
        <f aca="false">IF(거래처목록!$A42="","",거래처목록!$A42)</f>
        <v/>
      </c>
      <c r="B45" s="19" t="str">
        <f aca="false">IF($A45="","",거래처목록!$B42)</f>
        <v/>
      </c>
      <c r="C45" s="20" t="str">
        <f aca="false">IF($A45="","",COUNTIFS(정기주문설정!$B$3:$B$302,$A45))</f>
        <v/>
      </c>
      <c r="D45" s="20" t="str">
        <f aca="false">IF($A45="","",COUNTIFS(주문내역!$B$3:$B$2002,$A45,주문내역!$A$3:$A$2002,"&gt;="&amp;DATE($B$3,1,1),주문내역!$A$3:$A$2002,"&lt;="&amp;DATE($B$3,12,31)))</f>
        <v/>
      </c>
      <c r="E45" s="20" t="str">
        <f aca="false">IF($A45="","",SUMIFS(주문내역!$G$3:$G$2002,주문내역!$B$3:$B$2002,$A45,주문내역!$A$3:$A$2002,"&gt;="&amp;DATE($B$3,1,1),주문내역!$A$3:$A$2002,"&lt;="&amp;DATE($B$3,12,31)))</f>
        <v/>
      </c>
      <c r="F45" s="12" t="str">
        <f aca="false">IF($A45="","",SUMIFS(주문내역!$I$3:$I$2002,주문내역!$B$3:$B$2002,$A45,주문내역!$A$3:$A$2002,"&gt;="&amp;DATE($B$3,1,1),주문내역!$A$3:$A$2002,"&lt;="&amp;DATE($B$3,12,31)))</f>
        <v/>
      </c>
    </row>
    <row r="46" customFormat="false" ht="15" hidden="false" customHeight="true" outlineLevel="0" collapsed="false">
      <c r="A46" s="19" t="str">
        <f aca="false">IF(거래처목록!$A43="","",거래처목록!$A43)</f>
        <v/>
      </c>
      <c r="B46" s="19" t="str">
        <f aca="false">IF($A46="","",거래처목록!$B43)</f>
        <v/>
      </c>
      <c r="C46" s="20" t="str">
        <f aca="false">IF($A46="","",COUNTIFS(정기주문설정!$B$3:$B$302,$A46))</f>
        <v/>
      </c>
      <c r="D46" s="20" t="str">
        <f aca="false">IF($A46="","",COUNTIFS(주문내역!$B$3:$B$2002,$A46,주문내역!$A$3:$A$2002,"&gt;="&amp;DATE($B$3,1,1),주문내역!$A$3:$A$2002,"&lt;="&amp;DATE($B$3,12,31)))</f>
        <v/>
      </c>
      <c r="E46" s="20" t="str">
        <f aca="false">IF($A46="","",SUMIFS(주문내역!$G$3:$G$2002,주문내역!$B$3:$B$2002,$A46,주문내역!$A$3:$A$2002,"&gt;="&amp;DATE($B$3,1,1),주문내역!$A$3:$A$2002,"&lt;="&amp;DATE($B$3,12,31)))</f>
        <v/>
      </c>
      <c r="F46" s="12" t="str">
        <f aca="false">IF($A46="","",SUMIFS(주문내역!$I$3:$I$2002,주문내역!$B$3:$B$2002,$A46,주문내역!$A$3:$A$2002,"&gt;="&amp;DATE($B$3,1,1),주문내역!$A$3:$A$2002,"&lt;="&amp;DATE($B$3,12,31)))</f>
        <v/>
      </c>
    </row>
    <row r="47" customFormat="false" ht="15" hidden="false" customHeight="true" outlineLevel="0" collapsed="false">
      <c r="A47" s="19" t="str">
        <f aca="false">IF(거래처목록!$A44="","",거래처목록!$A44)</f>
        <v/>
      </c>
      <c r="B47" s="19" t="str">
        <f aca="false">IF($A47="","",거래처목록!$B44)</f>
        <v/>
      </c>
      <c r="C47" s="20" t="str">
        <f aca="false">IF($A47="","",COUNTIFS(정기주문설정!$B$3:$B$302,$A47))</f>
        <v/>
      </c>
      <c r="D47" s="20" t="str">
        <f aca="false">IF($A47="","",COUNTIFS(주문내역!$B$3:$B$2002,$A47,주문내역!$A$3:$A$2002,"&gt;="&amp;DATE($B$3,1,1),주문내역!$A$3:$A$2002,"&lt;="&amp;DATE($B$3,12,31)))</f>
        <v/>
      </c>
      <c r="E47" s="20" t="str">
        <f aca="false">IF($A47="","",SUMIFS(주문내역!$G$3:$G$2002,주문내역!$B$3:$B$2002,$A47,주문내역!$A$3:$A$2002,"&gt;="&amp;DATE($B$3,1,1),주문내역!$A$3:$A$2002,"&lt;="&amp;DATE($B$3,12,31)))</f>
        <v/>
      </c>
      <c r="F47" s="12" t="str">
        <f aca="false">IF($A47="","",SUMIFS(주문내역!$I$3:$I$2002,주문내역!$B$3:$B$2002,$A47,주문내역!$A$3:$A$2002,"&gt;="&amp;DATE($B$3,1,1),주문내역!$A$3:$A$2002,"&lt;="&amp;DATE($B$3,12,31)))</f>
        <v/>
      </c>
    </row>
    <row r="48" customFormat="false" ht="15" hidden="false" customHeight="true" outlineLevel="0" collapsed="false">
      <c r="A48" s="19" t="str">
        <f aca="false">IF(거래처목록!$A45="","",거래처목록!$A45)</f>
        <v/>
      </c>
      <c r="B48" s="19" t="str">
        <f aca="false">IF($A48="","",거래처목록!$B45)</f>
        <v/>
      </c>
      <c r="C48" s="20" t="str">
        <f aca="false">IF($A48="","",COUNTIFS(정기주문설정!$B$3:$B$302,$A48))</f>
        <v/>
      </c>
      <c r="D48" s="20" t="str">
        <f aca="false">IF($A48="","",COUNTIFS(주문내역!$B$3:$B$2002,$A48,주문내역!$A$3:$A$2002,"&gt;="&amp;DATE($B$3,1,1),주문내역!$A$3:$A$2002,"&lt;="&amp;DATE($B$3,12,31)))</f>
        <v/>
      </c>
      <c r="E48" s="20" t="str">
        <f aca="false">IF($A48="","",SUMIFS(주문내역!$G$3:$G$2002,주문내역!$B$3:$B$2002,$A48,주문내역!$A$3:$A$2002,"&gt;="&amp;DATE($B$3,1,1),주문내역!$A$3:$A$2002,"&lt;="&amp;DATE($B$3,12,31)))</f>
        <v/>
      </c>
      <c r="F48" s="12" t="str">
        <f aca="false">IF($A48="","",SUMIFS(주문내역!$I$3:$I$2002,주문내역!$B$3:$B$2002,$A48,주문내역!$A$3:$A$2002,"&gt;="&amp;DATE($B$3,1,1),주문내역!$A$3:$A$2002,"&lt;="&amp;DATE($B$3,12,31)))</f>
        <v/>
      </c>
    </row>
    <row r="49" customFormat="false" ht="15" hidden="false" customHeight="true" outlineLevel="0" collapsed="false">
      <c r="A49" s="19" t="str">
        <f aca="false">IF(거래처목록!$A46="","",거래처목록!$A46)</f>
        <v/>
      </c>
      <c r="B49" s="19" t="str">
        <f aca="false">IF($A49="","",거래처목록!$B46)</f>
        <v/>
      </c>
      <c r="C49" s="20" t="str">
        <f aca="false">IF($A49="","",COUNTIFS(정기주문설정!$B$3:$B$302,$A49))</f>
        <v/>
      </c>
      <c r="D49" s="20" t="str">
        <f aca="false">IF($A49="","",COUNTIFS(주문내역!$B$3:$B$2002,$A49,주문내역!$A$3:$A$2002,"&gt;="&amp;DATE($B$3,1,1),주문내역!$A$3:$A$2002,"&lt;="&amp;DATE($B$3,12,31)))</f>
        <v/>
      </c>
      <c r="E49" s="20" t="str">
        <f aca="false">IF($A49="","",SUMIFS(주문내역!$G$3:$G$2002,주문내역!$B$3:$B$2002,$A49,주문내역!$A$3:$A$2002,"&gt;="&amp;DATE($B$3,1,1),주문내역!$A$3:$A$2002,"&lt;="&amp;DATE($B$3,12,31)))</f>
        <v/>
      </c>
      <c r="F49" s="12" t="str">
        <f aca="false">IF($A49="","",SUMIFS(주문내역!$I$3:$I$2002,주문내역!$B$3:$B$2002,$A49,주문내역!$A$3:$A$2002,"&gt;="&amp;DATE($B$3,1,1),주문내역!$A$3:$A$2002,"&lt;="&amp;DATE($B$3,12,31)))</f>
        <v/>
      </c>
    </row>
    <row r="50" customFormat="false" ht="15" hidden="false" customHeight="true" outlineLevel="0" collapsed="false">
      <c r="A50" s="19" t="str">
        <f aca="false">IF(거래처목록!$A47="","",거래처목록!$A47)</f>
        <v/>
      </c>
      <c r="B50" s="19" t="str">
        <f aca="false">IF($A50="","",거래처목록!$B47)</f>
        <v/>
      </c>
      <c r="C50" s="20" t="str">
        <f aca="false">IF($A50="","",COUNTIFS(정기주문설정!$B$3:$B$302,$A50))</f>
        <v/>
      </c>
      <c r="D50" s="20" t="str">
        <f aca="false">IF($A50="","",COUNTIFS(주문내역!$B$3:$B$2002,$A50,주문내역!$A$3:$A$2002,"&gt;="&amp;DATE($B$3,1,1),주문내역!$A$3:$A$2002,"&lt;="&amp;DATE($B$3,12,31)))</f>
        <v/>
      </c>
      <c r="E50" s="20" t="str">
        <f aca="false">IF($A50="","",SUMIFS(주문내역!$G$3:$G$2002,주문내역!$B$3:$B$2002,$A50,주문내역!$A$3:$A$2002,"&gt;="&amp;DATE($B$3,1,1),주문내역!$A$3:$A$2002,"&lt;="&amp;DATE($B$3,12,31)))</f>
        <v/>
      </c>
      <c r="F50" s="12" t="str">
        <f aca="false">IF($A50="","",SUMIFS(주문내역!$I$3:$I$2002,주문내역!$B$3:$B$2002,$A50,주문내역!$A$3:$A$2002,"&gt;="&amp;DATE($B$3,1,1),주문내역!$A$3:$A$2002,"&lt;="&amp;DATE($B$3,12,31)))</f>
        <v/>
      </c>
    </row>
    <row r="51" customFormat="false" ht="15" hidden="false" customHeight="true" outlineLevel="0" collapsed="false">
      <c r="A51" s="19" t="str">
        <f aca="false">IF(거래처목록!$A48="","",거래처목록!$A48)</f>
        <v/>
      </c>
      <c r="B51" s="19" t="str">
        <f aca="false">IF($A51="","",거래처목록!$B48)</f>
        <v/>
      </c>
      <c r="C51" s="20" t="str">
        <f aca="false">IF($A51="","",COUNTIFS(정기주문설정!$B$3:$B$302,$A51))</f>
        <v/>
      </c>
      <c r="D51" s="20" t="str">
        <f aca="false">IF($A51="","",COUNTIFS(주문내역!$B$3:$B$2002,$A51,주문내역!$A$3:$A$2002,"&gt;="&amp;DATE($B$3,1,1),주문내역!$A$3:$A$2002,"&lt;="&amp;DATE($B$3,12,31)))</f>
        <v/>
      </c>
      <c r="E51" s="20" t="str">
        <f aca="false">IF($A51="","",SUMIFS(주문내역!$G$3:$G$2002,주문내역!$B$3:$B$2002,$A51,주문내역!$A$3:$A$2002,"&gt;="&amp;DATE($B$3,1,1),주문내역!$A$3:$A$2002,"&lt;="&amp;DATE($B$3,12,31)))</f>
        <v/>
      </c>
      <c r="F51" s="12" t="str">
        <f aca="false">IF($A51="","",SUMIFS(주문내역!$I$3:$I$2002,주문내역!$B$3:$B$2002,$A51,주문내역!$A$3:$A$2002,"&gt;="&amp;DATE($B$3,1,1),주문내역!$A$3:$A$2002,"&lt;="&amp;DATE($B$3,12,31)))</f>
        <v/>
      </c>
    </row>
    <row r="52" customFormat="false" ht="15" hidden="false" customHeight="true" outlineLevel="0" collapsed="false">
      <c r="A52" s="19" t="str">
        <f aca="false">IF(거래처목록!$A49="","",거래처목록!$A49)</f>
        <v/>
      </c>
      <c r="B52" s="19" t="str">
        <f aca="false">IF($A52="","",거래처목록!$B49)</f>
        <v/>
      </c>
      <c r="C52" s="20" t="str">
        <f aca="false">IF($A52="","",COUNTIFS(정기주문설정!$B$3:$B$302,$A52))</f>
        <v/>
      </c>
      <c r="D52" s="20" t="str">
        <f aca="false">IF($A52="","",COUNTIFS(주문내역!$B$3:$B$2002,$A52,주문내역!$A$3:$A$2002,"&gt;="&amp;DATE($B$3,1,1),주문내역!$A$3:$A$2002,"&lt;="&amp;DATE($B$3,12,31)))</f>
        <v/>
      </c>
      <c r="E52" s="20" t="str">
        <f aca="false">IF($A52="","",SUMIFS(주문내역!$G$3:$G$2002,주문내역!$B$3:$B$2002,$A52,주문내역!$A$3:$A$2002,"&gt;="&amp;DATE($B$3,1,1),주문내역!$A$3:$A$2002,"&lt;="&amp;DATE($B$3,12,31)))</f>
        <v/>
      </c>
      <c r="F52" s="12" t="str">
        <f aca="false">IF($A52="","",SUMIFS(주문내역!$I$3:$I$2002,주문내역!$B$3:$B$2002,$A52,주문내역!$A$3:$A$2002,"&gt;="&amp;DATE($B$3,1,1),주문내역!$A$3:$A$2002,"&lt;="&amp;DATE($B$3,12,31)))</f>
        <v/>
      </c>
    </row>
    <row r="53" customFormat="false" ht="15" hidden="false" customHeight="true" outlineLevel="0" collapsed="false">
      <c r="A53" s="19" t="str">
        <f aca="false">IF(거래처목록!$A50="","",거래처목록!$A50)</f>
        <v/>
      </c>
      <c r="B53" s="19" t="str">
        <f aca="false">IF($A53="","",거래처목록!$B50)</f>
        <v/>
      </c>
      <c r="C53" s="20" t="str">
        <f aca="false">IF($A53="","",COUNTIFS(정기주문설정!$B$3:$B$302,$A53))</f>
        <v/>
      </c>
      <c r="D53" s="20" t="str">
        <f aca="false">IF($A53="","",COUNTIFS(주문내역!$B$3:$B$2002,$A53,주문내역!$A$3:$A$2002,"&gt;="&amp;DATE($B$3,1,1),주문내역!$A$3:$A$2002,"&lt;="&amp;DATE($B$3,12,31)))</f>
        <v/>
      </c>
      <c r="E53" s="20" t="str">
        <f aca="false">IF($A53="","",SUMIFS(주문내역!$G$3:$G$2002,주문내역!$B$3:$B$2002,$A53,주문내역!$A$3:$A$2002,"&gt;="&amp;DATE($B$3,1,1),주문내역!$A$3:$A$2002,"&lt;="&amp;DATE($B$3,12,31)))</f>
        <v/>
      </c>
      <c r="F53" s="12" t="str">
        <f aca="false">IF($A53="","",SUMIFS(주문내역!$I$3:$I$2002,주문내역!$B$3:$B$2002,$A53,주문내역!$A$3:$A$2002,"&gt;="&amp;DATE($B$3,1,1),주문내역!$A$3:$A$2002,"&lt;="&amp;DATE($B$3,12,31)))</f>
        <v/>
      </c>
    </row>
    <row r="54" customFormat="false" ht="15" hidden="false" customHeight="true" outlineLevel="0" collapsed="false">
      <c r="A54" s="19" t="str">
        <f aca="false">IF(거래처목록!$A51="","",거래처목록!$A51)</f>
        <v/>
      </c>
      <c r="B54" s="19" t="str">
        <f aca="false">IF($A54="","",거래처목록!$B51)</f>
        <v/>
      </c>
      <c r="C54" s="20" t="str">
        <f aca="false">IF($A54="","",COUNTIFS(정기주문설정!$B$3:$B$302,$A54))</f>
        <v/>
      </c>
      <c r="D54" s="20" t="str">
        <f aca="false">IF($A54="","",COUNTIFS(주문내역!$B$3:$B$2002,$A54,주문내역!$A$3:$A$2002,"&gt;="&amp;DATE($B$3,1,1),주문내역!$A$3:$A$2002,"&lt;="&amp;DATE($B$3,12,31)))</f>
        <v/>
      </c>
      <c r="E54" s="20" t="str">
        <f aca="false">IF($A54="","",SUMIFS(주문내역!$G$3:$G$2002,주문내역!$B$3:$B$2002,$A54,주문내역!$A$3:$A$2002,"&gt;="&amp;DATE($B$3,1,1),주문내역!$A$3:$A$2002,"&lt;="&amp;DATE($B$3,12,31)))</f>
        <v/>
      </c>
      <c r="F54" s="12" t="str">
        <f aca="false">IF($A54="","",SUMIFS(주문내역!$I$3:$I$2002,주문내역!$B$3:$B$2002,$A54,주문내역!$A$3:$A$2002,"&gt;="&amp;DATE($B$3,1,1),주문내역!$A$3:$A$2002,"&lt;="&amp;DATE($B$3,12,31)))</f>
        <v/>
      </c>
    </row>
    <row r="55" customFormat="false" ht="15" hidden="false" customHeight="true" outlineLevel="0" collapsed="false">
      <c r="A55" s="19" t="str">
        <f aca="false">IF(거래처목록!$A52="","",거래처목록!$A52)</f>
        <v/>
      </c>
      <c r="B55" s="19" t="str">
        <f aca="false">IF($A55="","",거래처목록!$B52)</f>
        <v/>
      </c>
      <c r="C55" s="20" t="str">
        <f aca="false">IF($A55="","",COUNTIFS(정기주문설정!$B$3:$B$302,$A55))</f>
        <v/>
      </c>
      <c r="D55" s="20" t="str">
        <f aca="false">IF($A55="","",COUNTIFS(주문내역!$B$3:$B$2002,$A55,주문내역!$A$3:$A$2002,"&gt;="&amp;DATE($B$3,1,1),주문내역!$A$3:$A$2002,"&lt;="&amp;DATE($B$3,12,31)))</f>
        <v/>
      </c>
      <c r="E55" s="20" t="str">
        <f aca="false">IF($A55="","",SUMIFS(주문내역!$G$3:$G$2002,주문내역!$B$3:$B$2002,$A55,주문내역!$A$3:$A$2002,"&gt;="&amp;DATE($B$3,1,1),주문내역!$A$3:$A$2002,"&lt;="&amp;DATE($B$3,12,31)))</f>
        <v/>
      </c>
      <c r="F55" s="12" t="str">
        <f aca="false">IF($A55="","",SUMIFS(주문내역!$I$3:$I$2002,주문내역!$B$3:$B$2002,$A55,주문내역!$A$3:$A$2002,"&gt;="&amp;DATE($B$3,1,1),주문내역!$A$3:$A$2002,"&lt;="&amp;DATE($B$3,12,31)))</f>
        <v/>
      </c>
    </row>
    <row r="56" customFormat="false" ht="15" hidden="false" customHeight="true" outlineLevel="0" collapsed="false">
      <c r="A56" s="19" t="str">
        <f aca="false">IF(거래처목록!$A53="","",거래처목록!$A53)</f>
        <v/>
      </c>
      <c r="B56" s="19" t="str">
        <f aca="false">IF($A56="","",거래처목록!$B53)</f>
        <v/>
      </c>
      <c r="C56" s="20" t="str">
        <f aca="false">IF($A56="","",COUNTIFS(정기주문설정!$B$3:$B$302,$A56))</f>
        <v/>
      </c>
      <c r="D56" s="20" t="str">
        <f aca="false">IF($A56="","",COUNTIFS(주문내역!$B$3:$B$2002,$A56,주문내역!$A$3:$A$2002,"&gt;="&amp;DATE($B$3,1,1),주문내역!$A$3:$A$2002,"&lt;="&amp;DATE($B$3,12,31)))</f>
        <v/>
      </c>
      <c r="E56" s="20" t="str">
        <f aca="false">IF($A56="","",SUMIFS(주문내역!$G$3:$G$2002,주문내역!$B$3:$B$2002,$A56,주문내역!$A$3:$A$2002,"&gt;="&amp;DATE($B$3,1,1),주문내역!$A$3:$A$2002,"&lt;="&amp;DATE($B$3,12,31)))</f>
        <v/>
      </c>
      <c r="F56" s="12" t="str">
        <f aca="false">IF($A56="","",SUMIFS(주문내역!$I$3:$I$2002,주문내역!$B$3:$B$2002,$A56,주문내역!$A$3:$A$2002,"&gt;="&amp;DATE($B$3,1,1),주문내역!$A$3:$A$2002,"&lt;="&amp;DATE($B$3,12,31)))</f>
        <v/>
      </c>
    </row>
    <row r="57" customFormat="false" ht="15" hidden="false" customHeight="true" outlineLevel="0" collapsed="false">
      <c r="A57" s="19" t="str">
        <f aca="false">IF(거래처목록!$A54="","",거래처목록!$A54)</f>
        <v/>
      </c>
      <c r="B57" s="19" t="str">
        <f aca="false">IF($A57="","",거래처목록!$B54)</f>
        <v/>
      </c>
      <c r="C57" s="20" t="str">
        <f aca="false">IF($A57="","",COUNTIFS(정기주문설정!$B$3:$B$302,$A57))</f>
        <v/>
      </c>
      <c r="D57" s="20" t="str">
        <f aca="false">IF($A57="","",COUNTIFS(주문내역!$B$3:$B$2002,$A57,주문내역!$A$3:$A$2002,"&gt;="&amp;DATE($B$3,1,1),주문내역!$A$3:$A$2002,"&lt;="&amp;DATE($B$3,12,31)))</f>
        <v/>
      </c>
      <c r="E57" s="20" t="str">
        <f aca="false">IF($A57="","",SUMIFS(주문내역!$G$3:$G$2002,주문내역!$B$3:$B$2002,$A57,주문내역!$A$3:$A$2002,"&gt;="&amp;DATE($B$3,1,1),주문내역!$A$3:$A$2002,"&lt;="&amp;DATE($B$3,12,31)))</f>
        <v/>
      </c>
      <c r="F57" s="12" t="str">
        <f aca="false">IF($A57="","",SUMIFS(주문내역!$I$3:$I$2002,주문내역!$B$3:$B$2002,$A57,주문내역!$A$3:$A$2002,"&gt;="&amp;DATE($B$3,1,1),주문내역!$A$3:$A$2002,"&lt;="&amp;DATE($B$3,12,31)))</f>
        <v/>
      </c>
    </row>
    <row r="58" customFormat="false" ht="15" hidden="false" customHeight="true" outlineLevel="0" collapsed="false">
      <c r="A58" s="19" t="str">
        <f aca="false">IF(거래처목록!$A55="","",거래처목록!$A55)</f>
        <v/>
      </c>
      <c r="B58" s="19" t="str">
        <f aca="false">IF($A58="","",거래처목록!$B55)</f>
        <v/>
      </c>
      <c r="C58" s="20" t="str">
        <f aca="false">IF($A58="","",COUNTIFS(정기주문설정!$B$3:$B$302,$A58))</f>
        <v/>
      </c>
      <c r="D58" s="20" t="str">
        <f aca="false">IF($A58="","",COUNTIFS(주문내역!$B$3:$B$2002,$A58,주문내역!$A$3:$A$2002,"&gt;="&amp;DATE($B$3,1,1),주문내역!$A$3:$A$2002,"&lt;="&amp;DATE($B$3,12,31)))</f>
        <v/>
      </c>
      <c r="E58" s="20" t="str">
        <f aca="false">IF($A58="","",SUMIFS(주문내역!$G$3:$G$2002,주문내역!$B$3:$B$2002,$A58,주문내역!$A$3:$A$2002,"&gt;="&amp;DATE($B$3,1,1),주문내역!$A$3:$A$2002,"&lt;="&amp;DATE($B$3,12,31)))</f>
        <v/>
      </c>
      <c r="F58" s="12" t="str">
        <f aca="false">IF($A58="","",SUMIFS(주문내역!$I$3:$I$2002,주문내역!$B$3:$B$2002,$A58,주문내역!$A$3:$A$2002,"&gt;="&amp;DATE($B$3,1,1),주문내역!$A$3:$A$2002,"&lt;="&amp;DATE($B$3,12,31)))</f>
        <v/>
      </c>
    </row>
    <row r="59" customFormat="false" ht="15" hidden="false" customHeight="true" outlineLevel="0" collapsed="false">
      <c r="A59" s="19" t="str">
        <f aca="false">IF(거래처목록!$A56="","",거래처목록!$A56)</f>
        <v/>
      </c>
      <c r="B59" s="19" t="str">
        <f aca="false">IF($A59="","",거래처목록!$B56)</f>
        <v/>
      </c>
      <c r="C59" s="20" t="str">
        <f aca="false">IF($A59="","",COUNTIFS(정기주문설정!$B$3:$B$302,$A59))</f>
        <v/>
      </c>
      <c r="D59" s="20" t="str">
        <f aca="false">IF($A59="","",COUNTIFS(주문내역!$B$3:$B$2002,$A59,주문내역!$A$3:$A$2002,"&gt;="&amp;DATE($B$3,1,1),주문내역!$A$3:$A$2002,"&lt;="&amp;DATE($B$3,12,31)))</f>
        <v/>
      </c>
      <c r="E59" s="20" t="str">
        <f aca="false">IF($A59="","",SUMIFS(주문내역!$G$3:$G$2002,주문내역!$B$3:$B$2002,$A59,주문내역!$A$3:$A$2002,"&gt;="&amp;DATE($B$3,1,1),주문내역!$A$3:$A$2002,"&lt;="&amp;DATE($B$3,12,31)))</f>
        <v/>
      </c>
      <c r="F59" s="12" t="str">
        <f aca="false">IF($A59="","",SUMIFS(주문내역!$I$3:$I$2002,주문내역!$B$3:$B$2002,$A59,주문내역!$A$3:$A$2002,"&gt;="&amp;DATE($B$3,1,1),주문내역!$A$3:$A$2002,"&lt;="&amp;DATE($B$3,12,31)))</f>
        <v/>
      </c>
    </row>
    <row r="60" customFormat="false" ht="15" hidden="false" customHeight="true" outlineLevel="0" collapsed="false">
      <c r="A60" s="19" t="str">
        <f aca="false">IF(거래처목록!$A57="","",거래처목록!$A57)</f>
        <v/>
      </c>
      <c r="B60" s="19" t="str">
        <f aca="false">IF($A60="","",거래처목록!$B57)</f>
        <v/>
      </c>
      <c r="C60" s="20" t="str">
        <f aca="false">IF($A60="","",COUNTIFS(정기주문설정!$B$3:$B$302,$A60))</f>
        <v/>
      </c>
      <c r="D60" s="20" t="str">
        <f aca="false">IF($A60="","",COUNTIFS(주문내역!$B$3:$B$2002,$A60,주문내역!$A$3:$A$2002,"&gt;="&amp;DATE($B$3,1,1),주문내역!$A$3:$A$2002,"&lt;="&amp;DATE($B$3,12,31)))</f>
        <v/>
      </c>
      <c r="E60" s="20" t="str">
        <f aca="false">IF($A60="","",SUMIFS(주문내역!$G$3:$G$2002,주문내역!$B$3:$B$2002,$A60,주문내역!$A$3:$A$2002,"&gt;="&amp;DATE($B$3,1,1),주문내역!$A$3:$A$2002,"&lt;="&amp;DATE($B$3,12,31)))</f>
        <v/>
      </c>
      <c r="F60" s="12" t="str">
        <f aca="false">IF($A60="","",SUMIFS(주문내역!$I$3:$I$2002,주문내역!$B$3:$B$2002,$A60,주문내역!$A$3:$A$2002,"&gt;="&amp;DATE($B$3,1,1),주문내역!$A$3:$A$2002,"&lt;="&amp;DATE($B$3,12,31)))</f>
        <v/>
      </c>
    </row>
    <row r="61" customFormat="false" ht="15" hidden="false" customHeight="true" outlineLevel="0" collapsed="false">
      <c r="A61" s="19" t="str">
        <f aca="false">IF(거래처목록!$A58="","",거래처목록!$A58)</f>
        <v/>
      </c>
      <c r="B61" s="19" t="str">
        <f aca="false">IF($A61="","",거래처목록!$B58)</f>
        <v/>
      </c>
      <c r="C61" s="20" t="str">
        <f aca="false">IF($A61="","",COUNTIFS(정기주문설정!$B$3:$B$302,$A61))</f>
        <v/>
      </c>
      <c r="D61" s="20" t="str">
        <f aca="false">IF($A61="","",COUNTIFS(주문내역!$B$3:$B$2002,$A61,주문내역!$A$3:$A$2002,"&gt;="&amp;DATE($B$3,1,1),주문내역!$A$3:$A$2002,"&lt;="&amp;DATE($B$3,12,31)))</f>
        <v/>
      </c>
      <c r="E61" s="20" t="str">
        <f aca="false">IF($A61="","",SUMIFS(주문내역!$G$3:$G$2002,주문내역!$B$3:$B$2002,$A61,주문내역!$A$3:$A$2002,"&gt;="&amp;DATE($B$3,1,1),주문내역!$A$3:$A$2002,"&lt;="&amp;DATE($B$3,12,31)))</f>
        <v/>
      </c>
      <c r="F61" s="12" t="str">
        <f aca="false">IF($A61="","",SUMIFS(주문내역!$I$3:$I$2002,주문내역!$B$3:$B$2002,$A61,주문내역!$A$3:$A$2002,"&gt;="&amp;DATE($B$3,1,1),주문내역!$A$3:$A$2002,"&lt;="&amp;DATE($B$3,12,31)))</f>
        <v/>
      </c>
    </row>
    <row r="62" customFormat="false" ht="15" hidden="false" customHeight="true" outlineLevel="0" collapsed="false">
      <c r="A62" s="19" t="str">
        <f aca="false">IF(거래처목록!$A59="","",거래처목록!$A59)</f>
        <v/>
      </c>
      <c r="B62" s="19" t="str">
        <f aca="false">IF($A62="","",거래처목록!$B59)</f>
        <v/>
      </c>
      <c r="C62" s="20" t="str">
        <f aca="false">IF($A62="","",COUNTIFS(정기주문설정!$B$3:$B$302,$A62))</f>
        <v/>
      </c>
      <c r="D62" s="20" t="str">
        <f aca="false">IF($A62="","",COUNTIFS(주문내역!$B$3:$B$2002,$A62,주문내역!$A$3:$A$2002,"&gt;="&amp;DATE($B$3,1,1),주문내역!$A$3:$A$2002,"&lt;="&amp;DATE($B$3,12,31)))</f>
        <v/>
      </c>
      <c r="E62" s="20" t="str">
        <f aca="false">IF($A62="","",SUMIFS(주문내역!$G$3:$G$2002,주문내역!$B$3:$B$2002,$A62,주문내역!$A$3:$A$2002,"&gt;="&amp;DATE($B$3,1,1),주문내역!$A$3:$A$2002,"&lt;="&amp;DATE($B$3,12,31)))</f>
        <v/>
      </c>
      <c r="F62" s="12" t="str">
        <f aca="false">IF($A62="","",SUMIFS(주문내역!$I$3:$I$2002,주문내역!$B$3:$B$2002,$A62,주문내역!$A$3:$A$2002,"&gt;="&amp;DATE($B$3,1,1),주문내역!$A$3:$A$2002,"&lt;="&amp;DATE($B$3,12,31)))</f>
        <v/>
      </c>
    </row>
    <row r="63" customFormat="false" ht="15" hidden="false" customHeight="true" outlineLevel="0" collapsed="false">
      <c r="A63" s="19" t="str">
        <f aca="false">IF(거래처목록!$A60="","",거래처목록!$A60)</f>
        <v/>
      </c>
      <c r="B63" s="19" t="str">
        <f aca="false">IF($A63="","",거래처목록!$B60)</f>
        <v/>
      </c>
      <c r="C63" s="20" t="str">
        <f aca="false">IF($A63="","",COUNTIFS(정기주문설정!$B$3:$B$302,$A63))</f>
        <v/>
      </c>
      <c r="D63" s="20" t="str">
        <f aca="false">IF($A63="","",COUNTIFS(주문내역!$B$3:$B$2002,$A63,주문내역!$A$3:$A$2002,"&gt;="&amp;DATE($B$3,1,1),주문내역!$A$3:$A$2002,"&lt;="&amp;DATE($B$3,12,31)))</f>
        <v/>
      </c>
      <c r="E63" s="20" t="str">
        <f aca="false">IF($A63="","",SUMIFS(주문내역!$G$3:$G$2002,주문내역!$B$3:$B$2002,$A63,주문내역!$A$3:$A$2002,"&gt;="&amp;DATE($B$3,1,1),주문내역!$A$3:$A$2002,"&lt;="&amp;DATE($B$3,12,31)))</f>
        <v/>
      </c>
      <c r="F63" s="12" t="str">
        <f aca="false">IF($A63="","",SUMIFS(주문내역!$I$3:$I$2002,주문내역!$B$3:$B$2002,$A63,주문내역!$A$3:$A$2002,"&gt;="&amp;DATE($B$3,1,1),주문내역!$A$3:$A$2002,"&lt;="&amp;DATE($B$3,12,31)))</f>
        <v/>
      </c>
    </row>
    <row r="64" customFormat="false" ht="15" hidden="false" customHeight="true" outlineLevel="0" collapsed="false">
      <c r="A64" s="19" t="str">
        <f aca="false">IF(거래처목록!$A61="","",거래처목록!$A61)</f>
        <v/>
      </c>
      <c r="B64" s="19" t="str">
        <f aca="false">IF($A64="","",거래처목록!$B61)</f>
        <v/>
      </c>
      <c r="C64" s="20" t="str">
        <f aca="false">IF($A64="","",COUNTIFS(정기주문설정!$B$3:$B$302,$A64))</f>
        <v/>
      </c>
      <c r="D64" s="20" t="str">
        <f aca="false">IF($A64="","",COUNTIFS(주문내역!$B$3:$B$2002,$A64,주문내역!$A$3:$A$2002,"&gt;="&amp;DATE($B$3,1,1),주문내역!$A$3:$A$2002,"&lt;="&amp;DATE($B$3,12,31)))</f>
        <v/>
      </c>
      <c r="E64" s="20" t="str">
        <f aca="false">IF($A64="","",SUMIFS(주문내역!$G$3:$G$2002,주문내역!$B$3:$B$2002,$A64,주문내역!$A$3:$A$2002,"&gt;="&amp;DATE($B$3,1,1),주문내역!$A$3:$A$2002,"&lt;="&amp;DATE($B$3,12,31)))</f>
        <v/>
      </c>
      <c r="F64" s="12" t="str">
        <f aca="false">IF($A64="","",SUMIFS(주문내역!$I$3:$I$2002,주문내역!$B$3:$B$2002,$A64,주문내역!$A$3:$A$2002,"&gt;="&amp;DATE($B$3,1,1),주문내역!$A$3:$A$2002,"&lt;="&amp;DATE($B$3,12,31)))</f>
        <v/>
      </c>
    </row>
    <row r="65" customFormat="false" ht="15" hidden="false" customHeight="true" outlineLevel="0" collapsed="false">
      <c r="A65" s="19" t="str">
        <f aca="false">IF(거래처목록!$A62="","",거래처목록!$A62)</f>
        <v/>
      </c>
      <c r="B65" s="19" t="str">
        <f aca="false">IF($A65="","",거래처목록!$B62)</f>
        <v/>
      </c>
      <c r="C65" s="20" t="str">
        <f aca="false">IF($A65="","",COUNTIFS(정기주문설정!$B$3:$B$302,$A65))</f>
        <v/>
      </c>
      <c r="D65" s="20" t="str">
        <f aca="false">IF($A65="","",COUNTIFS(주문내역!$B$3:$B$2002,$A65,주문내역!$A$3:$A$2002,"&gt;="&amp;DATE($B$3,1,1),주문내역!$A$3:$A$2002,"&lt;="&amp;DATE($B$3,12,31)))</f>
        <v/>
      </c>
      <c r="E65" s="20" t="str">
        <f aca="false">IF($A65="","",SUMIFS(주문내역!$G$3:$G$2002,주문내역!$B$3:$B$2002,$A65,주문내역!$A$3:$A$2002,"&gt;="&amp;DATE($B$3,1,1),주문내역!$A$3:$A$2002,"&lt;="&amp;DATE($B$3,12,31)))</f>
        <v/>
      </c>
      <c r="F65" s="12" t="str">
        <f aca="false">IF($A65="","",SUMIFS(주문내역!$I$3:$I$2002,주문내역!$B$3:$B$2002,$A65,주문내역!$A$3:$A$2002,"&gt;="&amp;DATE($B$3,1,1),주문내역!$A$3:$A$2002,"&lt;="&amp;DATE($B$3,12,31)))</f>
        <v/>
      </c>
    </row>
    <row r="66" customFormat="false" ht="15" hidden="false" customHeight="true" outlineLevel="0" collapsed="false">
      <c r="A66" s="19" t="str">
        <f aca="false">IF(거래처목록!$A63="","",거래처목록!$A63)</f>
        <v/>
      </c>
      <c r="B66" s="19" t="str">
        <f aca="false">IF($A66="","",거래처목록!$B63)</f>
        <v/>
      </c>
      <c r="C66" s="20" t="str">
        <f aca="false">IF($A66="","",COUNTIFS(정기주문설정!$B$3:$B$302,$A66))</f>
        <v/>
      </c>
      <c r="D66" s="20" t="str">
        <f aca="false">IF($A66="","",COUNTIFS(주문내역!$B$3:$B$2002,$A66,주문내역!$A$3:$A$2002,"&gt;="&amp;DATE($B$3,1,1),주문내역!$A$3:$A$2002,"&lt;="&amp;DATE($B$3,12,31)))</f>
        <v/>
      </c>
      <c r="E66" s="20" t="str">
        <f aca="false">IF($A66="","",SUMIFS(주문내역!$G$3:$G$2002,주문내역!$B$3:$B$2002,$A66,주문내역!$A$3:$A$2002,"&gt;="&amp;DATE($B$3,1,1),주문내역!$A$3:$A$2002,"&lt;="&amp;DATE($B$3,12,31)))</f>
        <v/>
      </c>
      <c r="F66" s="12" t="str">
        <f aca="false">IF($A66="","",SUMIFS(주문내역!$I$3:$I$2002,주문내역!$B$3:$B$2002,$A66,주문내역!$A$3:$A$2002,"&gt;="&amp;DATE($B$3,1,1),주문내역!$A$3:$A$2002,"&lt;="&amp;DATE($B$3,12,31)))</f>
        <v/>
      </c>
    </row>
    <row r="67" customFormat="false" ht="15" hidden="false" customHeight="true" outlineLevel="0" collapsed="false">
      <c r="A67" s="19" t="str">
        <f aca="false">IF(거래처목록!$A64="","",거래처목록!$A64)</f>
        <v/>
      </c>
      <c r="B67" s="19" t="str">
        <f aca="false">IF($A67="","",거래처목록!$B64)</f>
        <v/>
      </c>
      <c r="C67" s="20" t="str">
        <f aca="false">IF($A67="","",COUNTIFS(정기주문설정!$B$3:$B$302,$A67))</f>
        <v/>
      </c>
      <c r="D67" s="20" t="str">
        <f aca="false">IF($A67="","",COUNTIFS(주문내역!$B$3:$B$2002,$A67,주문내역!$A$3:$A$2002,"&gt;="&amp;DATE($B$3,1,1),주문내역!$A$3:$A$2002,"&lt;="&amp;DATE($B$3,12,31)))</f>
        <v/>
      </c>
      <c r="E67" s="20" t="str">
        <f aca="false">IF($A67="","",SUMIFS(주문내역!$G$3:$G$2002,주문내역!$B$3:$B$2002,$A67,주문내역!$A$3:$A$2002,"&gt;="&amp;DATE($B$3,1,1),주문내역!$A$3:$A$2002,"&lt;="&amp;DATE($B$3,12,31)))</f>
        <v/>
      </c>
      <c r="F67" s="12" t="str">
        <f aca="false">IF($A67="","",SUMIFS(주문내역!$I$3:$I$2002,주문내역!$B$3:$B$2002,$A67,주문내역!$A$3:$A$2002,"&gt;="&amp;DATE($B$3,1,1),주문내역!$A$3:$A$2002,"&lt;="&amp;DATE($B$3,12,31)))</f>
        <v/>
      </c>
    </row>
    <row r="68" customFormat="false" ht="15" hidden="false" customHeight="true" outlineLevel="0" collapsed="false">
      <c r="A68" s="19" t="str">
        <f aca="false">IF(거래처목록!$A65="","",거래처목록!$A65)</f>
        <v/>
      </c>
      <c r="B68" s="19" t="str">
        <f aca="false">IF($A68="","",거래처목록!$B65)</f>
        <v/>
      </c>
      <c r="C68" s="20" t="str">
        <f aca="false">IF($A68="","",COUNTIFS(정기주문설정!$B$3:$B$302,$A68))</f>
        <v/>
      </c>
      <c r="D68" s="20" t="str">
        <f aca="false">IF($A68="","",COUNTIFS(주문내역!$B$3:$B$2002,$A68,주문내역!$A$3:$A$2002,"&gt;="&amp;DATE($B$3,1,1),주문내역!$A$3:$A$2002,"&lt;="&amp;DATE($B$3,12,31)))</f>
        <v/>
      </c>
      <c r="E68" s="20" t="str">
        <f aca="false">IF($A68="","",SUMIFS(주문내역!$G$3:$G$2002,주문내역!$B$3:$B$2002,$A68,주문내역!$A$3:$A$2002,"&gt;="&amp;DATE($B$3,1,1),주문내역!$A$3:$A$2002,"&lt;="&amp;DATE($B$3,12,31)))</f>
        <v/>
      </c>
      <c r="F68" s="12" t="str">
        <f aca="false">IF($A68="","",SUMIFS(주문내역!$I$3:$I$2002,주문내역!$B$3:$B$2002,$A68,주문내역!$A$3:$A$2002,"&gt;="&amp;DATE($B$3,1,1),주문내역!$A$3:$A$2002,"&lt;="&amp;DATE($B$3,12,31)))</f>
        <v/>
      </c>
    </row>
    <row r="69" customFormat="false" ht="15" hidden="false" customHeight="true" outlineLevel="0" collapsed="false">
      <c r="A69" s="19" t="str">
        <f aca="false">IF(거래처목록!$A66="","",거래처목록!$A66)</f>
        <v/>
      </c>
      <c r="B69" s="19" t="str">
        <f aca="false">IF($A69="","",거래처목록!$B66)</f>
        <v/>
      </c>
      <c r="C69" s="20" t="str">
        <f aca="false">IF($A69="","",COUNTIFS(정기주문설정!$B$3:$B$302,$A69))</f>
        <v/>
      </c>
      <c r="D69" s="20" t="str">
        <f aca="false">IF($A69="","",COUNTIFS(주문내역!$B$3:$B$2002,$A69,주문내역!$A$3:$A$2002,"&gt;="&amp;DATE($B$3,1,1),주문내역!$A$3:$A$2002,"&lt;="&amp;DATE($B$3,12,31)))</f>
        <v/>
      </c>
      <c r="E69" s="20" t="str">
        <f aca="false">IF($A69="","",SUMIFS(주문내역!$G$3:$G$2002,주문내역!$B$3:$B$2002,$A69,주문내역!$A$3:$A$2002,"&gt;="&amp;DATE($B$3,1,1),주문내역!$A$3:$A$2002,"&lt;="&amp;DATE($B$3,12,31)))</f>
        <v/>
      </c>
      <c r="F69" s="12" t="str">
        <f aca="false">IF($A69="","",SUMIFS(주문내역!$I$3:$I$2002,주문내역!$B$3:$B$2002,$A69,주문내역!$A$3:$A$2002,"&gt;="&amp;DATE($B$3,1,1),주문내역!$A$3:$A$2002,"&lt;="&amp;DATE($B$3,12,31)))</f>
        <v/>
      </c>
    </row>
    <row r="70" customFormat="false" ht="15" hidden="false" customHeight="true" outlineLevel="0" collapsed="false">
      <c r="A70" s="19" t="str">
        <f aca="false">IF(거래처목록!$A67="","",거래처목록!$A67)</f>
        <v/>
      </c>
      <c r="B70" s="19" t="str">
        <f aca="false">IF($A70="","",거래처목록!$B67)</f>
        <v/>
      </c>
      <c r="C70" s="20" t="str">
        <f aca="false">IF($A70="","",COUNTIFS(정기주문설정!$B$3:$B$302,$A70))</f>
        <v/>
      </c>
      <c r="D70" s="20" t="str">
        <f aca="false">IF($A70="","",COUNTIFS(주문내역!$B$3:$B$2002,$A70,주문내역!$A$3:$A$2002,"&gt;="&amp;DATE($B$3,1,1),주문내역!$A$3:$A$2002,"&lt;="&amp;DATE($B$3,12,31)))</f>
        <v/>
      </c>
      <c r="E70" s="20" t="str">
        <f aca="false">IF($A70="","",SUMIFS(주문내역!$G$3:$G$2002,주문내역!$B$3:$B$2002,$A70,주문내역!$A$3:$A$2002,"&gt;="&amp;DATE($B$3,1,1),주문내역!$A$3:$A$2002,"&lt;="&amp;DATE($B$3,12,31)))</f>
        <v/>
      </c>
      <c r="F70" s="12" t="str">
        <f aca="false">IF($A70="","",SUMIFS(주문내역!$I$3:$I$2002,주문내역!$B$3:$B$2002,$A70,주문내역!$A$3:$A$2002,"&gt;="&amp;DATE($B$3,1,1),주문내역!$A$3:$A$2002,"&lt;="&amp;DATE($B$3,12,31)))</f>
        <v/>
      </c>
    </row>
    <row r="71" customFormat="false" ht="15" hidden="false" customHeight="true" outlineLevel="0" collapsed="false">
      <c r="A71" s="19" t="str">
        <f aca="false">IF(거래처목록!$A68="","",거래처목록!$A68)</f>
        <v/>
      </c>
      <c r="B71" s="19" t="str">
        <f aca="false">IF($A71="","",거래처목록!$B68)</f>
        <v/>
      </c>
      <c r="C71" s="20" t="str">
        <f aca="false">IF($A71="","",COUNTIFS(정기주문설정!$B$3:$B$302,$A71))</f>
        <v/>
      </c>
      <c r="D71" s="20" t="str">
        <f aca="false">IF($A71="","",COUNTIFS(주문내역!$B$3:$B$2002,$A71,주문내역!$A$3:$A$2002,"&gt;="&amp;DATE($B$3,1,1),주문내역!$A$3:$A$2002,"&lt;="&amp;DATE($B$3,12,31)))</f>
        <v/>
      </c>
      <c r="E71" s="20" t="str">
        <f aca="false">IF($A71="","",SUMIFS(주문내역!$G$3:$G$2002,주문내역!$B$3:$B$2002,$A71,주문내역!$A$3:$A$2002,"&gt;="&amp;DATE($B$3,1,1),주문내역!$A$3:$A$2002,"&lt;="&amp;DATE($B$3,12,31)))</f>
        <v/>
      </c>
      <c r="F71" s="12" t="str">
        <f aca="false">IF($A71="","",SUMIFS(주문내역!$I$3:$I$2002,주문내역!$B$3:$B$2002,$A71,주문내역!$A$3:$A$2002,"&gt;="&amp;DATE($B$3,1,1),주문내역!$A$3:$A$2002,"&lt;="&amp;DATE($B$3,12,31)))</f>
        <v/>
      </c>
    </row>
    <row r="72" customFormat="false" ht="15" hidden="false" customHeight="true" outlineLevel="0" collapsed="false">
      <c r="A72" s="19" t="str">
        <f aca="false">IF(거래처목록!$A69="","",거래처목록!$A69)</f>
        <v/>
      </c>
      <c r="B72" s="19" t="str">
        <f aca="false">IF($A72="","",거래처목록!$B69)</f>
        <v/>
      </c>
      <c r="C72" s="20" t="str">
        <f aca="false">IF($A72="","",COUNTIFS(정기주문설정!$B$3:$B$302,$A72))</f>
        <v/>
      </c>
      <c r="D72" s="20" t="str">
        <f aca="false">IF($A72="","",COUNTIFS(주문내역!$B$3:$B$2002,$A72,주문내역!$A$3:$A$2002,"&gt;="&amp;DATE($B$3,1,1),주문내역!$A$3:$A$2002,"&lt;="&amp;DATE($B$3,12,31)))</f>
        <v/>
      </c>
      <c r="E72" s="20" t="str">
        <f aca="false">IF($A72="","",SUMIFS(주문내역!$G$3:$G$2002,주문내역!$B$3:$B$2002,$A72,주문내역!$A$3:$A$2002,"&gt;="&amp;DATE($B$3,1,1),주문내역!$A$3:$A$2002,"&lt;="&amp;DATE($B$3,12,31)))</f>
        <v/>
      </c>
      <c r="F72" s="12" t="str">
        <f aca="false">IF($A72="","",SUMIFS(주문내역!$I$3:$I$2002,주문내역!$B$3:$B$2002,$A72,주문내역!$A$3:$A$2002,"&gt;="&amp;DATE($B$3,1,1),주문내역!$A$3:$A$2002,"&lt;="&amp;DATE($B$3,12,31)))</f>
        <v/>
      </c>
    </row>
    <row r="73" customFormat="false" ht="15" hidden="false" customHeight="true" outlineLevel="0" collapsed="false">
      <c r="A73" s="19" t="str">
        <f aca="false">IF(거래처목록!$A70="","",거래처목록!$A70)</f>
        <v/>
      </c>
      <c r="B73" s="19" t="str">
        <f aca="false">IF($A73="","",거래처목록!$B70)</f>
        <v/>
      </c>
      <c r="C73" s="20" t="str">
        <f aca="false">IF($A73="","",COUNTIFS(정기주문설정!$B$3:$B$302,$A73))</f>
        <v/>
      </c>
      <c r="D73" s="20" t="str">
        <f aca="false">IF($A73="","",COUNTIFS(주문내역!$B$3:$B$2002,$A73,주문내역!$A$3:$A$2002,"&gt;="&amp;DATE($B$3,1,1),주문내역!$A$3:$A$2002,"&lt;="&amp;DATE($B$3,12,31)))</f>
        <v/>
      </c>
      <c r="E73" s="20" t="str">
        <f aca="false">IF($A73="","",SUMIFS(주문내역!$G$3:$G$2002,주문내역!$B$3:$B$2002,$A73,주문내역!$A$3:$A$2002,"&gt;="&amp;DATE($B$3,1,1),주문내역!$A$3:$A$2002,"&lt;="&amp;DATE($B$3,12,31)))</f>
        <v/>
      </c>
      <c r="F73" s="12" t="str">
        <f aca="false">IF($A73="","",SUMIFS(주문내역!$I$3:$I$2002,주문내역!$B$3:$B$2002,$A73,주문내역!$A$3:$A$2002,"&gt;="&amp;DATE($B$3,1,1),주문내역!$A$3:$A$2002,"&lt;="&amp;DATE($B$3,12,31)))</f>
        <v/>
      </c>
    </row>
    <row r="74" customFormat="false" ht="15" hidden="false" customHeight="true" outlineLevel="0" collapsed="false">
      <c r="A74" s="19" t="str">
        <f aca="false">IF(거래처목록!$A71="","",거래처목록!$A71)</f>
        <v/>
      </c>
      <c r="B74" s="19" t="str">
        <f aca="false">IF($A74="","",거래처목록!$B71)</f>
        <v/>
      </c>
      <c r="C74" s="20" t="str">
        <f aca="false">IF($A74="","",COUNTIFS(정기주문설정!$B$3:$B$302,$A74))</f>
        <v/>
      </c>
      <c r="D74" s="20" t="str">
        <f aca="false">IF($A74="","",COUNTIFS(주문내역!$B$3:$B$2002,$A74,주문내역!$A$3:$A$2002,"&gt;="&amp;DATE($B$3,1,1),주문내역!$A$3:$A$2002,"&lt;="&amp;DATE($B$3,12,31)))</f>
        <v/>
      </c>
      <c r="E74" s="20" t="str">
        <f aca="false">IF($A74="","",SUMIFS(주문내역!$G$3:$G$2002,주문내역!$B$3:$B$2002,$A74,주문내역!$A$3:$A$2002,"&gt;="&amp;DATE($B$3,1,1),주문내역!$A$3:$A$2002,"&lt;="&amp;DATE($B$3,12,31)))</f>
        <v/>
      </c>
      <c r="F74" s="12" t="str">
        <f aca="false">IF($A74="","",SUMIFS(주문내역!$I$3:$I$2002,주문내역!$B$3:$B$2002,$A74,주문내역!$A$3:$A$2002,"&gt;="&amp;DATE($B$3,1,1),주문내역!$A$3:$A$2002,"&lt;="&amp;DATE($B$3,12,31)))</f>
        <v/>
      </c>
    </row>
    <row r="75" customFormat="false" ht="15" hidden="false" customHeight="true" outlineLevel="0" collapsed="false">
      <c r="A75" s="19" t="str">
        <f aca="false">IF(거래처목록!$A72="","",거래처목록!$A72)</f>
        <v/>
      </c>
      <c r="B75" s="19" t="str">
        <f aca="false">IF($A75="","",거래처목록!$B72)</f>
        <v/>
      </c>
      <c r="C75" s="20" t="str">
        <f aca="false">IF($A75="","",COUNTIFS(정기주문설정!$B$3:$B$302,$A75))</f>
        <v/>
      </c>
      <c r="D75" s="20" t="str">
        <f aca="false">IF($A75="","",COUNTIFS(주문내역!$B$3:$B$2002,$A75,주문내역!$A$3:$A$2002,"&gt;="&amp;DATE($B$3,1,1),주문내역!$A$3:$A$2002,"&lt;="&amp;DATE($B$3,12,31)))</f>
        <v/>
      </c>
      <c r="E75" s="20" t="str">
        <f aca="false">IF($A75="","",SUMIFS(주문내역!$G$3:$G$2002,주문내역!$B$3:$B$2002,$A75,주문내역!$A$3:$A$2002,"&gt;="&amp;DATE($B$3,1,1),주문내역!$A$3:$A$2002,"&lt;="&amp;DATE($B$3,12,31)))</f>
        <v/>
      </c>
      <c r="F75" s="12" t="str">
        <f aca="false">IF($A75="","",SUMIFS(주문내역!$I$3:$I$2002,주문내역!$B$3:$B$2002,$A75,주문내역!$A$3:$A$2002,"&gt;="&amp;DATE($B$3,1,1),주문내역!$A$3:$A$2002,"&lt;="&amp;DATE($B$3,12,31)))</f>
        <v/>
      </c>
    </row>
    <row r="76" customFormat="false" ht="15" hidden="false" customHeight="true" outlineLevel="0" collapsed="false">
      <c r="A76" s="19" t="str">
        <f aca="false">IF(거래처목록!$A73="","",거래처목록!$A73)</f>
        <v/>
      </c>
      <c r="B76" s="19" t="str">
        <f aca="false">IF($A76="","",거래처목록!$B73)</f>
        <v/>
      </c>
      <c r="C76" s="20" t="str">
        <f aca="false">IF($A76="","",COUNTIFS(정기주문설정!$B$3:$B$302,$A76))</f>
        <v/>
      </c>
      <c r="D76" s="20" t="str">
        <f aca="false">IF($A76="","",COUNTIFS(주문내역!$B$3:$B$2002,$A76,주문내역!$A$3:$A$2002,"&gt;="&amp;DATE($B$3,1,1),주문내역!$A$3:$A$2002,"&lt;="&amp;DATE($B$3,12,31)))</f>
        <v/>
      </c>
      <c r="E76" s="20" t="str">
        <f aca="false">IF($A76="","",SUMIFS(주문내역!$G$3:$G$2002,주문내역!$B$3:$B$2002,$A76,주문내역!$A$3:$A$2002,"&gt;="&amp;DATE($B$3,1,1),주문내역!$A$3:$A$2002,"&lt;="&amp;DATE($B$3,12,31)))</f>
        <v/>
      </c>
      <c r="F76" s="12" t="str">
        <f aca="false">IF($A76="","",SUMIFS(주문내역!$I$3:$I$2002,주문내역!$B$3:$B$2002,$A76,주문내역!$A$3:$A$2002,"&gt;="&amp;DATE($B$3,1,1),주문내역!$A$3:$A$2002,"&lt;="&amp;DATE($B$3,12,31)))</f>
        <v/>
      </c>
    </row>
    <row r="77" customFormat="false" ht="15" hidden="false" customHeight="true" outlineLevel="0" collapsed="false">
      <c r="A77" s="19" t="str">
        <f aca="false">IF(거래처목록!$A74="","",거래처목록!$A74)</f>
        <v/>
      </c>
      <c r="B77" s="19" t="str">
        <f aca="false">IF($A77="","",거래처목록!$B74)</f>
        <v/>
      </c>
      <c r="C77" s="20" t="str">
        <f aca="false">IF($A77="","",COUNTIFS(정기주문설정!$B$3:$B$302,$A77))</f>
        <v/>
      </c>
      <c r="D77" s="20" t="str">
        <f aca="false">IF($A77="","",COUNTIFS(주문내역!$B$3:$B$2002,$A77,주문내역!$A$3:$A$2002,"&gt;="&amp;DATE($B$3,1,1),주문내역!$A$3:$A$2002,"&lt;="&amp;DATE($B$3,12,31)))</f>
        <v/>
      </c>
      <c r="E77" s="20" t="str">
        <f aca="false">IF($A77="","",SUMIFS(주문내역!$G$3:$G$2002,주문내역!$B$3:$B$2002,$A77,주문내역!$A$3:$A$2002,"&gt;="&amp;DATE($B$3,1,1),주문내역!$A$3:$A$2002,"&lt;="&amp;DATE($B$3,12,31)))</f>
        <v/>
      </c>
      <c r="F77" s="12" t="str">
        <f aca="false">IF($A77="","",SUMIFS(주문내역!$I$3:$I$2002,주문내역!$B$3:$B$2002,$A77,주문내역!$A$3:$A$2002,"&gt;="&amp;DATE($B$3,1,1),주문내역!$A$3:$A$2002,"&lt;="&amp;DATE($B$3,12,31)))</f>
        <v/>
      </c>
    </row>
    <row r="78" customFormat="false" ht="15" hidden="false" customHeight="true" outlineLevel="0" collapsed="false">
      <c r="A78" s="19" t="str">
        <f aca="false">IF(거래처목록!$A75="","",거래처목록!$A75)</f>
        <v/>
      </c>
      <c r="B78" s="19" t="str">
        <f aca="false">IF($A78="","",거래처목록!$B75)</f>
        <v/>
      </c>
      <c r="C78" s="20" t="str">
        <f aca="false">IF($A78="","",COUNTIFS(정기주문설정!$B$3:$B$302,$A78))</f>
        <v/>
      </c>
      <c r="D78" s="20" t="str">
        <f aca="false">IF($A78="","",COUNTIFS(주문내역!$B$3:$B$2002,$A78,주문내역!$A$3:$A$2002,"&gt;="&amp;DATE($B$3,1,1),주문내역!$A$3:$A$2002,"&lt;="&amp;DATE($B$3,12,31)))</f>
        <v/>
      </c>
      <c r="E78" s="20" t="str">
        <f aca="false">IF($A78="","",SUMIFS(주문내역!$G$3:$G$2002,주문내역!$B$3:$B$2002,$A78,주문내역!$A$3:$A$2002,"&gt;="&amp;DATE($B$3,1,1),주문내역!$A$3:$A$2002,"&lt;="&amp;DATE($B$3,12,31)))</f>
        <v/>
      </c>
      <c r="F78" s="12" t="str">
        <f aca="false">IF($A78="","",SUMIFS(주문내역!$I$3:$I$2002,주문내역!$B$3:$B$2002,$A78,주문내역!$A$3:$A$2002,"&gt;="&amp;DATE($B$3,1,1),주문내역!$A$3:$A$2002,"&lt;="&amp;DATE($B$3,12,31)))</f>
        <v/>
      </c>
    </row>
    <row r="79" customFormat="false" ht="15" hidden="false" customHeight="true" outlineLevel="0" collapsed="false">
      <c r="A79" s="19" t="str">
        <f aca="false">IF(거래처목록!$A76="","",거래처목록!$A76)</f>
        <v/>
      </c>
      <c r="B79" s="19" t="str">
        <f aca="false">IF($A79="","",거래처목록!$B76)</f>
        <v/>
      </c>
      <c r="C79" s="20" t="str">
        <f aca="false">IF($A79="","",COUNTIFS(정기주문설정!$B$3:$B$302,$A79))</f>
        <v/>
      </c>
      <c r="D79" s="20" t="str">
        <f aca="false">IF($A79="","",COUNTIFS(주문내역!$B$3:$B$2002,$A79,주문내역!$A$3:$A$2002,"&gt;="&amp;DATE($B$3,1,1),주문내역!$A$3:$A$2002,"&lt;="&amp;DATE($B$3,12,31)))</f>
        <v/>
      </c>
      <c r="E79" s="20" t="str">
        <f aca="false">IF($A79="","",SUMIFS(주문내역!$G$3:$G$2002,주문내역!$B$3:$B$2002,$A79,주문내역!$A$3:$A$2002,"&gt;="&amp;DATE($B$3,1,1),주문내역!$A$3:$A$2002,"&lt;="&amp;DATE($B$3,12,31)))</f>
        <v/>
      </c>
      <c r="F79" s="12" t="str">
        <f aca="false">IF($A79="","",SUMIFS(주문내역!$I$3:$I$2002,주문내역!$B$3:$B$2002,$A79,주문내역!$A$3:$A$2002,"&gt;="&amp;DATE($B$3,1,1),주문내역!$A$3:$A$2002,"&lt;="&amp;DATE($B$3,12,31)))</f>
        <v/>
      </c>
    </row>
    <row r="80" customFormat="false" ht="15" hidden="false" customHeight="true" outlineLevel="0" collapsed="false">
      <c r="A80" s="19" t="str">
        <f aca="false">IF(거래처목록!$A77="","",거래처목록!$A77)</f>
        <v/>
      </c>
      <c r="B80" s="19" t="str">
        <f aca="false">IF($A80="","",거래처목록!$B77)</f>
        <v/>
      </c>
      <c r="C80" s="20" t="str">
        <f aca="false">IF($A80="","",COUNTIFS(정기주문설정!$B$3:$B$302,$A80))</f>
        <v/>
      </c>
      <c r="D80" s="20" t="str">
        <f aca="false">IF($A80="","",COUNTIFS(주문내역!$B$3:$B$2002,$A80,주문내역!$A$3:$A$2002,"&gt;="&amp;DATE($B$3,1,1),주문내역!$A$3:$A$2002,"&lt;="&amp;DATE($B$3,12,31)))</f>
        <v/>
      </c>
      <c r="E80" s="20" t="str">
        <f aca="false">IF($A80="","",SUMIFS(주문내역!$G$3:$G$2002,주문내역!$B$3:$B$2002,$A80,주문내역!$A$3:$A$2002,"&gt;="&amp;DATE($B$3,1,1),주문내역!$A$3:$A$2002,"&lt;="&amp;DATE($B$3,12,31)))</f>
        <v/>
      </c>
      <c r="F80" s="12" t="str">
        <f aca="false">IF($A80="","",SUMIFS(주문내역!$I$3:$I$2002,주문내역!$B$3:$B$2002,$A80,주문내역!$A$3:$A$2002,"&gt;="&amp;DATE($B$3,1,1),주문내역!$A$3:$A$2002,"&lt;="&amp;DATE($B$3,12,31)))</f>
        <v/>
      </c>
    </row>
    <row r="81" customFormat="false" ht="15" hidden="false" customHeight="true" outlineLevel="0" collapsed="false">
      <c r="A81" s="19" t="str">
        <f aca="false">IF(거래처목록!$A78="","",거래처목록!$A78)</f>
        <v/>
      </c>
      <c r="B81" s="19" t="str">
        <f aca="false">IF($A81="","",거래처목록!$B78)</f>
        <v/>
      </c>
      <c r="C81" s="20" t="str">
        <f aca="false">IF($A81="","",COUNTIFS(정기주문설정!$B$3:$B$302,$A81))</f>
        <v/>
      </c>
      <c r="D81" s="20" t="str">
        <f aca="false">IF($A81="","",COUNTIFS(주문내역!$B$3:$B$2002,$A81,주문내역!$A$3:$A$2002,"&gt;="&amp;DATE($B$3,1,1),주문내역!$A$3:$A$2002,"&lt;="&amp;DATE($B$3,12,31)))</f>
        <v/>
      </c>
      <c r="E81" s="20" t="str">
        <f aca="false">IF($A81="","",SUMIFS(주문내역!$G$3:$G$2002,주문내역!$B$3:$B$2002,$A81,주문내역!$A$3:$A$2002,"&gt;="&amp;DATE($B$3,1,1),주문내역!$A$3:$A$2002,"&lt;="&amp;DATE($B$3,12,31)))</f>
        <v/>
      </c>
      <c r="F81" s="12" t="str">
        <f aca="false">IF($A81="","",SUMIFS(주문내역!$I$3:$I$2002,주문내역!$B$3:$B$2002,$A81,주문내역!$A$3:$A$2002,"&gt;="&amp;DATE($B$3,1,1),주문내역!$A$3:$A$2002,"&lt;="&amp;DATE($B$3,12,31)))</f>
        <v/>
      </c>
    </row>
    <row r="82" customFormat="false" ht="15" hidden="false" customHeight="true" outlineLevel="0" collapsed="false">
      <c r="A82" s="19" t="str">
        <f aca="false">IF(거래처목록!$A79="","",거래처목록!$A79)</f>
        <v/>
      </c>
      <c r="B82" s="19" t="str">
        <f aca="false">IF($A82="","",거래처목록!$B79)</f>
        <v/>
      </c>
      <c r="C82" s="20" t="str">
        <f aca="false">IF($A82="","",COUNTIFS(정기주문설정!$B$3:$B$302,$A82))</f>
        <v/>
      </c>
      <c r="D82" s="20" t="str">
        <f aca="false">IF($A82="","",COUNTIFS(주문내역!$B$3:$B$2002,$A82,주문내역!$A$3:$A$2002,"&gt;="&amp;DATE($B$3,1,1),주문내역!$A$3:$A$2002,"&lt;="&amp;DATE($B$3,12,31)))</f>
        <v/>
      </c>
      <c r="E82" s="20" t="str">
        <f aca="false">IF($A82="","",SUMIFS(주문내역!$G$3:$G$2002,주문내역!$B$3:$B$2002,$A82,주문내역!$A$3:$A$2002,"&gt;="&amp;DATE($B$3,1,1),주문내역!$A$3:$A$2002,"&lt;="&amp;DATE($B$3,12,31)))</f>
        <v/>
      </c>
      <c r="F82" s="12" t="str">
        <f aca="false">IF($A82="","",SUMIFS(주문내역!$I$3:$I$2002,주문내역!$B$3:$B$2002,$A82,주문내역!$A$3:$A$2002,"&gt;="&amp;DATE($B$3,1,1),주문내역!$A$3:$A$2002,"&lt;="&amp;DATE($B$3,12,31)))</f>
        <v/>
      </c>
    </row>
    <row r="83" customFormat="false" ht="15" hidden="false" customHeight="true" outlineLevel="0" collapsed="false">
      <c r="A83" s="19" t="str">
        <f aca="false">IF(거래처목록!$A80="","",거래처목록!$A80)</f>
        <v/>
      </c>
      <c r="B83" s="19" t="str">
        <f aca="false">IF($A83="","",거래처목록!$B80)</f>
        <v/>
      </c>
      <c r="C83" s="20" t="str">
        <f aca="false">IF($A83="","",COUNTIFS(정기주문설정!$B$3:$B$302,$A83))</f>
        <v/>
      </c>
      <c r="D83" s="20" t="str">
        <f aca="false">IF($A83="","",COUNTIFS(주문내역!$B$3:$B$2002,$A83,주문내역!$A$3:$A$2002,"&gt;="&amp;DATE($B$3,1,1),주문내역!$A$3:$A$2002,"&lt;="&amp;DATE($B$3,12,31)))</f>
        <v/>
      </c>
      <c r="E83" s="20" t="str">
        <f aca="false">IF($A83="","",SUMIFS(주문내역!$G$3:$G$2002,주문내역!$B$3:$B$2002,$A83,주문내역!$A$3:$A$2002,"&gt;="&amp;DATE($B$3,1,1),주문내역!$A$3:$A$2002,"&lt;="&amp;DATE($B$3,12,31)))</f>
        <v/>
      </c>
      <c r="F83" s="12" t="str">
        <f aca="false">IF($A83="","",SUMIFS(주문내역!$I$3:$I$2002,주문내역!$B$3:$B$2002,$A83,주문내역!$A$3:$A$2002,"&gt;="&amp;DATE($B$3,1,1),주문내역!$A$3:$A$2002,"&lt;="&amp;DATE($B$3,12,31)))</f>
        <v/>
      </c>
    </row>
    <row r="84" customFormat="false" ht="15" hidden="false" customHeight="true" outlineLevel="0" collapsed="false">
      <c r="A84" s="19" t="str">
        <f aca="false">IF(거래처목록!$A81="","",거래처목록!$A81)</f>
        <v/>
      </c>
      <c r="B84" s="19" t="str">
        <f aca="false">IF($A84="","",거래처목록!$B81)</f>
        <v/>
      </c>
      <c r="C84" s="20" t="str">
        <f aca="false">IF($A84="","",COUNTIFS(정기주문설정!$B$3:$B$302,$A84))</f>
        <v/>
      </c>
      <c r="D84" s="20" t="str">
        <f aca="false">IF($A84="","",COUNTIFS(주문내역!$B$3:$B$2002,$A84,주문내역!$A$3:$A$2002,"&gt;="&amp;DATE($B$3,1,1),주문내역!$A$3:$A$2002,"&lt;="&amp;DATE($B$3,12,31)))</f>
        <v/>
      </c>
      <c r="E84" s="20" t="str">
        <f aca="false">IF($A84="","",SUMIFS(주문내역!$G$3:$G$2002,주문내역!$B$3:$B$2002,$A84,주문내역!$A$3:$A$2002,"&gt;="&amp;DATE($B$3,1,1),주문내역!$A$3:$A$2002,"&lt;="&amp;DATE($B$3,12,31)))</f>
        <v/>
      </c>
      <c r="F84" s="12" t="str">
        <f aca="false">IF($A84="","",SUMIFS(주문내역!$I$3:$I$2002,주문내역!$B$3:$B$2002,$A84,주문내역!$A$3:$A$2002,"&gt;="&amp;DATE($B$3,1,1),주문내역!$A$3:$A$2002,"&lt;="&amp;DATE($B$3,12,31)))</f>
        <v/>
      </c>
    </row>
    <row r="85" customFormat="false" ht="15" hidden="false" customHeight="true" outlineLevel="0" collapsed="false">
      <c r="A85" s="19" t="str">
        <f aca="false">IF(거래처목록!$A82="","",거래처목록!$A82)</f>
        <v/>
      </c>
      <c r="B85" s="19" t="str">
        <f aca="false">IF($A85="","",거래처목록!$B82)</f>
        <v/>
      </c>
      <c r="C85" s="20" t="str">
        <f aca="false">IF($A85="","",COUNTIFS(정기주문설정!$B$3:$B$302,$A85))</f>
        <v/>
      </c>
      <c r="D85" s="20" t="str">
        <f aca="false">IF($A85="","",COUNTIFS(주문내역!$B$3:$B$2002,$A85,주문내역!$A$3:$A$2002,"&gt;="&amp;DATE($B$3,1,1),주문내역!$A$3:$A$2002,"&lt;="&amp;DATE($B$3,12,31)))</f>
        <v/>
      </c>
      <c r="E85" s="20" t="str">
        <f aca="false">IF($A85="","",SUMIFS(주문내역!$G$3:$G$2002,주문내역!$B$3:$B$2002,$A85,주문내역!$A$3:$A$2002,"&gt;="&amp;DATE($B$3,1,1),주문내역!$A$3:$A$2002,"&lt;="&amp;DATE($B$3,12,31)))</f>
        <v/>
      </c>
      <c r="F85" s="12" t="str">
        <f aca="false">IF($A85="","",SUMIFS(주문내역!$I$3:$I$2002,주문내역!$B$3:$B$2002,$A85,주문내역!$A$3:$A$2002,"&gt;="&amp;DATE($B$3,1,1),주문내역!$A$3:$A$2002,"&lt;="&amp;DATE($B$3,12,31)))</f>
        <v/>
      </c>
    </row>
    <row r="86" customFormat="false" ht="15" hidden="false" customHeight="true" outlineLevel="0" collapsed="false">
      <c r="A86" s="19" t="str">
        <f aca="false">IF(거래처목록!$A83="","",거래처목록!$A83)</f>
        <v/>
      </c>
      <c r="B86" s="19" t="str">
        <f aca="false">IF($A86="","",거래처목록!$B83)</f>
        <v/>
      </c>
      <c r="C86" s="20" t="str">
        <f aca="false">IF($A86="","",COUNTIFS(정기주문설정!$B$3:$B$302,$A86))</f>
        <v/>
      </c>
      <c r="D86" s="20" t="str">
        <f aca="false">IF($A86="","",COUNTIFS(주문내역!$B$3:$B$2002,$A86,주문내역!$A$3:$A$2002,"&gt;="&amp;DATE($B$3,1,1),주문내역!$A$3:$A$2002,"&lt;="&amp;DATE($B$3,12,31)))</f>
        <v/>
      </c>
      <c r="E86" s="20" t="str">
        <f aca="false">IF($A86="","",SUMIFS(주문내역!$G$3:$G$2002,주문내역!$B$3:$B$2002,$A86,주문내역!$A$3:$A$2002,"&gt;="&amp;DATE($B$3,1,1),주문내역!$A$3:$A$2002,"&lt;="&amp;DATE($B$3,12,31)))</f>
        <v/>
      </c>
      <c r="F86" s="12" t="str">
        <f aca="false">IF($A86="","",SUMIFS(주문내역!$I$3:$I$2002,주문내역!$B$3:$B$2002,$A86,주문내역!$A$3:$A$2002,"&gt;="&amp;DATE($B$3,1,1),주문내역!$A$3:$A$2002,"&lt;="&amp;DATE($B$3,12,31)))</f>
        <v/>
      </c>
    </row>
    <row r="87" customFormat="false" ht="15" hidden="false" customHeight="true" outlineLevel="0" collapsed="false">
      <c r="A87" s="19" t="str">
        <f aca="false">IF(거래처목록!$A84="","",거래처목록!$A84)</f>
        <v/>
      </c>
      <c r="B87" s="19" t="str">
        <f aca="false">IF($A87="","",거래처목록!$B84)</f>
        <v/>
      </c>
      <c r="C87" s="20" t="str">
        <f aca="false">IF($A87="","",COUNTIFS(정기주문설정!$B$3:$B$302,$A87))</f>
        <v/>
      </c>
      <c r="D87" s="20" t="str">
        <f aca="false">IF($A87="","",COUNTIFS(주문내역!$B$3:$B$2002,$A87,주문내역!$A$3:$A$2002,"&gt;="&amp;DATE($B$3,1,1),주문내역!$A$3:$A$2002,"&lt;="&amp;DATE($B$3,12,31)))</f>
        <v/>
      </c>
      <c r="E87" s="20" t="str">
        <f aca="false">IF($A87="","",SUMIFS(주문내역!$G$3:$G$2002,주문내역!$B$3:$B$2002,$A87,주문내역!$A$3:$A$2002,"&gt;="&amp;DATE($B$3,1,1),주문내역!$A$3:$A$2002,"&lt;="&amp;DATE($B$3,12,31)))</f>
        <v/>
      </c>
      <c r="F87" s="12" t="str">
        <f aca="false">IF($A87="","",SUMIFS(주문내역!$I$3:$I$2002,주문내역!$B$3:$B$2002,$A87,주문내역!$A$3:$A$2002,"&gt;="&amp;DATE($B$3,1,1),주문내역!$A$3:$A$2002,"&lt;="&amp;DATE($B$3,12,31)))</f>
        <v/>
      </c>
    </row>
    <row r="88" customFormat="false" ht="15" hidden="false" customHeight="true" outlineLevel="0" collapsed="false">
      <c r="A88" s="19" t="str">
        <f aca="false">IF(거래처목록!$A85="","",거래처목록!$A85)</f>
        <v/>
      </c>
      <c r="B88" s="19" t="str">
        <f aca="false">IF($A88="","",거래처목록!$B85)</f>
        <v/>
      </c>
      <c r="C88" s="20" t="str">
        <f aca="false">IF($A88="","",COUNTIFS(정기주문설정!$B$3:$B$302,$A88))</f>
        <v/>
      </c>
      <c r="D88" s="20" t="str">
        <f aca="false">IF($A88="","",COUNTIFS(주문내역!$B$3:$B$2002,$A88,주문내역!$A$3:$A$2002,"&gt;="&amp;DATE($B$3,1,1),주문내역!$A$3:$A$2002,"&lt;="&amp;DATE($B$3,12,31)))</f>
        <v/>
      </c>
      <c r="E88" s="20" t="str">
        <f aca="false">IF($A88="","",SUMIFS(주문내역!$G$3:$G$2002,주문내역!$B$3:$B$2002,$A88,주문내역!$A$3:$A$2002,"&gt;="&amp;DATE($B$3,1,1),주문내역!$A$3:$A$2002,"&lt;="&amp;DATE($B$3,12,31)))</f>
        <v/>
      </c>
      <c r="F88" s="12" t="str">
        <f aca="false">IF($A88="","",SUMIFS(주문내역!$I$3:$I$2002,주문내역!$B$3:$B$2002,$A88,주문내역!$A$3:$A$2002,"&gt;="&amp;DATE($B$3,1,1),주문내역!$A$3:$A$2002,"&lt;="&amp;DATE($B$3,12,31)))</f>
        <v/>
      </c>
    </row>
    <row r="89" customFormat="false" ht="15" hidden="false" customHeight="true" outlineLevel="0" collapsed="false">
      <c r="A89" s="19" t="str">
        <f aca="false">IF(거래처목록!$A86="","",거래처목록!$A86)</f>
        <v/>
      </c>
      <c r="B89" s="19" t="str">
        <f aca="false">IF($A89="","",거래처목록!$B86)</f>
        <v/>
      </c>
      <c r="C89" s="20" t="str">
        <f aca="false">IF($A89="","",COUNTIFS(정기주문설정!$B$3:$B$302,$A89))</f>
        <v/>
      </c>
      <c r="D89" s="20" t="str">
        <f aca="false">IF($A89="","",COUNTIFS(주문내역!$B$3:$B$2002,$A89,주문내역!$A$3:$A$2002,"&gt;="&amp;DATE($B$3,1,1),주문내역!$A$3:$A$2002,"&lt;="&amp;DATE($B$3,12,31)))</f>
        <v/>
      </c>
      <c r="E89" s="20" t="str">
        <f aca="false">IF($A89="","",SUMIFS(주문내역!$G$3:$G$2002,주문내역!$B$3:$B$2002,$A89,주문내역!$A$3:$A$2002,"&gt;="&amp;DATE($B$3,1,1),주문내역!$A$3:$A$2002,"&lt;="&amp;DATE($B$3,12,31)))</f>
        <v/>
      </c>
      <c r="F89" s="12" t="str">
        <f aca="false">IF($A89="","",SUMIFS(주문내역!$I$3:$I$2002,주문내역!$B$3:$B$2002,$A89,주문내역!$A$3:$A$2002,"&gt;="&amp;DATE($B$3,1,1),주문내역!$A$3:$A$2002,"&lt;="&amp;DATE($B$3,12,31)))</f>
        <v/>
      </c>
    </row>
    <row r="90" customFormat="false" ht="15" hidden="false" customHeight="true" outlineLevel="0" collapsed="false">
      <c r="A90" s="19" t="str">
        <f aca="false">IF(거래처목록!$A87="","",거래처목록!$A87)</f>
        <v/>
      </c>
      <c r="B90" s="19" t="str">
        <f aca="false">IF($A90="","",거래처목록!$B87)</f>
        <v/>
      </c>
      <c r="C90" s="20" t="str">
        <f aca="false">IF($A90="","",COUNTIFS(정기주문설정!$B$3:$B$302,$A90))</f>
        <v/>
      </c>
      <c r="D90" s="20" t="str">
        <f aca="false">IF($A90="","",COUNTIFS(주문내역!$B$3:$B$2002,$A90,주문내역!$A$3:$A$2002,"&gt;="&amp;DATE($B$3,1,1),주문내역!$A$3:$A$2002,"&lt;="&amp;DATE($B$3,12,31)))</f>
        <v/>
      </c>
      <c r="E90" s="20" t="str">
        <f aca="false">IF($A90="","",SUMIFS(주문내역!$G$3:$G$2002,주문내역!$B$3:$B$2002,$A90,주문내역!$A$3:$A$2002,"&gt;="&amp;DATE($B$3,1,1),주문내역!$A$3:$A$2002,"&lt;="&amp;DATE($B$3,12,31)))</f>
        <v/>
      </c>
      <c r="F90" s="12" t="str">
        <f aca="false">IF($A90="","",SUMIFS(주문내역!$I$3:$I$2002,주문내역!$B$3:$B$2002,$A90,주문내역!$A$3:$A$2002,"&gt;="&amp;DATE($B$3,1,1),주문내역!$A$3:$A$2002,"&lt;="&amp;DATE($B$3,12,31)))</f>
        <v/>
      </c>
    </row>
    <row r="91" customFormat="false" ht="15" hidden="false" customHeight="true" outlineLevel="0" collapsed="false">
      <c r="A91" s="19" t="str">
        <f aca="false">IF(거래처목록!$A88="","",거래처목록!$A88)</f>
        <v/>
      </c>
      <c r="B91" s="19" t="str">
        <f aca="false">IF($A91="","",거래처목록!$B88)</f>
        <v/>
      </c>
      <c r="C91" s="20" t="str">
        <f aca="false">IF($A91="","",COUNTIFS(정기주문설정!$B$3:$B$302,$A91))</f>
        <v/>
      </c>
      <c r="D91" s="20" t="str">
        <f aca="false">IF($A91="","",COUNTIFS(주문내역!$B$3:$B$2002,$A91,주문내역!$A$3:$A$2002,"&gt;="&amp;DATE($B$3,1,1),주문내역!$A$3:$A$2002,"&lt;="&amp;DATE($B$3,12,31)))</f>
        <v/>
      </c>
      <c r="E91" s="20" t="str">
        <f aca="false">IF($A91="","",SUMIFS(주문내역!$G$3:$G$2002,주문내역!$B$3:$B$2002,$A91,주문내역!$A$3:$A$2002,"&gt;="&amp;DATE($B$3,1,1),주문내역!$A$3:$A$2002,"&lt;="&amp;DATE($B$3,12,31)))</f>
        <v/>
      </c>
      <c r="F91" s="12" t="str">
        <f aca="false">IF($A91="","",SUMIFS(주문내역!$I$3:$I$2002,주문내역!$B$3:$B$2002,$A91,주문내역!$A$3:$A$2002,"&gt;="&amp;DATE($B$3,1,1),주문내역!$A$3:$A$2002,"&lt;="&amp;DATE($B$3,12,31)))</f>
        <v/>
      </c>
    </row>
    <row r="92" customFormat="false" ht="15" hidden="false" customHeight="true" outlineLevel="0" collapsed="false">
      <c r="A92" s="19" t="str">
        <f aca="false">IF(거래처목록!$A89="","",거래처목록!$A89)</f>
        <v/>
      </c>
      <c r="B92" s="19" t="str">
        <f aca="false">IF($A92="","",거래처목록!$B89)</f>
        <v/>
      </c>
      <c r="C92" s="20" t="str">
        <f aca="false">IF($A92="","",COUNTIFS(정기주문설정!$B$3:$B$302,$A92))</f>
        <v/>
      </c>
      <c r="D92" s="20" t="str">
        <f aca="false">IF($A92="","",COUNTIFS(주문내역!$B$3:$B$2002,$A92,주문내역!$A$3:$A$2002,"&gt;="&amp;DATE($B$3,1,1),주문내역!$A$3:$A$2002,"&lt;="&amp;DATE($B$3,12,31)))</f>
        <v/>
      </c>
      <c r="E92" s="20" t="str">
        <f aca="false">IF($A92="","",SUMIFS(주문내역!$G$3:$G$2002,주문내역!$B$3:$B$2002,$A92,주문내역!$A$3:$A$2002,"&gt;="&amp;DATE($B$3,1,1),주문내역!$A$3:$A$2002,"&lt;="&amp;DATE($B$3,12,31)))</f>
        <v/>
      </c>
      <c r="F92" s="12" t="str">
        <f aca="false">IF($A92="","",SUMIFS(주문내역!$I$3:$I$2002,주문내역!$B$3:$B$2002,$A92,주문내역!$A$3:$A$2002,"&gt;="&amp;DATE($B$3,1,1),주문내역!$A$3:$A$2002,"&lt;="&amp;DATE($B$3,12,31)))</f>
        <v/>
      </c>
    </row>
    <row r="93" customFormat="false" ht="15" hidden="false" customHeight="true" outlineLevel="0" collapsed="false">
      <c r="A93" s="19" t="str">
        <f aca="false">IF(거래처목록!$A90="","",거래처목록!$A90)</f>
        <v/>
      </c>
      <c r="B93" s="19" t="str">
        <f aca="false">IF($A93="","",거래처목록!$B90)</f>
        <v/>
      </c>
      <c r="C93" s="20" t="str">
        <f aca="false">IF($A93="","",COUNTIFS(정기주문설정!$B$3:$B$302,$A93))</f>
        <v/>
      </c>
      <c r="D93" s="20" t="str">
        <f aca="false">IF($A93="","",COUNTIFS(주문내역!$B$3:$B$2002,$A93,주문내역!$A$3:$A$2002,"&gt;="&amp;DATE($B$3,1,1),주문내역!$A$3:$A$2002,"&lt;="&amp;DATE($B$3,12,31)))</f>
        <v/>
      </c>
      <c r="E93" s="20" t="str">
        <f aca="false">IF($A93="","",SUMIFS(주문내역!$G$3:$G$2002,주문내역!$B$3:$B$2002,$A93,주문내역!$A$3:$A$2002,"&gt;="&amp;DATE($B$3,1,1),주문내역!$A$3:$A$2002,"&lt;="&amp;DATE($B$3,12,31)))</f>
        <v/>
      </c>
      <c r="F93" s="12" t="str">
        <f aca="false">IF($A93="","",SUMIFS(주문내역!$I$3:$I$2002,주문내역!$B$3:$B$2002,$A93,주문내역!$A$3:$A$2002,"&gt;="&amp;DATE($B$3,1,1),주문내역!$A$3:$A$2002,"&lt;="&amp;DATE($B$3,12,31)))</f>
        <v/>
      </c>
    </row>
    <row r="94" customFormat="false" ht="15" hidden="false" customHeight="true" outlineLevel="0" collapsed="false">
      <c r="A94" s="19" t="str">
        <f aca="false">IF(거래처목록!$A91="","",거래처목록!$A91)</f>
        <v/>
      </c>
      <c r="B94" s="19" t="str">
        <f aca="false">IF($A94="","",거래처목록!$B91)</f>
        <v/>
      </c>
      <c r="C94" s="20" t="str">
        <f aca="false">IF($A94="","",COUNTIFS(정기주문설정!$B$3:$B$302,$A94))</f>
        <v/>
      </c>
      <c r="D94" s="20" t="str">
        <f aca="false">IF($A94="","",COUNTIFS(주문내역!$B$3:$B$2002,$A94,주문내역!$A$3:$A$2002,"&gt;="&amp;DATE($B$3,1,1),주문내역!$A$3:$A$2002,"&lt;="&amp;DATE($B$3,12,31)))</f>
        <v/>
      </c>
      <c r="E94" s="20" t="str">
        <f aca="false">IF($A94="","",SUMIFS(주문내역!$G$3:$G$2002,주문내역!$B$3:$B$2002,$A94,주문내역!$A$3:$A$2002,"&gt;="&amp;DATE($B$3,1,1),주문내역!$A$3:$A$2002,"&lt;="&amp;DATE($B$3,12,31)))</f>
        <v/>
      </c>
      <c r="F94" s="12" t="str">
        <f aca="false">IF($A94="","",SUMIFS(주문내역!$I$3:$I$2002,주문내역!$B$3:$B$2002,$A94,주문내역!$A$3:$A$2002,"&gt;="&amp;DATE($B$3,1,1),주문내역!$A$3:$A$2002,"&lt;="&amp;DATE($B$3,12,31)))</f>
        <v/>
      </c>
    </row>
    <row r="95" customFormat="false" ht="15" hidden="false" customHeight="true" outlineLevel="0" collapsed="false">
      <c r="A95" s="19" t="str">
        <f aca="false">IF(거래처목록!$A92="","",거래처목록!$A92)</f>
        <v/>
      </c>
      <c r="B95" s="19" t="str">
        <f aca="false">IF($A95="","",거래처목록!$B92)</f>
        <v/>
      </c>
      <c r="C95" s="20" t="str">
        <f aca="false">IF($A95="","",COUNTIFS(정기주문설정!$B$3:$B$302,$A95))</f>
        <v/>
      </c>
      <c r="D95" s="20" t="str">
        <f aca="false">IF($A95="","",COUNTIFS(주문내역!$B$3:$B$2002,$A95,주문내역!$A$3:$A$2002,"&gt;="&amp;DATE($B$3,1,1),주문내역!$A$3:$A$2002,"&lt;="&amp;DATE($B$3,12,31)))</f>
        <v/>
      </c>
      <c r="E95" s="20" t="str">
        <f aca="false">IF($A95="","",SUMIFS(주문내역!$G$3:$G$2002,주문내역!$B$3:$B$2002,$A95,주문내역!$A$3:$A$2002,"&gt;="&amp;DATE($B$3,1,1),주문내역!$A$3:$A$2002,"&lt;="&amp;DATE($B$3,12,31)))</f>
        <v/>
      </c>
      <c r="F95" s="12" t="str">
        <f aca="false">IF($A95="","",SUMIFS(주문내역!$I$3:$I$2002,주문내역!$B$3:$B$2002,$A95,주문내역!$A$3:$A$2002,"&gt;="&amp;DATE($B$3,1,1),주문내역!$A$3:$A$2002,"&lt;="&amp;DATE($B$3,12,31)))</f>
        <v/>
      </c>
    </row>
    <row r="96" customFormat="false" ht="15" hidden="false" customHeight="true" outlineLevel="0" collapsed="false">
      <c r="A96" s="19" t="str">
        <f aca="false">IF(거래처목록!$A93="","",거래처목록!$A93)</f>
        <v/>
      </c>
      <c r="B96" s="19" t="str">
        <f aca="false">IF($A96="","",거래처목록!$B93)</f>
        <v/>
      </c>
      <c r="C96" s="20" t="str">
        <f aca="false">IF($A96="","",COUNTIFS(정기주문설정!$B$3:$B$302,$A96))</f>
        <v/>
      </c>
      <c r="D96" s="20" t="str">
        <f aca="false">IF($A96="","",COUNTIFS(주문내역!$B$3:$B$2002,$A96,주문내역!$A$3:$A$2002,"&gt;="&amp;DATE($B$3,1,1),주문내역!$A$3:$A$2002,"&lt;="&amp;DATE($B$3,12,31)))</f>
        <v/>
      </c>
      <c r="E96" s="20" t="str">
        <f aca="false">IF($A96="","",SUMIFS(주문내역!$G$3:$G$2002,주문내역!$B$3:$B$2002,$A96,주문내역!$A$3:$A$2002,"&gt;="&amp;DATE($B$3,1,1),주문내역!$A$3:$A$2002,"&lt;="&amp;DATE($B$3,12,31)))</f>
        <v/>
      </c>
      <c r="F96" s="12" t="str">
        <f aca="false">IF($A96="","",SUMIFS(주문내역!$I$3:$I$2002,주문내역!$B$3:$B$2002,$A96,주문내역!$A$3:$A$2002,"&gt;="&amp;DATE($B$3,1,1),주문내역!$A$3:$A$2002,"&lt;="&amp;DATE($B$3,12,31)))</f>
        <v/>
      </c>
    </row>
    <row r="97" customFormat="false" ht="15" hidden="false" customHeight="true" outlineLevel="0" collapsed="false">
      <c r="A97" s="19" t="str">
        <f aca="false">IF(거래처목록!$A94="","",거래처목록!$A94)</f>
        <v/>
      </c>
      <c r="B97" s="19" t="str">
        <f aca="false">IF($A97="","",거래처목록!$B94)</f>
        <v/>
      </c>
      <c r="C97" s="20" t="str">
        <f aca="false">IF($A97="","",COUNTIFS(정기주문설정!$B$3:$B$302,$A97))</f>
        <v/>
      </c>
      <c r="D97" s="20" t="str">
        <f aca="false">IF($A97="","",COUNTIFS(주문내역!$B$3:$B$2002,$A97,주문내역!$A$3:$A$2002,"&gt;="&amp;DATE($B$3,1,1),주문내역!$A$3:$A$2002,"&lt;="&amp;DATE($B$3,12,31)))</f>
        <v/>
      </c>
      <c r="E97" s="20" t="str">
        <f aca="false">IF($A97="","",SUMIFS(주문내역!$G$3:$G$2002,주문내역!$B$3:$B$2002,$A97,주문내역!$A$3:$A$2002,"&gt;="&amp;DATE($B$3,1,1),주문내역!$A$3:$A$2002,"&lt;="&amp;DATE($B$3,12,31)))</f>
        <v/>
      </c>
      <c r="F97" s="12" t="str">
        <f aca="false">IF($A97="","",SUMIFS(주문내역!$I$3:$I$2002,주문내역!$B$3:$B$2002,$A97,주문내역!$A$3:$A$2002,"&gt;="&amp;DATE($B$3,1,1),주문내역!$A$3:$A$2002,"&lt;="&amp;DATE($B$3,12,31)))</f>
        <v/>
      </c>
    </row>
    <row r="98" customFormat="false" ht="15" hidden="false" customHeight="true" outlineLevel="0" collapsed="false">
      <c r="A98" s="19" t="str">
        <f aca="false">IF(거래처목록!$A95="","",거래처목록!$A95)</f>
        <v/>
      </c>
      <c r="B98" s="19" t="str">
        <f aca="false">IF($A98="","",거래처목록!$B95)</f>
        <v/>
      </c>
      <c r="C98" s="20" t="str">
        <f aca="false">IF($A98="","",COUNTIFS(정기주문설정!$B$3:$B$302,$A98))</f>
        <v/>
      </c>
      <c r="D98" s="20" t="str">
        <f aca="false">IF($A98="","",COUNTIFS(주문내역!$B$3:$B$2002,$A98,주문내역!$A$3:$A$2002,"&gt;="&amp;DATE($B$3,1,1),주문내역!$A$3:$A$2002,"&lt;="&amp;DATE($B$3,12,31)))</f>
        <v/>
      </c>
      <c r="E98" s="20" t="str">
        <f aca="false">IF($A98="","",SUMIFS(주문내역!$G$3:$G$2002,주문내역!$B$3:$B$2002,$A98,주문내역!$A$3:$A$2002,"&gt;="&amp;DATE($B$3,1,1),주문내역!$A$3:$A$2002,"&lt;="&amp;DATE($B$3,12,31)))</f>
        <v/>
      </c>
      <c r="F98" s="12" t="str">
        <f aca="false">IF($A98="","",SUMIFS(주문내역!$I$3:$I$2002,주문내역!$B$3:$B$2002,$A98,주문내역!$A$3:$A$2002,"&gt;="&amp;DATE($B$3,1,1),주문내역!$A$3:$A$2002,"&lt;="&amp;DATE($B$3,12,31)))</f>
        <v/>
      </c>
    </row>
    <row r="99" customFormat="false" ht="15" hidden="false" customHeight="true" outlineLevel="0" collapsed="false">
      <c r="A99" s="19" t="str">
        <f aca="false">IF(거래처목록!$A96="","",거래처목록!$A96)</f>
        <v/>
      </c>
      <c r="B99" s="19" t="str">
        <f aca="false">IF($A99="","",거래처목록!$B96)</f>
        <v/>
      </c>
      <c r="C99" s="20" t="str">
        <f aca="false">IF($A99="","",COUNTIFS(정기주문설정!$B$3:$B$302,$A99))</f>
        <v/>
      </c>
      <c r="D99" s="20" t="str">
        <f aca="false">IF($A99="","",COUNTIFS(주문내역!$B$3:$B$2002,$A99,주문내역!$A$3:$A$2002,"&gt;="&amp;DATE($B$3,1,1),주문내역!$A$3:$A$2002,"&lt;="&amp;DATE($B$3,12,31)))</f>
        <v/>
      </c>
      <c r="E99" s="20" t="str">
        <f aca="false">IF($A99="","",SUMIFS(주문내역!$G$3:$G$2002,주문내역!$B$3:$B$2002,$A99,주문내역!$A$3:$A$2002,"&gt;="&amp;DATE($B$3,1,1),주문내역!$A$3:$A$2002,"&lt;="&amp;DATE($B$3,12,31)))</f>
        <v/>
      </c>
      <c r="F99" s="12" t="str">
        <f aca="false">IF($A99="","",SUMIFS(주문내역!$I$3:$I$2002,주문내역!$B$3:$B$2002,$A99,주문내역!$A$3:$A$2002,"&gt;="&amp;DATE($B$3,1,1),주문내역!$A$3:$A$2002,"&lt;="&amp;DATE($B$3,12,31)))</f>
        <v/>
      </c>
    </row>
    <row r="100" customFormat="false" ht="15" hidden="false" customHeight="true" outlineLevel="0" collapsed="false">
      <c r="A100" s="19" t="str">
        <f aca="false">IF(거래처목록!$A97="","",거래처목록!$A97)</f>
        <v/>
      </c>
      <c r="B100" s="19" t="str">
        <f aca="false">IF($A100="","",거래처목록!$B97)</f>
        <v/>
      </c>
      <c r="C100" s="20" t="str">
        <f aca="false">IF($A100="","",COUNTIFS(정기주문설정!$B$3:$B$302,$A100))</f>
        <v/>
      </c>
      <c r="D100" s="20" t="str">
        <f aca="false">IF($A100="","",COUNTIFS(주문내역!$B$3:$B$2002,$A100,주문내역!$A$3:$A$2002,"&gt;="&amp;DATE($B$3,1,1),주문내역!$A$3:$A$2002,"&lt;="&amp;DATE($B$3,12,31)))</f>
        <v/>
      </c>
      <c r="E100" s="20" t="str">
        <f aca="false">IF($A100="","",SUMIFS(주문내역!$G$3:$G$2002,주문내역!$B$3:$B$2002,$A100,주문내역!$A$3:$A$2002,"&gt;="&amp;DATE($B$3,1,1),주문내역!$A$3:$A$2002,"&lt;="&amp;DATE($B$3,12,31)))</f>
        <v/>
      </c>
      <c r="F100" s="12" t="str">
        <f aca="false">IF($A100="","",SUMIFS(주문내역!$I$3:$I$2002,주문내역!$B$3:$B$2002,$A100,주문내역!$A$3:$A$2002,"&gt;="&amp;DATE($B$3,1,1),주문내역!$A$3:$A$2002,"&lt;="&amp;DATE($B$3,12,31)))</f>
        <v/>
      </c>
    </row>
    <row r="101" customFormat="false" ht="15" hidden="false" customHeight="true" outlineLevel="0" collapsed="false">
      <c r="A101" s="19" t="str">
        <f aca="false">IF(거래처목록!$A98="","",거래처목록!$A98)</f>
        <v/>
      </c>
      <c r="B101" s="19" t="str">
        <f aca="false">IF($A101="","",거래처목록!$B98)</f>
        <v/>
      </c>
      <c r="C101" s="20" t="str">
        <f aca="false">IF($A101="","",COUNTIFS(정기주문설정!$B$3:$B$302,$A101))</f>
        <v/>
      </c>
      <c r="D101" s="20" t="str">
        <f aca="false">IF($A101="","",COUNTIFS(주문내역!$B$3:$B$2002,$A101,주문내역!$A$3:$A$2002,"&gt;="&amp;DATE($B$3,1,1),주문내역!$A$3:$A$2002,"&lt;="&amp;DATE($B$3,12,31)))</f>
        <v/>
      </c>
      <c r="E101" s="20" t="str">
        <f aca="false">IF($A101="","",SUMIFS(주문내역!$G$3:$G$2002,주문내역!$B$3:$B$2002,$A101,주문내역!$A$3:$A$2002,"&gt;="&amp;DATE($B$3,1,1),주문내역!$A$3:$A$2002,"&lt;="&amp;DATE($B$3,12,31)))</f>
        <v/>
      </c>
      <c r="F101" s="12" t="str">
        <f aca="false">IF($A101="","",SUMIFS(주문내역!$I$3:$I$2002,주문내역!$B$3:$B$2002,$A101,주문내역!$A$3:$A$2002,"&gt;="&amp;DATE($B$3,1,1),주문내역!$A$3:$A$2002,"&lt;="&amp;DATE($B$3,12,31)))</f>
        <v/>
      </c>
    </row>
    <row r="102" customFormat="false" ht="15" hidden="false" customHeight="true" outlineLevel="0" collapsed="false">
      <c r="A102" s="19" t="str">
        <f aca="false">IF(거래처목록!$A99="","",거래처목록!$A99)</f>
        <v/>
      </c>
      <c r="B102" s="19" t="str">
        <f aca="false">IF($A102="","",거래처목록!$B99)</f>
        <v/>
      </c>
      <c r="C102" s="20" t="str">
        <f aca="false">IF($A102="","",COUNTIFS(정기주문설정!$B$3:$B$302,$A102))</f>
        <v/>
      </c>
      <c r="D102" s="20" t="str">
        <f aca="false">IF($A102="","",COUNTIFS(주문내역!$B$3:$B$2002,$A102,주문내역!$A$3:$A$2002,"&gt;="&amp;DATE($B$3,1,1),주문내역!$A$3:$A$2002,"&lt;="&amp;DATE($B$3,12,31)))</f>
        <v/>
      </c>
      <c r="E102" s="20" t="str">
        <f aca="false">IF($A102="","",SUMIFS(주문내역!$G$3:$G$2002,주문내역!$B$3:$B$2002,$A102,주문내역!$A$3:$A$2002,"&gt;="&amp;DATE($B$3,1,1),주문내역!$A$3:$A$2002,"&lt;="&amp;DATE($B$3,12,31)))</f>
        <v/>
      </c>
      <c r="F102" s="12" t="str">
        <f aca="false">IF($A102="","",SUMIFS(주문내역!$I$3:$I$2002,주문내역!$B$3:$B$2002,$A102,주문내역!$A$3:$A$2002,"&gt;="&amp;DATE($B$3,1,1),주문내역!$A$3:$A$2002,"&lt;="&amp;DATE($B$3,12,31)))</f>
        <v/>
      </c>
    </row>
    <row r="103" customFormat="false" ht="15" hidden="false" customHeight="true" outlineLevel="0" collapsed="false">
      <c r="A103" s="19" t="str">
        <f aca="false">IF(거래처목록!$A100="","",거래처목록!$A100)</f>
        <v/>
      </c>
      <c r="B103" s="19" t="str">
        <f aca="false">IF($A103="","",거래처목록!$B100)</f>
        <v/>
      </c>
      <c r="C103" s="20" t="str">
        <f aca="false">IF($A103="","",COUNTIFS(정기주문설정!$B$3:$B$302,$A103))</f>
        <v/>
      </c>
      <c r="D103" s="20" t="str">
        <f aca="false">IF($A103="","",COUNTIFS(주문내역!$B$3:$B$2002,$A103,주문내역!$A$3:$A$2002,"&gt;="&amp;DATE($B$3,1,1),주문내역!$A$3:$A$2002,"&lt;="&amp;DATE($B$3,12,31)))</f>
        <v/>
      </c>
      <c r="E103" s="20" t="str">
        <f aca="false">IF($A103="","",SUMIFS(주문내역!$G$3:$G$2002,주문내역!$B$3:$B$2002,$A103,주문내역!$A$3:$A$2002,"&gt;="&amp;DATE($B$3,1,1),주문내역!$A$3:$A$2002,"&lt;="&amp;DATE($B$3,12,31)))</f>
        <v/>
      </c>
      <c r="F103" s="12" t="str">
        <f aca="false">IF($A103="","",SUMIFS(주문내역!$I$3:$I$2002,주문내역!$B$3:$B$2002,$A103,주문내역!$A$3:$A$2002,"&gt;="&amp;DATE($B$3,1,1),주문내역!$A$3:$A$2002,"&lt;="&amp;DATE($B$3,12,31)))</f>
        <v/>
      </c>
    </row>
    <row r="104" customFormat="false" ht="15" hidden="false" customHeight="true" outlineLevel="0" collapsed="false">
      <c r="A104" s="19" t="str">
        <f aca="false">IF(거래처목록!$A101="","",거래처목록!$A101)</f>
        <v/>
      </c>
      <c r="B104" s="19" t="str">
        <f aca="false">IF($A104="","",거래처목록!$B101)</f>
        <v/>
      </c>
      <c r="C104" s="20" t="str">
        <f aca="false">IF($A104="","",COUNTIFS(정기주문설정!$B$3:$B$302,$A104))</f>
        <v/>
      </c>
      <c r="D104" s="20" t="str">
        <f aca="false">IF($A104="","",COUNTIFS(주문내역!$B$3:$B$2002,$A104,주문내역!$A$3:$A$2002,"&gt;="&amp;DATE($B$3,1,1),주문내역!$A$3:$A$2002,"&lt;="&amp;DATE($B$3,12,31)))</f>
        <v/>
      </c>
      <c r="E104" s="20" t="str">
        <f aca="false">IF($A104="","",SUMIFS(주문내역!$G$3:$G$2002,주문내역!$B$3:$B$2002,$A104,주문내역!$A$3:$A$2002,"&gt;="&amp;DATE($B$3,1,1),주문내역!$A$3:$A$2002,"&lt;="&amp;DATE($B$3,12,31)))</f>
        <v/>
      </c>
      <c r="F104" s="12" t="str">
        <f aca="false">IF($A104="","",SUMIFS(주문내역!$I$3:$I$2002,주문내역!$B$3:$B$2002,$A104,주문내역!$A$3:$A$2002,"&gt;="&amp;DATE($B$3,1,1),주문내역!$A$3:$A$2002,"&lt;="&amp;DATE($B$3,12,31)))</f>
        <v/>
      </c>
    </row>
    <row r="105" customFormat="false" ht="15" hidden="false" customHeight="true" outlineLevel="0" collapsed="false">
      <c r="A105" s="19" t="str">
        <f aca="false">IF(거래처목록!$A102="","",거래처목록!$A102)</f>
        <v/>
      </c>
      <c r="B105" s="19" t="str">
        <f aca="false">IF($A105="","",거래처목록!$B102)</f>
        <v/>
      </c>
      <c r="C105" s="20" t="str">
        <f aca="false">IF($A105="","",COUNTIFS(정기주문설정!$B$3:$B$302,$A105))</f>
        <v/>
      </c>
      <c r="D105" s="20" t="str">
        <f aca="false">IF($A105="","",COUNTIFS(주문내역!$B$3:$B$2002,$A105,주문내역!$A$3:$A$2002,"&gt;="&amp;DATE($B$3,1,1),주문내역!$A$3:$A$2002,"&lt;="&amp;DATE($B$3,12,31)))</f>
        <v/>
      </c>
      <c r="E105" s="20" t="str">
        <f aca="false">IF($A105="","",SUMIFS(주문내역!$G$3:$G$2002,주문내역!$B$3:$B$2002,$A105,주문내역!$A$3:$A$2002,"&gt;="&amp;DATE($B$3,1,1),주문내역!$A$3:$A$2002,"&lt;="&amp;DATE($B$3,12,31)))</f>
        <v/>
      </c>
      <c r="F105" s="12" t="str">
        <f aca="false">IF($A105="","",SUMIFS(주문내역!$I$3:$I$2002,주문내역!$B$3:$B$2002,$A105,주문내역!$A$3:$A$2002,"&gt;="&amp;DATE($B$3,1,1),주문내역!$A$3:$A$2002,"&lt;="&amp;DATE($B$3,12,31)))</f>
        <v/>
      </c>
    </row>
    <row r="106" customFormat="false" ht="15" hidden="false" customHeight="true" outlineLevel="0" collapsed="false">
      <c r="A106" s="19" t="str">
        <f aca="false">IF(거래처목록!$A103="","",거래처목록!$A103)</f>
        <v/>
      </c>
      <c r="B106" s="19" t="str">
        <f aca="false">IF($A106="","",거래처목록!$B103)</f>
        <v/>
      </c>
      <c r="C106" s="20" t="str">
        <f aca="false">IF($A106="","",COUNTIFS(정기주문설정!$B$3:$B$302,$A106))</f>
        <v/>
      </c>
      <c r="D106" s="20" t="str">
        <f aca="false">IF($A106="","",COUNTIFS(주문내역!$B$3:$B$2002,$A106,주문내역!$A$3:$A$2002,"&gt;="&amp;DATE($B$3,1,1),주문내역!$A$3:$A$2002,"&lt;="&amp;DATE($B$3,12,31)))</f>
        <v/>
      </c>
      <c r="E106" s="20" t="str">
        <f aca="false">IF($A106="","",SUMIFS(주문내역!$G$3:$G$2002,주문내역!$B$3:$B$2002,$A106,주문내역!$A$3:$A$2002,"&gt;="&amp;DATE($B$3,1,1),주문내역!$A$3:$A$2002,"&lt;="&amp;DATE($B$3,12,31)))</f>
        <v/>
      </c>
      <c r="F106" s="12" t="str">
        <f aca="false">IF($A106="","",SUMIFS(주문내역!$I$3:$I$2002,주문내역!$B$3:$B$2002,$A106,주문내역!$A$3:$A$2002,"&gt;="&amp;DATE($B$3,1,1),주문내역!$A$3:$A$2002,"&lt;="&amp;DATE($B$3,12,31)))</f>
        <v/>
      </c>
    </row>
    <row r="107" customFormat="false" ht="15" hidden="false" customHeight="true" outlineLevel="0" collapsed="false">
      <c r="A107" s="19" t="str">
        <f aca="false">IF(거래처목록!$A104="","",거래처목록!$A104)</f>
        <v/>
      </c>
      <c r="B107" s="19" t="str">
        <f aca="false">IF($A107="","",거래처목록!$B104)</f>
        <v/>
      </c>
      <c r="C107" s="20" t="str">
        <f aca="false">IF($A107="","",COUNTIFS(정기주문설정!$B$3:$B$302,$A107))</f>
        <v/>
      </c>
      <c r="D107" s="20" t="str">
        <f aca="false">IF($A107="","",COUNTIFS(주문내역!$B$3:$B$2002,$A107,주문내역!$A$3:$A$2002,"&gt;="&amp;DATE($B$3,1,1),주문내역!$A$3:$A$2002,"&lt;="&amp;DATE($B$3,12,31)))</f>
        <v/>
      </c>
      <c r="E107" s="20" t="str">
        <f aca="false">IF($A107="","",SUMIFS(주문내역!$G$3:$G$2002,주문내역!$B$3:$B$2002,$A107,주문내역!$A$3:$A$2002,"&gt;="&amp;DATE($B$3,1,1),주문내역!$A$3:$A$2002,"&lt;="&amp;DATE($B$3,12,31)))</f>
        <v/>
      </c>
      <c r="F107" s="12" t="str">
        <f aca="false">IF($A107="","",SUMIFS(주문내역!$I$3:$I$2002,주문내역!$B$3:$B$2002,$A107,주문내역!$A$3:$A$2002,"&gt;="&amp;DATE($B$3,1,1),주문내역!$A$3:$A$2002,"&lt;="&amp;DATE($B$3,12,31)))</f>
        <v/>
      </c>
    </row>
    <row r="108" customFormat="false" ht="15" hidden="false" customHeight="true" outlineLevel="0" collapsed="false">
      <c r="A108" s="19" t="str">
        <f aca="false">IF(거래처목록!$A105="","",거래처목록!$A105)</f>
        <v/>
      </c>
      <c r="B108" s="19" t="str">
        <f aca="false">IF($A108="","",거래처목록!$B105)</f>
        <v/>
      </c>
      <c r="C108" s="20" t="str">
        <f aca="false">IF($A108="","",COUNTIFS(정기주문설정!$B$3:$B$302,$A108))</f>
        <v/>
      </c>
      <c r="D108" s="20" t="str">
        <f aca="false">IF($A108="","",COUNTIFS(주문내역!$B$3:$B$2002,$A108,주문내역!$A$3:$A$2002,"&gt;="&amp;DATE($B$3,1,1),주문내역!$A$3:$A$2002,"&lt;="&amp;DATE($B$3,12,31)))</f>
        <v/>
      </c>
      <c r="E108" s="20" t="str">
        <f aca="false">IF($A108="","",SUMIFS(주문내역!$G$3:$G$2002,주문내역!$B$3:$B$2002,$A108,주문내역!$A$3:$A$2002,"&gt;="&amp;DATE($B$3,1,1),주문내역!$A$3:$A$2002,"&lt;="&amp;DATE($B$3,12,31)))</f>
        <v/>
      </c>
      <c r="F108" s="12" t="str">
        <f aca="false">IF($A108="","",SUMIFS(주문내역!$I$3:$I$2002,주문내역!$B$3:$B$2002,$A108,주문내역!$A$3:$A$2002,"&gt;="&amp;DATE($B$3,1,1),주문내역!$A$3:$A$2002,"&lt;="&amp;DATE($B$3,12,31)))</f>
        <v/>
      </c>
    </row>
    <row r="109" customFormat="false" ht="15" hidden="false" customHeight="true" outlineLevel="0" collapsed="false">
      <c r="A109" s="19" t="str">
        <f aca="false">IF(거래처목록!$A106="","",거래처목록!$A106)</f>
        <v/>
      </c>
      <c r="B109" s="19" t="str">
        <f aca="false">IF($A109="","",거래처목록!$B106)</f>
        <v/>
      </c>
      <c r="C109" s="20" t="str">
        <f aca="false">IF($A109="","",COUNTIFS(정기주문설정!$B$3:$B$302,$A109))</f>
        <v/>
      </c>
      <c r="D109" s="20" t="str">
        <f aca="false">IF($A109="","",COUNTIFS(주문내역!$B$3:$B$2002,$A109,주문내역!$A$3:$A$2002,"&gt;="&amp;DATE($B$3,1,1),주문내역!$A$3:$A$2002,"&lt;="&amp;DATE($B$3,12,31)))</f>
        <v/>
      </c>
      <c r="E109" s="20" t="str">
        <f aca="false">IF($A109="","",SUMIFS(주문내역!$G$3:$G$2002,주문내역!$B$3:$B$2002,$A109,주문내역!$A$3:$A$2002,"&gt;="&amp;DATE($B$3,1,1),주문내역!$A$3:$A$2002,"&lt;="&amp;DATE($B$3,12,31)))</f>
        <v/>
      </c>
      <c r="F109" s="12" t="str">
        <f aca="false">IF($A109="","",SUMIFS(주문내역!$I$3:$I$2002,주문내역!$B$3:$B$2002,$A109,주문내역!$A$3:$A$2002,"&gt;="&amp;DATE($B$3,1,1),주문내역!$A$3:$A$2002,"&lt;="&amp;DATE($B$3,12,31)))</f>
        <v/>
      </c>
    </row>
    <row r="110" customFormat="false" ht="15" hidden="false" customHeight="true" outlineLevel="0" collapsed="false">
      <c r="A110" s="19" t="str">
        <f aca="false">IF(거래처목록!$A107="","",거래처목록!$A107)</f>
        <v/>
      </c>
      <c r="B110" s="19" t="str">
        <f aca="false">IF($A110="","",거래처목록!$B107)</f>
        <v/>
      </c>
      <c r="C110" s="20" t="str">
        <f aca="false">IF($A110="","",COUNTIFS(정기주문설정!$B$3:$B$302,$A110))</f>
        <v/>
      </c>
      <c r="D110" s="20" t="str">
        <f aca="false">IF($A110="","",COUNTIFS(주문내역!$B$3:$B$2002,$A110,주문내역!$A$3:$A$2002,"&gt;="&amp;DATE($B$3,1,1),주문내역!$A$3:$A$2002,"&lt;="&amp;DATE($B$3,12,31)))</f>
        <v/>
      </c>
      <c r="E110" s="20" t="str">
        <f aca="false">IF($A110="","",SUMIFS(주문내역!$G$3:$G$2002,주문내역!$B$3:$B$2002,$A110,주문내역!$A$3:$A$2002,"&gt;="&amp;DATE($B$3,1,1),주문내역!$A$3:$A$2002,"&lt;="&amp;DATE($B$3,12,31)))</f>
        <v/>
      </c>
      <c r="F110" s="12" t="str">
        <f aca="false">IF($A110="","",SUMIFS(주문내역!$I$3:$I$2002,주문내역!$B$3:$B$2002,$A110,주문내역!$A$3:$A$2002,"&gt;="&amp;DATE($B$3,1,1),주문내역!$A$3:$A$2002,"&lt;="&amp;DATE($B$3,12,31)))</f>
        <v/>
      </c>
    </row>
    <row r="111" customFormat="false" ht="15" hidden="false" customHeight="true" outlineLevel="0" collapsed="false">
      <c r="A111" s="19" t="str">
        <f aca="false">IF(거래처목록!$A108="","",거래처목록!$A108)</f>
        <v/>
      </c>
      <c r="B111" s="19" t="str">
        <f aca="false">IF($A111="","",거래처목록!$B108)</f>
        <v/>
      </c>
      <c r="C111" s="20" t="str">
        <f aca="false">IF($A111="","",COUNTIFS(정기주문설정!$B$3:$B$302,$A111))</f>
        <v/>
      </c>
      <c r="D111" s="20" t="str">
        <f aca="false">IF($A111="","",COUNTIFS(주문내역!$B$3:$B$2002,$A111,주문내역!$A$3:$A$2002,"&gt;="&amp;DATE($B$3,1,1),주문내역!$A$3:$A$2002,"&lt;="&amp;DATE($B$3,12,31)))</f>
        <v/>
      </c>
      <c r="E111" s="20" t="str">
        <f aca="false">IF($A111="","",SUMIFS(주문내역!$G$3:$G$2002,주문내역!$B$3:$B$2002,$A111,주문내역!$A$3:$A$2002,"&gt;="&amp;DATE($B$3,1,1),주문내역!$A$3:$A$2002,"&lt;="&amp;DATE($B$3,12,31)))</f>
        <v/>
      </c>
      <c r="F111" s="12" t="str">
        <f aca="false">IF($A111="","",SUMIFS(주문내역!$I$3:$I$2002,주문내역!$B$3:$B$2002,$A111,주문내역!$A$3:$A$2002,"&gt;="&amp;DATE($B$3,1,1),주문내역!$A$3:$A$2002,"&lt;="&amp;DATE($B$3,12,31)))</f>
        <v/>
      </c>
    </row>
    <row r="112" customFormat="false" ht="15" hidden="false" customHeight="true" outlineLevel="0" collapsed="false">
      <c r="A112" s="19" t="str">
        <f aca="false">IF(거래처목록!$A109="","",거래처목록!$A109)</f>
        <v/>
      </c>
      <c r="B112" s="19" t="str">
        <f aca="false">IF($A112="","",거래처목록!$B109)</f>
        <v/>
      </c>
      <c r="C112" s="20" t="str">
        <f aca="false">IF($A112="","",COUNTIFS(정기주문설정!$B$3:$B$302,$A112))</f>
        <v/>
      </c>
      <c r="D112" s="20" t="str">
        <f aca="false">IF($A112="","",COUNTIFS(주문내역!$B$3:$B$2002,$A112,주문내역!$A$3:$A$2002,"&gt;="&amp;DATE($B$3,1,1),주문내역!$A$3:$A$2002,"&lt;="&amp;DATE($B$3,12,31)))</f>
        <v/>
      </c>
      <c r="E112" s="20" t="str">
        <f aca="false">IF($A112="","",SUMIFS(주문내역!$G$3:$G$2002,주문내역!$B$3:$B$2002,$A112,주문내역!$A$3:$A$2002,"&gt;="&amp;DATE($B$3,1,1),주문내역!$A$3:$A$2002,"&lt;="&amp;DATE($B$3,12,31)))</f>
        <v/>
      </c>
      <c r="F112" s="12" t="str">
        <f aca="false">IF($A112="","",SUMIFS(주문내역!$I$3:$I$2002,주문내역!$B$3:$B$2002,$A112,주문내역!$A$3:$A$2002,"&gt;="&amp;DATE($B$3,1,1),주문내역!$A$3:$A$2002,"&lt;="&amp;DATE($B$3,12,31)))</f>
        <v/>
      </c>
    </row>
    <row r="113" customFormat="false" ht="15" hidden="false" customHeight="true" outlineLevel="0" collapsed="false">
      <c r="A113" s="19" t="str">
        <f aca="false">IF(거래처목록!$A110="","",거래처목록!$A110)</f>
        <v/>
      </c>
      <c r="B113" s="19" t="str">
        <f aca="false">IF($A113="","",거래처목록!$B110)</f>
        <v/>
      </c>
      <c r="C113" s="20" t="str">
        <f aca="false">IF($A113="","",COUNTIFS(정기주문설정!$B$3:$B$302,$A113))</f>
        <v/>
      </c>
      <c r="D113" s="20" t="str">
        <f aca="false">IF($A113="","",COUNTIFS(주문내역!$B$3:$B$2002,$A113,주문내역!$A$3:$A$2002,"&gt;="&amp;DATE($B$3,1,1),주문내역!$A$3:$A$2002,"&lt;="&amp;DATE($B$3,12,31)))</f>
        <v/>
      </c>
      <c r="E113" s="20" t="str">
        <f aca="false">IF($A113="","",SUMIFS(주문내역!$G$3:$G$2002,주문내역!$B$3:$B$2002,$A113,주문내역!$A$3:$A$2002,"&gt;="&amp;DATE($B$3,1,1),주문내역!$A$3:$A$2002,"&lt;="&amp;DATE($B$3,12,31)))</f>
        <v/>
      </c>
      <c r="F113" s="12" t="str">
        <f aca="false">IF($A113="","",SUMIFS(주문내역!$I$3:$I$2002,주문내역!$B$3:$B$2002,$A113,주문내역!$A$3:$A$2002,"&gt;="&amp;DATE($B$3,1,1),주문내역!$A$3:$A$2002,"&lt;="&amp;DATE($B$3,12,31)))</f>
        <v/>
      </c>
    </row>
    <row r="114" customFormat="false" ht="15" hidden="false" customHeight="true" outlineLevel="0" collapsed="false">
      <c r="A114" s="19" t="str">
        <f aca="false">IF(거래처목록!$A111="","",거래처목록!$A111)</f>
        <v/>
      </c>
      <c r="B114" s="19" t="str">
        <f aca="false">IF($A114="","",거래처목록!$B111)</f>
        <v/>
      </c>
      <c r="C114" s="20" t="str">
        <f aca="false">IF($A114="","",COUNTIFS(정기주문설정!$B$3:$B$302,$A114))</f>
        <v/>
      </c>
      <c r="D114" s="20" t="str">
        <f aca="false">IF($A114="","",COUNTIFS(주문내역!$B$3:$B$2002,$A114,주문내역!$A$3:$A$2002,"&gt;="&amp;DATE($B$3,1,1),주문내역!$A$3:$A$2002,"&lt;="&amp;DATE($B$3,12,31)))</f>
        <v/>
      </c>
      <c r="E114" s="20" t="str">
        <f aca="false">IF($A114="","",SUMIFS(주문내역!$G$3:$G$2002,주문내역!$B$3:$B$2002,$A114,주문내역!$A$3:$A$2002,"&gt;="&amp;DATE($B$3,1,1),주문내역!$A$3:$A$2002,"&lt;="&amp;DATE($B$3,12,31)))</f>
        <v/>
      </c>
      <c r="F114" s="12" t="str">
        <f aca="false">IF($A114="","",SUMIFS(주문내역!$I$3:$I$2002,주문내역!$B$3:$B$2002,$A114,주문내역!$A$3:$A$2002,"&gt;="&amp;DATE($B$3,1,1),주문내역!$A$3:$A$2002,"&lt;="&amp;DATE($B$3,12,31)))</f>
        <v/>
      </c>
    </row>
    <row r="115" customFormat="false" ht="15" hidden="false" customHeight="true" outlineLevel="0" collapsed="false">
      <c r="A115" s="19" t="str">
        <f aca="false">IF(거래처목록!$A112="","",거래처목록!$A112)</f>
        <v/>
      </c>
      <c r="B115" s="19" t="str">
        <f aca="false">IF($A115="","",거래처목록!$B112)</f>
        <v/>
      </c>
      <c r="C115" s="20" t="str">
        <f aca="false">IF($A115="","",COUNTIFS(정기주문설정!$B$3:$B$302,$A115))</f>
        <v/>
      </c>
      <c r="D115" s="20" t="str">
        <f aca="false">IF($A115="","",COUNTIFS(주문내역!$B$3:$B$2002,$A115,주문내역!$A$3:$A$2002,"&gt;="&amp;DATE($B$3,1,1),주문내역!$A$3:$A$2002,"&lt;="&amp;DATE($B$3,12,31)))</f>
        <v/>
      </c>
      <c r="E115" s="20" t="str">
        <f aca="false">IF($A115="","",SUMIFS(주문내역!$G$3:$G$2002,주문내역!$B$3:$B$2002,$A115,주문내역!$A$3:$A$2002,"&gt;="&amp;DATE($B$3,1,1),주문내역!$A$3:$A$2002,"&lt;="&amp;DATE($B$3,12,31)))</f>
        <v/>
      </c>
      <c r="F115" s="12" t="str">
        <f aca="false">IF($A115="","",SUMIFS(주문내역!$I$3:$I$2002,주문내역!$B$3:$B$2002,$A115,주문내역!$A$3:$A$2002,"&gt;="&amp;DATE($B$3,1,1),주문내역!$A$3:$A$2002,"&lt;="&amp;DATE($B$3,12,31)))</f>
        <v/>
      </c>
    </row>
    <row r="116" customFormat="false" ht="15" hidden="false" customHeight="true" outlineLevel="0" collapsed="false">
      <c r="A116" s="19" t="str">
        <f aca="false">IF(거래처목록!$A113="","",거래처목록!$A113)</f>
        <v/>
      </c>
      <c r="B116" s="19" t="str">
        <f aca="false">IF($A116="","",거래처목록!$B113)</f>
        <v/>
      </c>
      <c r="C116" s="20" t="str">
        <f aca="false">IF($A116="","",COUNTIFS(정기주문설정!$B$3:$B$302,$A116))</f>
        <v/>
      </c>
      <c r="D116" s="20" t="str">
        <f aca="false">IF($A116="","",COUNTIFS(주문내역!$B$3:$B$2002,$A116,주문내역!$A$3:$A$2002,"&gt;="&amp;DATE($B$3,1,1),주문내역!$A$3:$A$2002,"&lt;="&amp;DATE($B$3,12,31)))</f>
        <v/>
      </c>
      <c r="E116" s="20" t="str">
        <f aca="false">IF($A116="","",SUMIFS(주문내역!$G$3:$G$2002,주문내역!$B$3:$B$2002,$A116,주문내역!$A$3:$A$2002,"&gt;="&amp;DATE($B$3,1,1),주문내역!$A$3:$A$2002,"&lt;="&amp;DATE($B$3,12,31)))</f>
        <v/>
      </c>
      <c r="F116" s="12" t="str">
        <f aca="false">IF($A116="","",SUMIFS(주문내역!$I$3:$I$2002,주문내역!$B$3:$B$2002,$A116,주문내역!$A$3:$A$2002,"&gt;="&amp;DATE($B$3,1,1),주문내역!$A$3:$A$2002,"&lt;="&amp;DATE($B$3,12,31)))</f>
        <v/>
      </c>
    </row>
    <row r="117" customFormat="false" ht="15" hidden="false" customHeight="true" outlineLevel="0" collapsed="false">
      <c r="A117" s="19" t="str">
        <f aca="false">IF(거래처목록!$A114="","",거래처목록!$A114)</f>
        <v/>
      </c>
      <c r="B117" s="19" t="str">
        <f aca="false">IF($A117="","",거래처목록!$B114)</f>
        <v/>
      </c>
      <c r="C117" s="20" t="str">
        <f aca="false">IF($A117="","",COUNTIFS(정기주문설정!$B$3:$B$302,$A117))</f>
        <v/>
      </c>
      <c r="D117" s="20" t="str">
        <f aca="false">IF($A117="","",COUNTIFS(주문내역!$B$3:$B$2002,$A117,주문내역!$A$3:$A$2002,"&gt;="&amp;DATE($B$3,1,1),주문내역!$A$3:$A$2002,"&lt;="&amp;DATE($B$3,12,31)))</f>
        <v/>
      </c>
      <c r="E117" s="20" t="str">
        <f aca="false">IF($A117="","",SUMIFS(주문내역!$G$3:$G$2002,주문내역!$B$3:$B$2002,$A117,주문내역!$A$3:$A$2002,"&gt;="&amp;DATE($B$3,1,1),주문내역!$A$3:$A$2002,"&lt;="&amp;DATE($B$3,12,31)))</f>
        <v/>
      </c>
      <c r="F117" s="12" t="str">
        <f aca="false">IF($A117="","",SUMIFS(주문내역!$I$3:$I$2002,주문내역!$B$3:$B$2002,$A117,주문내역!$A$3:$A$2002,"&gt;="&amp;DATE($B$3,1,1),주문내역!$A$3:$A$2002,"&lt;="&amp;DATE($B$3,12,31)))</f>
        <v/>
      </c>
    </row>
    <row r="118" customFormat="false" ht="15" hidden="false" customHeight="true" outlineLevel="0" collapsed="false">
      <c r="A118" s="19" t="str">
        <f aca="false">IF(거래처목록!$A115="","",거래처목록!$A115)</f>
        <v/>
      </c>
      <c r="B118" s="19" t="str">
        <f aca="false">IF($A118="","",거래처목록!$B115)</f>
        <v/>
      </c>
      <c r="C118" s="20" t="str">
        <f aca="false">IF($A118="","",COUNTIFS(정기주문설정!$B$3:$B$302,$A118))</f>
        <v/>
      </c>
      <c r="D118" s="20" t="str">
        <f aca="false">IF($A118="","",COUNTIFS(주문내역!$B$3:$B$2002,$A118,주문내역!$A$3:$A$2002,"&gt;="&amp;DATE($B$3,1,1),주문내역!$A$3:$A$2002,"&lt;="&amp;DATE($B$3,12,31)))</f>
        <v/>
      </c>
      <c r="E118" s="20" t="str">
        <f aca="false">IF($A118="","",SUMIFS(주문내역!$G$3:$G$2002,주문내역!$B$3:$B$2002,$A118,주문내역!$A$3:$A$2002,"&gt;="&amp;DATE($B$3,1,1),주문내역!$A$3:$A$2002,"&lt;="&amp;DATE($B$3,12,31)))</f>
        <v/>
      </c>
      <c r="F118" s="12" t="str">
        <f aca="false">IF($A118="","",SUMIFS(주문내역!$I$3:$I$2002,주문내역!$B$3:$B$2002,$A118,주문내역!$A$3:$A$2002,"&gt;="&amp;DATE($B$3,1,1),주문내역!$A$3:$A$2002,"&lt;="&amp;DATE($B$3,12,31)))</f>
        <v/>
      </c>
    </row>
    <row r="119" customFormat="false" ht="15" hidden="false" customHeight="true" outlineLevel="0" collapsed="false">
      <c r="A119" s="19" t="str">
        <f aca="false">IF(거래처목록!$A116="","",거래처목록!$A116)</f>
        <v/>
      </c>
      <c r="B119" s="19" t="str">
        <f aca="false">IF($A119="","",거래처목록!$B116)</f>
        <v/>
      </c>
      <c r="C119" s="20" t="str">
        <f aca="false">IF($A119="","",COUNTIFS(정기주문설정!$B$3:$B$302,$A119))</f>
        <v/>
      </c>
      <c r="D119" s="20" t="str">
        <f aca="false">IF($A119="","",COUNTIFS(주문내역!$B$3:$B$2002,$A119,주문내역!$A$3:$A$2002,"&gt;="&amp;DATE($B$3,1,1),주문내역!$A$3:$A$2002,"&lt;="&amp;DATE($B$3,12,31)))</f>
        <v/>
      </c>
      <c r="E119" s="20" t="str">
        <f aca="false">IF($A119="","",SUMIFS(주문내역!$G$3:$G$2002,주문내역!$B$3:$B$2002,$A119,주문내역!$A$3:$A$2002,"&gt;="&amp;DATE($B$3,1,1),주문내역!$A$3:$A$2002,"&lt;="&amp;DATE($B$3,12,31)))</f>
        <v/>
      </c>
      <c r="F119" s="12" t="str">
        <f aca="false">IF($A119="","",SUMIFS(주문내역!$I$3:$I$2002,주문내역!$B$3:$B$2002,$A119,주문내역!$A$3:$A$2002,"&gt;="&amp;DATE($B$3,1,1),주문내역!$A$3:$A$2002,"&lt;="&amp;DATE($B$3,12,31)))</f>
        <v/>
      </c>
    </row>
    <row r="120" customFormat="false" ht="15" hidden="false" customHeight="true" outlineLevel="0" collapsed="false">
      <c r="A120" s="19" t="str">
        <f aca="false">IF(거래처목록!$A117="","",거래처목록!$A117)</f>
        <v/>
      </c>
      <c r="B120" s="19" t="str">
        <f aca="false">IF($A120="","",거래처목록!$B117)</f>
        <v/>
      </c>
      <c r="C120" s="20" t="str">
        <f aca="false">IF($A120="","",COUNTIFS(정기주문설정!$B$3:$B$302,$A120))</f>
        <v/>
      </c>
      <c r="D120" s="20" t="str">
        <f aca="false">IF($A120="","",COUNTIFS(주문내역!$B$3:$B$2002,$A120,주문내역!$A$3:$A$2002,"&gt;="&amp;DATE($B$3,1,1),주문내역!$A$3:$A$2002,"&lt;="&amp;DATE($B$3,12,31)))</f>
        <v/>
      </c>
      <c r="E120" s="20" t="str">
        <f aca="false">IF($A120="","",SUMIFS(주문내역!$G$3:$G$2002,주문내역!$B$3:$B$2002,$A120,주문내역!$A$3:$A$2002,"&gt;="&amp;DATE($B$3,1,1),주문내역!$A$3:$A$2002,"&lt;="&amp;DATE($B$3,12,31)))</f>
        <v/>
      </c>
      <c r="F120" s="12" t="str">
        <f aca="false">IF($A120="","",SUMIFS(주문내역!$I$3:$I$2002,주문내역!$B$3:$B$2002,$A120,주문내역!$A$3:$A$2002,"&gt;="&amp;DATE($B$3,1,1),주문내역!$A$3:$A$2002,"&lt;="&amp;DATE($B$3,12,31)))</f>
        <v/>
      </c>
    </row>
    <row r="121" customFormat="false" ht="15" hidden="false" customHeight="true" outlineLevel="0" collapsed="false">
      <c r="A121" s="19" t="str">
        <f aca="false">IF(거래처목록!$A118="","",거래처목록!$A118)</f>
        <v/>
      </c>
      <c r="B121" s="19" t="str">
        <f aca="false">IF($A121="","",거래처목록!$B118)</f>
        <v/>
      </c>
      <c r="C121" s="20" t="str">
        <f aca="false">IF($A121="","",COUNTIFS(정기주문설정!$B$3:$B$302,$A121))</f>
        <v/>
      </c>
      <c r="D121" s="20" t="str">
        <f aca="false">IF($A121="","",COUNTIFS(주문내역!$B$3:$B$2002,$A121,주문내역!$A$3:$A$2002,"&gt;="&amp;DATE($B$3,1,1),주문내역!$A$3:$A$2002,"&lt;="&amp;DATE($B$3,12,31)))</f>
        <v/>
      </c>
      <c r="E121" s="20" t="str">
        <f aca="false">IF($A121="","",SUMIFS(주문내역!$G$3:$G$2002,주문내역!$B$3:$B$2002,$A121,주문내역!$A$3:$A$2002,"&gt;="&amp;DATE($B$3,1,1),주문내역!$A$3:$A$2002,"&lt;="&amp;DATE($B$3,12,31)))</f>
        <v/>
      </c>
      <c r="F121" s="12" t="str">
        <f aca="false">IF($A121="","",SUMIFS(주문내역!$I$3:$I$2002,주문내역!$B$3:$B$2002,$A121,주문내역!$A$3:$A$2002,"&gt;="&amp;DATE($B$3,1,1),주문내역!$A$3:$A$2002,"&lt;="&amp;DATE($B$3,12,31)))</f>
        <v/>
      </c>
    </row>
    <row r="122" customFormat="false" ht="15" hidden="false" customHeight="true" outlineLevel="0" collapsed="false">
      <c r="A122" s="19" t="str">
        <f aca="false">IF(거래처목록!$A119="","",거래처목록!$A119)</f>
        <v/>
      </c>
      <c r="B122" s="19" t="str">
        <f aca="false">IF($A122="","",거래처목록!$B119)</f>
        <v/>
      </c>
      <c r="C122" s="20" t="str">
        <f aca="false">IF($A122="","",COUNTIFS(정기주문설정!$B$3:$B$302,$A122))</f>
        <v/>
      </c>
      <c r="D122" s="20" t="str">
        <f aca="false">IF($A122="","",COUNTIFS(주문내역!$B$3:$B$2002,$A122,주문내역!$A$3:$A$2002,"&gt;="&amp;DATE($B$3,1,1),주문내역!$A$3:$A$2002,"&lt;="&amp;DATE($B$3,12,31)))</f>
        <v/>
      </c>
      <c r="E122" s="20" t="str">
        <f aca="false">IF($A122="","",SUMIFS(주문내역!$G$3:$G$2002,주문내역!$B$3:$B$2002,$A122,주문내역!$A$3:$A$2002,"&gt;="&amp;DATE($B$3,1,1),주문내역!$A$3:$A$2002,"&lt;="&amp;DATE($B$3,12,31)))</f>
        <v/>
      </c>
      <c r="F122" s="12" t="str">
        <f aca="false">IF($A122="","",SUMIFS(주문내역!$I$3:$I$2002,주문내역!$B$3:$B$2002,$A122,주문내역!$A$3:$A$2002,"&gt;="&amp;DATE($B$3,1,1),주문내역!$A$3:$A$2002,"&lt;="&amp;DATE($B$3,12,31)))</f>
        <v/>
      </c>
    </row>
    <row r="123" customFormat="false" ht="15" hidden="false" customHeight="true" outlineLevel="0" collapsed="false">
      <c r="A123" s="19" t="str">
        <f aca="false">IF(거래처목록!$A120="","",거래처목록!$A120)</f>
        <v/>
      </c>
      <c r="B123" s="19" t="str">
        <f aca="false">IF($A123="","",거래처목록!$B120)</f>
        <v/>
      </c>
      <c r="C123" s="20" t="str">
        <f aca="false">IF($A123="","",COUNTIFS(정기주문설정!$B$3:$B$302,$A123))</f>
        <v/>
      </c>
      <c r="D123" s="20" t="str">
        <f aca="false">IF($A123="","",COUNTIFS(주문내역!$B$3:$B$2002,$A123,주문내역!$A$3:$A$2002,"&gt;="&amp;DATE($B$3,1,1),주문내역!$A$3:$A$2002,"&lt;="&amp;DATE($B$3,12,31)))</f>
        <v/>
      </c>
      <c r="E123" s="20" t="str">
        <f aca="false">IF($A123="","",SUMIFS(주문내역!$G$3:$G$2002,주문내역!$B$3:$B$2002,$A123,주문내역!$A$3:$A$2002,"&gt;="&amp;DATE($B$3,1,1),주문내역!$A$3:$A$2002,"&lt;="&amp;DATE($B$3,12,31)))</f>
        <v/>
      </c>
      <c r="F123" s="12" t="str">
        <f aca="false">IF($A123="","",SUMIFS(주문내역!$I$3:$I$2002,주문내역!$B$3:$B$2002,$A123,주문내역!$A$3:$A$2002,"&gt;="&amp;DATE($B$3,1,1),주문내역!$A$3:$A$2002,"&lt;="&amp;DATE($B$3,12,31)))</f>
        <v/>
      </c>
    </row>
    <row r="124" customFormat="false" ht="15" hidden="false" customHeight="true" outlineLevel="0" collapsed="false">
      <c r="A124" s="19" t="str">
        <f aca="false">IF(거래처목록!$A121="","",거래처목록!$A121)</f>
        <v/>
      </c>
      <c r="B124" s="19" t="str">
        <f aca="false">IF($A124="","",거래처목록!$B121)</f>
        <v/>
      </c>
      <c r="C124" s="20" t="str">
        <f aca="false">IF($A124="","",COUNTIFS(정기주문설정!$B$3:$B$302,$A124))</f>
        <v/>
      </c>
      <c r="D124" s="20" t="str">
        <f aca="false">IF($A124="","",COUNTIFS(주문내역!$B$3:$B$2002,$A124,주문내역!$A$3:$A$2002,"&gt;="&amp;DATE($B$3,1,1),주문내역!$A$3:$A$2002,"&lt;="&amp;DATE($B$3,12,31)))</f>
        <v/>
      </c>
      <c r="E124" s="20" t="str">
        <f aca="false">IF($A124="","",SUMIFS(주문내역!$G$3:$G$2002,주문내역!$B$3:$B$2002,$A124,주문내역!$A$3:$A$2002,"&gt;="&amp;DATE($B$3,1,1),주문내역!$A$3:$A$2002,"&lt;="&amp;DATE($B$3,12,31)))</f>
        <v/>
      </c>
      <c r="F124" s="12" t="str">
        <f aca="false">IF($A124="","",SUMIFS(주문내역!$I$3:$I$2002,주문내역!$B$3:$B$2002,$A124,주문내역!$A$3:$A$2002,"&gt;="&amp;DATE($B$3,1,1),주문내역!$A$3:$A$2002,"&lt;="&amp;DATE($B$3,12,31)))</f>
        <v/>
      </c>
    </row>
    <row r="125" customFormat="false" ht="15" hidden="false" customHeight="true" outlineLevel="0" collapsed="false">
      <c r="A125" s="19" t="str">
        <f aca="false">IF(거래처목록!$A122="","",거래처목록!$A122)</f>
        <v/>
      </c>
      <c r="B125" s="19" t="str">
        <f aca="false">IF($A125="","",거래처목록!$B122)</f>
        <v/>
      </c>
      <c r="C125" s="20" t="str">
        <f aca="false">IF($A125="","",COUNTIFS(정기주문설정!$B$3:$B$302,$A125))</f>
        <v/>
      </c>
      <c r="D125" s="20" t="str">
        <f aca="false">IF($A125="","",COUNTIFS(주문내역!$B$3:$B$2002,$A125,주문내역!$A$3:$A$2002,"&gt;="&amp;DATE($B$3,1,1),주문내역!$A$3:$A$2002,"&lt;="&amp;DATE($B$3,12,31)))</f>
        <v/>
      </c>
      <c r="E125" s="20" t="str">
        <f aca="false">IF($A125="","",SUMIFS(주문내역!$G$3:$G$2002,주문내역!$B$3:$B$2002,$A125,주문내역!$A$3:$A$2002,"&gt;="&amp;DATE($B$3,1,1),주문내역!$A$3:$A$2002,"&lt;="&amp;DATE($B$3,12,31)))</f>
        <v/>
      </c>
      <c r="F125" s="12" t="str">
        <f aca="false">IF($A125="","",SUMIFS(주문내역!$I$3:$I$2002,주문내역!$B$3:$B$2002,$A125,주문내역!$A$3:$A$2002,"&gt;="&amp;DATE($B$3,1,1),주문내역!$A$3:$A$2002,"&lt;="&amp;DATE($B$3,12,31)))</f>
        <v/>
      </c>
    </row>
    <row r="126" customFormat="false" ht="15" hidden="false" customHeight="true" outlineLevel="0" collapsed="false">
      <c r="A126" s="19" t="str">
        <f aca="false">IF(거래처목록!$A123="","",거래처목록!$A123)</f>
        <v/>
      </c>
      <c r="B126" s="19" t="str">
        <f aca="false">IF($A126="","",거래처목록!$B123)</f>
        <v/>
      </c>
      <c r="C126" s="20" t="str">
        <f aca="false">IF($A126="","",COUNTIFS(정기주문설정!$B$3:$B$302,$A126))</f>
        <v/>
      </c>
      <c r="D126" s="20" t="str">
        <f aca="false">IF($A126="","",COUNTIFS(주문내역!$B$3:$B$2002,$A126,주문내역!$A$3:$A$2002,"&gt;="&amp;DATE($B$3,1,1),주문내역!$A$3:$A$2002,"&lt;="&amp;DATE($B$3,12,31)))</f>
        <v/>
      </c>
      <c r="E126" s="20" t="str">
        <f aca="false">IF($A126="","",SUMIFS(주문내역!$G$3:$G$2002,주문내역!$B$3:$B$2002,$A126,주문내역!$A$3:$A$2002,"&gt;="&amp;DATE($B$3,1,1),주문내역!$A$3:$A$2002,"&lt;="&amp;DATE($B$3,12,31)))</f>
        <v/>
      </c>
      <c r="F126" s="12" t="str">
        <f aca="false">IF($A126="","",SUMIFS(주문내역!$I$3:$I$2002,주문내역!$B$3:$B$2002,$A126,주문내역!$A$3:$A$2002,"&gt;="&amp;DATE($B$3,1,1),주문내역!$A$3:$A$2002,"&lt;="&amp;DATE($B$3,12,31)))</f>
        <v/>
      </c>
    </row>
    <row r="127" customFormat="false" ht="15" hidden="false" customHeight="true" outlineLevel="0" collapsed="false">
      <c r="A127" s="19" t="str">
        <f aca="false">IF(거래처목록!$A124="","",거래처목록!$A124)</f>
        <v/>
      </c>
      <c r="B127" s="19" t="str">
        <f aca="false">IF($A127="","",거래처목록!$B124)</f>
        <v/>
      </c>
      <c r="C127" s="20" t="str">
        <f aca="false">IF($A127="","",COUNTIFS(정기주문설정!$B$3:$B$302,$A127))</f>
        <v/>
      </c>
      <c r="D127" s="20" t="str">
        <f aca="false">IF($A127="","",COUNTIFS(주문내역!$B$3:$B$2002,$A127,주문내역!$A$3:$A$2002,"&gt;="&amp;DATE($B$3,1,1),주문내역!$A$3:$A$2002,"&lt;="&amp;DATE($B$3,12,31)))</f>
        <v/>
      </c>
      <c r="E127" s="20" t="str">
        <f aca="false">IF($A127="","",SUMIFS(주문내역!$G$3:$G$2002,주문내역!$B$3:$B$2002,$A127,주문내역!$A$3:$A$2002,"&gt;="&amp;DATE($B$3,1,1),주문내역!$A$3:$A$2002,"&lt;="&amp;DATE($B$3,12,31)))</f>
        <v/>
      </c>
      <c r="F127" s="12" t="str">
        <f aca="false">IF($A127="","",SUMIFS(주문내역!$I$3:$I$2002,주문내역!$B$3:$B$2002,$A127,주문내역!$A$3:$A$2002,"&gt;="&amp;DATE($B$3,1,1),주문내역!$A$3:$A$2002,"&lt;="&amp;DATE($B$3,12,31)))</f>
        <v/>
      </c>
    </row>
    <row r="128" customFormat="false" ht="15" hidden="false" customHeight="true" outlineLevel="0" collapsed="false">
      <c r="A128" s="19" t="str">
        <f aca="false">IF(거래처목록!$A125="","",거래처목록!$A125)</f>
        <v/>
      </c>
      <c r="B128" s="19" t="str">
        <f aca="false">IF($A128="","",거래처목록!$B125)</f>
        <v/>
      </c>
      <c r="C128" s="20" t="str">
        <f aca="false">IF($A128="","",COUNTIFS(정기주문설정!$B$3:$B$302,$A128))</f>
        <v/>
      </c>
      <c r="D128" s="20" t="str">
        <f aca="false">IF($A128="","",COUNTIFS(주문내역!$B$3:$B$2002,$A128,주문내역!$A$3:$A$2002,"&gt;="&amp;DATE($B$3,1,1),주문내역!$A$3:$A$2002,"&lt;="&amp;DATE($B$3,12,31)))</f>
        <v/>
      </c>
      <c r="E128" s="20" t="str">
        <f aca="false">IF($A128="","",SUMIFS(주문내역!$G$3:$G$2002,주문내역!$B$3:$B$2002,$A128,주문내역!$A$3:$A$2002,"&gt;="&amp;DATE($B$3,1,1),주문내역!$A$3:$A$2002,"&lt;="&amp;DATE($B$3,12,31)))</f>
        <v/>
      </c>
      <c r="F128" s="12" t="str">
        <f aca="false">IF($A128="","",SUMIFS(주문내역!$I$3:$I$2002,주문내역!$B$3:$B$2002,$A128,주문내역!$A$3:$A$2002,"&gt;="&amp;DATE($B$3,1,1),주문내역!$A$3:$A$2002,"&lt;="&amp;DATE($B$3,12,31)))</f>
        <v/>
      </c>
    </row>
    <row r="129" customFormat="false" ht="15" hidden="false" customHeight="true" outlineLevel="0" collapsed="false">
      <c r="A129" s="19" t="str">
        <f aca="false">IF(거래처목록!$A126="","",거래처목록!$A126)</f>
        <v/>
      </c>
      <c r="B129" s="19" t="str">
        <f aca="false">IF($A129="","",거래처목록!$B126)</f>
        <v/>
      </c>
      <c r="C129" s="20" t="str">
        <f aca="false">IF($A129="","",COUNTIFS(정기주문설정!$B$3:$B$302,$A129))</f>
        <v/>
      </c>
      <c r="D129" s="20" t="str">
        <f aca="false">IF($A129="","",COUNTIFS(주문내역!$B$3:$B$2002,$A129,주문내역!$A$3:$A$2002,"&gt;="&amp;DATE($B$3,1,1),주문내역!$A$3:$A$2002,"&lt;="&amp;DATE($B$3,12,31)))</f>
        <v/>
      </c>
      <c r="E129" s="20" t="str">
        <f aca="false">IF($A129="","",SUMIFS(주문내역!$G$3:$G$2002,주문내역!$B$3:$B$2002,$A129,주문내역!$A$3:$A$2002,"&gt;="&amp;DATE($B$3,1,1),주문내역!$A$3:$A$2002,"&lt;="&amp;DATE($B$3,12,31)))</f>
        <v/>
      </c>
      <c r="F129" s="12" t="str">
        <f aca="false">IF($A129="","",SUMIFS(주문내역!$I$3:$I$2002,주문내역!$B$3:$B$2002,$A129,주문내역!$A$3:$A$2002,"&gt;="&amp;DATE($B$3,1,1),주문내역!$A$3:$A$2002,"&lt;="&amp;DATE($B$3,12,31)))</f>
        <v/>
      </c>
    </row>
    <row r="130" customFormat="false" ht="15" hidden="false" customHeight="true" outlineLevel="0" collapsed="false">
      <c r="A130" s="19" t="str">
        <f aca="false">IF(거래처목록!$A127="","",거래처목록!$A127)</f>
        <v/>
      </c>
      <c r="B130" s="19" t="str">
        <f aca="false">IF($A130="","",거래처목록!$B127)</f>
        <v/>
      </c>
      <c r="C130" s="20" t="str">
        <f aca="false">IF($A130="","",COUNTIFS(정기주문설정!$B$3:$B$302,$A130))</f>
        <v/>
      </c>
      <c r="D130" s="20" t="str">
        <f aca="false">IF($A130="","",COUNTIFS(주문내역!$B$3:$B$2002,$A130,주문내역!$A$3:$A$2002,"&gt;="&amp;DATE($B$3,1,1),주문내역!$A$3:$A$2002,"&lt;="&amp;DATE($B$3,12,31)))</f>
        <v/>
      </c>
      <c r="E130" s="20" t="str">
        <f aca="false">IF($A130="","",SUMIFS(주문내역!$G$3:$G$2002,주문내역!$B$3:$B$2002,$A130,주문내역!$A$3:$A$2002,"&gt;="&amp;DATE($B$3,1,1),주문내역!$A$3:$A$2002,"&lt;="&amp;DATE($B$3,12,31)))</f>
        <v/>
      </c>
      <c r="F130" s="12" t="str">
        <f aca="false">IF($A130="","",SUMIFS(주문내역!$I$3:$I$2002,주문내역!$B$3:$B$2002,$A130,주문내역!$A$3:$A$2002,"&gt;="&amp;DATE($B$3,1,1),주문내역!$A$3:$A$2002,"&lt;="&amp;DATE($B$3,12,31)))</f>
        <v/>
      </c>
    </row>
    <row r="131" customFormat="false" ht="15" hidden="false" customHeight="true" outlineLevel="0" collapsed="false">
      <c r="A131" s="19" t="str">
        <f aca="false">IF(거래처목록!$A128="","",거래처목록!$A128)</f>
        <v/>
      </c>
      <c r="B131" s="19" t="str">
        <f aca="false">IF($A131="","",거래처목록!$B128)</f>
        <v/>
      </c>
      <c r="C131" s="20" t="str">
        <f aca="false">IF($A131="","",COUNTIFS(정기주문설정!$B$3:$B$302,$A131))</f>
        <v/>
      </c>
      <c r="D131" s="20" t="str">
        <f aca="false">IF($A131="","",COUNTIFS(주문내역!$B$3:$B$2002,$A131,주문내역!$A$3:$A$2002,"&gt;="&amp;DATE($B$3,1,1),주문내역!$A$3:$A$2002,"&lt;="&amp;DATE($B$3,12,31)))</f>
        <v/>
      </c>
      <c r="E131" s="20" t="str">
        <f aca="false">IF($A131="","",SUMIFS(주문내역!$G$3:$G$2002,주문내역!$B$3:$B$2002,$A131,주문내역!$A$3:$A$2002,"&gt;="&amp;DATE($B$3,1,1),주문내역!$A$3:$A$2002,"&lt;="&amp;DATE($B$3,12,31)))</f>
        <v/>
      </c>
      <c r="F131" s="12" t="str">
        <f aca="false">IF($A131="","",SUMIFS(주문내역!$I$3:$I$2002,주문내역!$B$3:$B$2002,$A131,주문내역!$A$3:$A$2002,"&gt;="&amp;DATE($B$3,1,1),주문내역!$A$3:$A$2002,"&lt;="&amp;DATE($B$3,12,31)))</f>
        <v/>
      </c>
    </row>
    <row r="132" customFormat="false" ht="15" hidden="false" customHeight="true" outlineLevel="0" collapsed="false">
      <c r="A132" s="19" t="str">
        <f aca="false">IF(거래처목록!$A129="","",거래처목록!$A129)</f>
        <v/>
      </c>
      <c r="B132" s="19" t="str">
        <f aca="false">IF($A132="","",거래처목록!$B129)</f>
        <v/>
      </c>
      <c r="C132" s="20" t="str">
        <f aca="false">IF($A132="","",COUNTIFS(정기주문설정!$B$3:$B$302,$A132))</f>
        <v/>
      </c>
      <c r="D132" s="20" t="str">
        <f aca="false">IF($A132="","",COUNTIFS(주문내역!$B$3:$B$2002,$A132,주문내역!$A$3:$A$2002,"&gt;="&amp;DATE($B$3,1,1),주문내역!$A$3:$A$2002,"&lt;="&amp;DATE($B$3,12,31)))</f>
        <v/>
      </c>
      <c r="E132" s="20" t="str">
        <f aca="false">IF($A132="","",SUMIFS(주문내역!$G$3:$G$2002,주문내역!$B$3:$B$2002,$A132,주문내역!$A$3:$A$2002,"&gt;="&amp;DATE($B$3,1,1),주문내역!$A$3:$A$2002,"&lt;="&amp;DATE($B$3,12,31)))</f>
        <v/>
      </c>
      <c r="F132" s="12" t="str">
        <f aca="false">IF($A132="","",SUMIFS(주문내역!$I$3:$I$2002,주문내역!$B$3:$B$2002,$A132,주문내역!$A$3:$A$2002,"&gt;="&amp;DATE($B$3,1,1),주문내역!$A$3:$A$2002,"&lt;="&amp;DATE($B$3,12,31)))</f>
        <v/>
      </c>
    </row>
    <row r="133" customFormat="false" ht="15" hidden="false" customHeight="true" outlineLevel="0" collapsed="false">
      <c r="A133" s="19" t="str">
        <f aca="false">IF(거래처목록!$A130="","",거래처목록!$A130)</f>
        <v/>
      </c>
      <c r="B133" s="19" t="str">
        <f aca="false">IF($A133="","",거래처목록!$B130)</f>
        <v/>
      </c>
      <c r="C133" s="20" t="str">
        <f aca="false">IF($A133="","",COUNTIFS(정기주문설정!$B$3:$B$302,$A133))</f>
        <v/>
      </c>
      <c r="D133" s="20" t="str">
        <f aca="false">IF($A133="","",COUNTIFS(주문내역!$B$3:$B$2002,$A133,주문내역!$A$3:$A$2002,"&gt;="&amp;DATE($B$3,1,1),주문내역!$A$3:$A$2002,"&lt;="&amp;DATE($B$3,12,31)))</f>
        <v/>
      </c>
      <c r="E133" s="20" t="str">
        <f aca="false">IF($A133="","",SUMIFS(주문내역!$G$3:$G$2002,주문내역!$B$3:$B$2002,$A133,주문내역!$A$3:$A$2002,"&gt;="&amp;DATE($B$3,1,1),주문내역!$A$3:$A$2002,"&lt;="&amp;DATE($B$3,12,31)))</f>
        <v/>
      </c>
      <c r="F133" s="12" t="str">
        <f aca="false">IF($A133="","",SUMIFS(주문내역!$I$3:$I$2002,주문내역!$B$3:$B$2002,$A133,주문내역!$A$3:$A$2002,"&gt;="&amp;DATE($B$3,1,1),주문내역!$A$3:$A$2002,"&lt;="&amp;DATE($B$3,12,31)))</f>
        <v/>
      </c>
    </row>
    <row r="134" customFormat="false" ht="15" hidden="false" customHeight="true" outlineLevel="0" collapsed="false">
      <c r="A134" s="19" t="str">
        <f aca="false">IF(거래처목록!$A131="","",거래처목록!$A131)</f>
        <v/>
      </c>
      <c r="B134" s="19" t="str">
        <f aca="false">IF($A134="","",거래처목록!$B131)</f>
        <v/>
      </c>
      <c r="C134" s="20" t="str">
        <f aca="false">IF($A134="","",COUNTIFS(정기주문설정!$B$3:$B$302,$A134))</f>
        <v/>
      </c>
      <c r="D134" s="20" t="str">
        <f aca="false">IF($A134="","",COUNTIFS(주문내역!$B$3:$B$2002,$A134,주문내역!$A$3:$A$2002,"&gt;="&amp;DATE($B$3,1,1),주문내역!$A$3:$A$2002,"&lt;="&amp;DATE($B$3,12,31)))</f>
        <v/>
      </c>
      <c r="E134" s="20" t="str">
        <f aca="false">IF($A134="","",SUMIFS(주문내역!$G$3:$G$2002,주문내역!$B$3:$B$2002,$A134,주문내역!$A$3:$A$2002,"&gt;="&amp;DATE($B$3,1,1),주문내역!$A$3:$A$2002,"&lt;="&amp;DATE($B$3,12,31)))</f>
        <v/>
      </c>
      <c r="F134" s="12" t="str">
        <f aca="false">IF($A134="","",SUMIFS(주문내역!$I$3:$I$2002,주문내역!$B$3:$B$2002,$A134,주문내역!$A$3:$A$2002,"&gt;="&amp;DATE($B$3,1,1),주문내역!$A$3:$A$2002,"&lt;="&amp;DATE($B$3,12,31)))</f>
        <v/>
      </c>
    </row>
    <row r="135" customFormat="false" ht="15" hidden="false" customHeight="true" outlineLevel="0" collapsed="false">
      <c r="A135" s="19" t="str">
        <f aca="false">IF(거래처목록!$A132="","",거래처목록!$A132)</f>
        <v/>
      </c>
      <c r="B135" s="19" t="str">
        <f aca="false">IF($A135="","",거래처목록!$B132)</f>
        <v/>
      </c>
      <c r="C135" s="20" t="str">
        <f aca="false">IF($A135="","",COUNTIFS(정기주문설정!$B$3:$B$302,$A135))</f>
        <v/>
      </c>
      <c r="D135" s="20" t="str">
        <f aca="false">IF($A135="","",COUNTIFS(주문내역!$B$3:$B$2002,$A135,주문내역!$A$3:$A$2002,"&gt;="&amp;DATE($B$3,1,1),주문내역!$A$3:$A$2002,"&lt;="&amp;DATE($B$3,12,31)))</f>
        <v/>
      </c>
      <c r="E135" s="20" t="str">
        <f aca="false">IF($A135="","",SUMIFS(주문내역!$G$3:$G$2002,주문내역!$B$3:$B$2002,$A135,주문내역!$A$3:$A$2002,"&gt;="&amp;DATE($B$3,1,1),주문내역!$A$3:$A$2002,"&lt;="&amp;DATE($B$3,12,31)))</f>
        <v/>
      </c>
      <c r="F135" s="12" t="str">
        <f aca="false">IF($A135="","",SUMIFS(주문내역!$I$3:$I$2002,주문내역!$B$3:$B$2002,$A135,주문내역!$A$3:$A$2002,"&gt;="&amp;DATE($B$3,1,1),주문내역!$A$3:$A$2002,"&lt;="&amp;DATE($B$3,12,31)))</f>
        <v/>
      </c>
    </row>
    <row r="136" customFormat="false" ht="15" hidden="false" customHeight="true" outlineLevel="0" collapsed="false">
      <c r="A136" s="19" t="str">
        <f aca="false">IF(거래처목록!$A133="","",거래처목록!$A133)</f>
        <v/>
      </c>
      <c r="B136" s="19" t="str">
        <f aca="false">IF($A136="","",거래처목록!$B133)</f>
        <v/>
      </c>
      <c r="C136" s="20" t="str">
        <f aca="false">IF($A136="","",COUNTIFS(정기주문설정!$B$3:$B$302,$A136))</f>
        <v/>
      </c>
      <c r="D136" s="20" t="str">
        <f aca="false">IF($A136="","",COUNTIFS(주문내역!$B$3:$B$2002,$A136,주문내역!$A$3:$A$2002,"&gt;="&amp;DATE($B$3,1,1),주문내역!$A$3:$A$2002,"&lt;="&amp;DATE($B$3,12,31)))</f>
        <v/>
      </c>
      <c r="E136" s="20" t="str">
        <f aca="false">IF($A136="","",SUMIFS(주문내역!$G$3:$G$2002,주문내역!$B$3:$B$2002,$A136,주문내역!$A$3:$A$2002,"&gt;="&amp;DATE($B$3,1,1),주문내역!$A$3:$A$2002,"&lt;="&amp;DATE($B$3,12,31)))</f>
        <v/>
      </c>
      <c r="F136" s="12" t="str">
        <f aca="false">IF($A136="","",SUMIFS(주문내역!$I$3:$I$2002,주문내역!$B$3:$B$2002,$A136,주문내역!$A$3:$A$2002,"&gt;="&amp;DATE($B$3,1,1),주문내역!$A$3:$A$2002,"&lt;="&amp;DATE($B$3,12,31)))</f>
        <v/>
      </c>
    </row>
    <row r="137" customFormat="false" ht="15" hidden="false" customHeight="true" outlineLevel="0" collapsed="false">
      <c r="A137" s="19" t="str">
        <f aca="false">IF(거래처목록!$A134="","",거래처목록!$A134)</f>
        <v/>
      </c>
      <c r="B137" s="19" t="str">
        <f aca="false">IF($A137="","",거래처목록!$B134)</f>
        <v/>
      </c>
      <c r="C137" s="20" t="str">
        <f aca="false">IF($A137="","",COUNTIFS(정기주문설정!$B$3:$B$302,$A137))</f>
        <v/>
      </c>
      <c r="D137" s="20" t="str">
        <f aca="false">IF($A137="","",COUNTIFS(주문내역!$B$3:$B$2002,$A137,주문내역!$A$3:$A$2002,"&gt;="&amp;DATE($B$3,1,1),주문내역!$A$3:$A$2002,"&lt;="&amp;DATE($B$3,12,31)))</f>
        <v/>
      </c>
      <c r="E137" s="20" t="str">
        <f aca="false">IF($A137="","",SUMIFS(주문내역!$G$3:$G$2002,주문내역!$B$3:$B$2002,$A137,주문내역!$A$3:$A$2002,"&gt;="&amp;DATE($B$3,1,1),주문내역!$A$3:$A$2002,"&lt;="&amp;DATE($B$3,12,31)))</f>
        <v/>
      </c>
      <c r="F137" s="12" t="str">
        <f aca="false">IF($A137="","",SUMIFS(주문내역!$I$3:$I$2002,주문내역!$B$3:$B$2002,$A137,주문내역!$A$3:$A$2002,"&gt;="&amp;DATE($B$3,1,1),주문내역!$A$3:$A$2002,"&lt;="&amp;DATE($B$3,12,31)))</f>
        <v/>
      </c>
    </row>
    <row r="138" customFormat="false" ht="15" hidden="false" customHeight="true" outlineLevel="0" collapsed="false">
      <c r="A138" s="19" t="str">
        <f aca="false">IF(거래처목록!$A135="","",거래처목록!$A135)</f>
        <v/>
      </c>
      <c r="B138" s="19" t="str">
        <f aca="false">IF($A138="","",거래처목록!$B135)</f>
        <v/>
      </c>
      <c r="C138" s="20" t="str">
        <f aca="false">IF($A138="","",COUNTIFS(정기주문설정!$B$3:$B$302,$A138))</f>
        <v/>
      </c>
      <c r="D138" s="20" t="str">
        <f aca="false">IF($A138="","",COUNTIFS(주문내역!$B$3:$B$2002,$A138,주문내역!$A$3:$A$2002,"&gt;="&amp;DATE($B$3,1,1),주문내역!$A$3:$A$2002,"&lt;="&amp;DATE($B$3,12,31)))</f>
        <v/>
      </c>
      <c r="E138" s="20" t="str">
        <f aca="false">IF($A138="","",SUMIFS(주문내역!$G$3:$G$2002,주문내역!$B$3:$B$2002,$A138,주문내역!$A$3:$A$2002,"&gt;="&amp;DATE($B$3,1,1),주문내역!$A$3:$A$2002,"&lt;="&amp;DATE($B$3,12,31)))</f>
        <v/>
      </c>
      <c r="F138" s="12" t="str">
        <f aca="false">IF($A138="","",SUMIFS(주문내역!$I$3:$I$2002,주문내역!$B$3:$B$2002,$A138,주문내역!$A$3:$A$2002,"&gt;="&amp;DATE($B$3,1,1),주문내역!$A$3:$A$2002,"&lt;="&amp;DATE($B$3,12,31)))</f>
        <v/>
      </c>
    </row>
    <row r="139" customFormat="false" ht="15" hidden="false" customHeight="true" outlineLevel="0" collapsed="false">
      <c r="A139" s="19" t="str">
        <f aca="false">IF(거래처목록!$A136="","",거래처목록!$A136)</f>
        <v/>
      </c>
      <c r="B139" s="19" t="str">
        <f aca="false">IF($A139="","",거래처목록!$B136)</f>
        <v/>
      </c>
      <c r="C139" s="20" t="str">
        <f aca="false">IF($A139="","",COUNTIFS(정기주문설정!$B$3:$B$302,$A139))</f>
        <v/>
      </c>
      <c r="D139" s="20" t="str">
        <f aca="false">IF($A139="","",COUNTIFS(주문내역!$B$3:$B$2002,$A139,주문내역!$A$3:$A$2002,"&gt;="&amp;DATE($B$3,1,1),주문내역!$A$3:$A$2002,"&lt;="&amp;DATE($B$3,12,31)))</f>
        <v/>
      </c>
      <c r="E139" s="20" t="str">
        <f aca="false">IF($A139="","",SUMIFS(주문내역!$G$3:$G$2002,주문내역!$B$3:$B$2002,$A139,주문내역!$A$3:$A$2002,"&gt;="&amp;DATE($B$3,1,1),주문내역!$A$3:$A$2002,"&lt;="&amp;DATE($B$3,12,31)))</f>
        <v/>
      </c>
      <c r="F139" s="12" t="str">
        <f aca="false">IF($A139="","",SUMIFS(주문내역!$I$3:$I$2002,주문내역!$B$3:$B$2002,$A139,주문내역!$A$3:$A$2002,"&gt;="&amp;DATE($B$3,1,1),주문내역!$A$3:$A$2002,"&lt;="&amp;DATE($B$3,12,31)))</f>
        <v/>
      </c>
    </row>
    <row r="140" customFormat="false" ht="15" hidden="false" customHeight="true" outlineLevel="0" collapsed="false">
      <c r="A140" s="19" t="str">
        <f aca="false">IF(거래처목록!$A137="","",거래처목록!$A137)</f>
        <v/>
      </c>
      <c r="B140" s="19" t="str">
        <f aca="false">IF($A140="","",거래처목록!$B137)</f>
        <v/>
      </c>
      <c r="C140" s="20" t="str">
        <f aca="false">IF($A140="","",COUNTIFS(정기주문설정!$B$3:$B$302,$A140))</f>
        <v/>
      </c>
      <c r="D140" s="20" t="str">
        <f aca="false">IF($A140="","",COUNTIFS(주문내역!$B$3:$B$2002,$A140,주문내역!$A$3:$A$2002,"&gt;="&amp;DATE($B$3,1,1),주문내역!$A$3:$A$2002,"&lt;="&amp;DATE($B$3,12,31)))</f>
        <v/>
      </c>
      <c r="E140" s="20" t="str">
        <f aca="false">IF($A140="","",SUMIFS(주문내역!$G$3:$G$2002,주문내역!$B$3:$B$2002,$A140,주문내역!$A$3:$A$2002,"&gt;="&amp;DATE($B$3,1,1),주문내역!$A$3:$A$2002,"&lt;="&amp;DATE($B$3,12,31)))</f>
        <v/>
      </c>
      <c r="F140" s="12" t="str">
        <f aca="false">IF($A140="","",SUMIFS(주문내역!$I$3:$I$2002,주문내역!$B$3:$B$2002,$A140,주문내역!$A$3:$A$2002,"&gt;="&amp;DATE($B$3,1,1),주문내역!$A$3:$A$2002,"&lt;="&amp;DATE($B$3,12,31)))</f>
        <v/>
      </c>
    </row>
    <row r="141" customFormat="false" ht="15" hidden="false" customHeight="true" outlineLevel="0" collapsed="false">
      <c r="A141" s="19" t="str">
        <f aca="false">IF(거래처목록!$A138="","",거래처목록!$A138)</f>
        <v/>
      </c>
      <c r="B141" s="19" t="str">
        <f aca="false">IF($A141="","",거래처목록!$B138)</f>
        <v/>
      </c>
      <c r="C141" s="20" t="str">
        <f aca="false">IF($A141="","",COUNTIFS(정기주문설정!$B$3:$B$302,$A141))</f>
        <v/>
      </c>
      <c r="D141" s="20" t="str">
        <f aca="false">IF($A141="","",COUNTIFS(주문내역!$B$3:$B$2002,$A141,주문내역!$A$3:$A$2002,"&gt;="&amp;DATE($B$3,1,1),주문내역!$A$3:$A$2002,"&lt;="&amp;DATE($B$3,12,31)))</f>
        <v/>
      </c>
      <c r="E141" s="20" t="str">
        <f aca="false">IF($A141="","",SUMIFS(주문내역!$G$3:$G$2002,주문내역!$B$3:$B$2002,$A141,주문내역!$A$3:$A$2002,"&gt;="&amp;DATE($B$3,1,1),주문내역!$A$3:$A$2002,"&lt;="&amp;DATE($B$3,12,31)))</f>
        <v/>
      </c>
      <c r="F141" s="12" t="str">
        <f aca="false">IF($A141="","",SUMIFS(주문내역!$I$3:$I$2002,주문내역!$B$3:$B$2002,$A141,주문내역!$A$3:$A$2002,"&gt;="&amp;DATE($B$3,1,1),주문내역!$A$3:$A$2002,"&lt;="&amp;DATE($B$3,12,31)))</f>
        <v/>
      </c>
    </row>
    <row r="142" customFormat="false" ht="15" hidden="false" customHeight="true" outlineLevel="0" collapsed="false">
      <c r="A142" s="19" t="str">
        <f aca="false">IF(거래처목록!$A139="","",거래처목록!$A139)</f>
        <v/>
      </c>
      <c r="B142" s="19" t="str">
        <f aca="false">IF($A142="","",거래처목록!$B139)</f>
        <v/>
      </c>
      <c r="C142" s="20" t="str">
        <f aca="false">IF($A142="","",COUNTIFS(정기주문설정!$B$3:$B$302,$A142))</f>
        <v/>
      </c>
      <c r="D142" s="20" t="str">
        <f aca="false">IF($A142="","",COUNTIFS(주문내역!$B$3:$B$2002,$A142,주문내역!$A$3:$A$2002,"&gt;="&amp;DATE($B$3,1,1),주문내역!$A$3:$A$2002,"&lt;="&amp;DATE($B$3,12,31)))</f>
        <v/>
      </c>
      <c r="E142" s="20" t="str">
        <f aca="false">IF($A142="","",SUMIFS(주문내역!$G$3:$G$2002,주문내역!$B$3:$B$2002,$A142,주문내역!$A$3:$A$2002,"&gt;="&amp;DATE($B$3,1,1),주문내역!$A$3:$A$2002,"&lt;="&amp;DATE($B$3,12,31)))</f>
        <v/>
      </c>
      <c r="F142" s="12" t="str">
        <f aca="false">IF($A142="","",SUMIFS(주문내역!$I$3:$I$2002,주문내역!$B$3:$B$2002,$A142,주문내역!$A$3:$A$2002,"&gt;="&amp;DATE($B$3,1,1),주문내역!$A$3:$A$2002,"&lt;="&amp;DATE($B$3,12,31)))</f>
        <v/>
      </c>
    </row>
    <row r="143" customFormat="false" ht="15" hidden="false" customHeight="true" outlineLevel="0" collapsed="false">
      <c r="A143" s="19" t="str">
        <f aca="false">IF(거래처목록!$A140="","",거래처목록!$A140)</f>
        <v/>
      </c>
      <c r="B143" s="19" t="str">
        <f aca="false">IF($A143="","",거래처목록!$B140)</f>
        <v/>
      </c>
      <c r="C143" s="20" t="str">
        <f aca="false">IF($A143="","",COUNTIFS(정기주문설정!$B$3:$B$302,$A143))</f>
        <v/>
      </c>
      <c r="D143" s="20" t="str">
        <f aca="false">IF($A143="","",COUNTIFS(주문내역!$B$3:$B$2002,$A143,주문내역!$A$3:$A$2002,"&gt;="&amp;DATE($B$3,1,1),주문내역!$A$3:$A$2002,"&lt;="&amp;DATE($B$3,12,31)))</f>
        <v/>
      </c>
      <c r="E143" s="20" t="str">
        <f aca="false">IF($A143="","",SUMIFS(주문내역!$G$3:$G$2002,주문내역!$B$3:$B$2002,$A143,주문내역!$A$3:$A$2002,"&gt;="&amp;DATE($B$3,1,1),주문내역!$A$3:$A$2002,"&lt;="&amp;DATE($B$3,12,31)))</f>
        <v/>
      </c>
      <c r="F143" s="12" t="str">
        <f aca="false">IF($A143="","",SUMIFS(주문내역!$I$3:$I$2002,주문내역!$B$3:$B$2002,$A143,주문내역!$A$3:$A$2002,"&gt;="&amp;DATE($B$3,1,1),주문내역!$A$3:$A$2002,"&lt;="&amp;DATE($B$3,12,31)))</f>
        <v/>
      </c>
    </row>
    <row r="144" customFormat="false" ht="15" hidden="false" customHeight="true" outlineLevel="0" collapsed="false">
      <c r="A144" s="19" t="str">
        <f aca="false">IF(거래처목록!$A141="","",거래처목록!$A141)</f>
        <v/>
      </c>
      <c r="B144" s="19" t="str">
        <f aca="false">IF($A144="","",거래처목록!$B141)</f>
        <v/>
      </c>
      <c r="C144" s="20" t="str">
        <f aca="false">IF($A144="","",COUNTIFS(정기주문설정!$B$3:$B$302,$A144))</f>
        <v/>
      </c>
      <c r="D144" s="20" t="str">
        <f aca="false">IF($A144="","",COUNTIFS(주문내역!$B$3:$B$2002,$A144,주문내역!$A$3:$A$2002,"&gt;="&amp;DATE($B$3,1,1),주문내역!$A$3:$A$2002,"&lt;="&amp;DATE($B$3,12,31)))</f>
        <v/>
      </c>
      <c r="E144" s="20" t="str">
        <f aca="false">IF($A144="","",SUMIFS(주문내역!$G$3:$G$2002,주문내역!$B$3:$B$2002,$A144,주문내역!$A$3:$A$2002,"&gt;="&amp;DATE($B$3,1,1),주문내역!$A$3:$A$2002,"&lt;="&amp;DATE($B$3,12,31)))</f>
        <v/>
      </c>
      <c r="F144" s="12" t="str">
        <f aca="false">IF($A144="","",SUMIFS(주문내역!$I$3:$I$2002,주문내역!$B$3:$B$2002,$A144,주문내역!$A$3:$A$2002,"&gt;="&amp;DATE($B$3,1,1),주문내역!$A$3:$A$2002,"&lt;="&amp;DATE($B$3,12,31)))</f>
        <v/>
      </c>
    </row>
    <row r="145" customFormat="false" ht="15" hidden="false" customHeight="true" outlineLevel="0" collapsed="false">
      <c r="A145" s="19" t="str">
        <f aca="false">IF(거래처목록!$A142="","",거래처목록!$A142)</f>
        <v/>
      </c>
      <c r="B145" s="19" t="str">
        <f aca="false">IF($A145="","",거래처목록!$B142)</f>
        <v/>
      </c>
      <c r="C145" s="20" t="str">
        <f aca="false">IF($A145="","",COUNTIFS(정기주문설정!$B$3:$B$302,$A145))</f>
        <v/>
      </c>
      <c r="D145" s="20" t="str">
        <f aca="false">IF($A145="","",COUNTIFS(주문내역!$B$3:$B$2002,$A145,주문내역!$A$3:$A$2002,"&gt;="&amp;DATE($B$3,1,1),주문내역!$A$3:$A$2002,"&lt;="&amp;DATE($B$3,12,31)))</f>
        <v/>
      </c>
      <c r="E145" s="20" t="str">
        <f aca="false">IF($A145="","",SUMIFS(주문내역!$G$3:$G$2002,주문내역!$B$3:$B$2002,$A145,주문내역!$A$3:$A$2002,"&gt;="&amp;DATE($B$3,1,1),주문내역!$A$3:$A$2002,"&lt;="&amp;DATE($B$3,12,31)))</f>
        <v/>
      </c>
      <c r="F145" s="12" t="str">
        <f aca="false">IF($A145="","",SUMIFS(주문내역!$I$3:$I$2002,주문내역!$B$3:$B$2002,$A145,주문내역!$A$3:$A$2002,"&gt;="&amp;DATE($B$3,1,1),주문내역!$A$3:$A$2002,"&lt;="&amp;DATE($B$3,12,31)))</f>
        <v/>
      </c>
    </row>
    <row r="146" customFormat="false" ht="15" hidden="false" customHeight="true" outlineLevel="0" collapsed="false">
      <c r="A146" s="19" t="str">
        <f aca="false">IF(거래처목록!$A143="","",거래처목록!$A143)</f>
        <v/>
      </c>
      <c r="B146" s="19" t="str">
        <f aca="false">IF($A146="","",거래처목록!$B143)</f>
        <v/>
      </c>
      <c r="C146" s="20" t="str">
        <f aca="false">IF($A146="","",COUNTIFS(정기주문설정!$B$3:$B$302,$A146))</f>
        <v/>
      </c>
      <c r="D146" s="20" t="str">
        <f aca="false">IF($A146="","",COUNTIFS(주문내역!$B$3:$B$2002,$A146,주문내역!$A$3:$A$2002,"&gt;="&amp;DATE($B$3,1,1),주문내역!$A$3:$A$2002,"&lt;="&amp;DATE($B$3,12,31)))</f>
        <v/>
      </c>
      <c r="E146" s="20" t="str">
        <f aca="false">IF($A146="","",SUMIFS(주문내역!$G$3:$G$2002,주문내역!$B$3:$B$2002,$A146,주문내역!$A$3:$A$2002,"&gt;="&amp;DATE($B$3,1,1),주문내역!$A$3:$A$2002,"&lt;="&amp;DATE($B$3,12,31)))</f>
        <v/>
      </c>
      <c r="F146" s="12" t="str">
        <f aca="false">IF($A146="","",SUMIFS(주문내역!$I$3:$I$2002,주문내역!$B$3:$B$2002,$A146,주문내역!$A$3:$A$2002,"&gt;="&amp;DATE($B$3,1,1),주문내역!$A$3:$A$2002,"&lt;="&amp;DATE($B$3,12,31)))</f>
        <v/>
      </c>
    </row>
    <row r="147" customFormat="false" ht="15" hidden="false" customHeight="true" outlineLevel="0" collapsed="false">
      <c r="A147" s="19" t="str">
        <f aca="false">IF(거래처목록!$A144="","",거래처목록!$A144)</f>
        <v/>
      </c>
      <c r="B147" s="19" t="str">
        <f aca="false">IF($A147="","",거래처목록!$B144)</f>
        <v/>
      </c>
      <c r="C147" s="20" t="str">
        <f aca="false">IF($A147="","",COUNTIFS(정기주문설정!$B$3:$B$302,$A147))</f>
        <v/>
      </c>
      <c r="D147" s="20" t="str">
        <f aca="false">IF($A147="","",COUNTIFS(주문내역!$B$3:$B$2002,$A147,주문내역!$A$3:$A$2002,"&gt;="&amp;DATE($B$3,1,1),주문내역!$A$3:$A$2002,"&lt;="&amp;DATE($B$3,12,31)))</f>
        <v/>
      </c>
      <c r="E147" s="20" t="str">
        <f aca="false">IF($A147="","",SUMIFS(주문내역!$G$3:$G$2002,주문내역!$B$3:$B$2002,$A147,주문내역!$A$3:$A$2002,"&gt;="&amp;DATE($B$3,1,1),주문내역!$A$3:$A$2002,"&lt;="&amp;DATE($B$3,12,31)))</f>
        <v/>
      </c>
      <c r="F147" s="12" t="str">
        <f aca="false">IF($A147="","",SUMIFS(주문내역!$I$3:$I$2002,주문내역!$B$3:$B$2002,$A147,주문내역!$A$3:$A$2002,"&gt;="&amp;DATE($B$3,1,1),주문내역!$A$3:$A$2002,"&lt;="&amp;DATE($B$3,12,31)))</f>
        <v/>
      </c>
    </row>
    <row r="148" customFormat="false" ht="15" hidden="false" customHeight="true" outlineLevel="0" collapsed="false">
      <c r="A148" s="19" t="str">
        <f aca="false">IF(거래처목록!$A145="","",거래처목록!$A145)</f>
        <v/>
      </c>
      <c r="B148" s="19" t="str">
        <f aca="false">IF($A148="","",거래처목록!$B145)</f>
        <v/>
      </c>
      <c r="C148" s="20" t="str">
        <f aca="false">IF($A148="","",COUNTIFS(정기주문설정!$B$3:$B$302,$A148))</f>
        <v/>
      </c>
      <c r="D148" s="20" t="str">
        <f aca="false">IF($A148="","",COUNTIFS(주문내역!$B$3:$B$2002,$A148,주문내역!$A$3:$A$2002,"&gt;="&amp;DATE($B$3,1,1),주문내역!$A$3:$A$2002,"&lt;="&amp;DATE($B$3,12,31)))</f>
        <v/>
      </c>
      <c r="E148" s="20" t="str">
        <f aca="false">IF($A148="","",SUMIFS(주문내역!$G$3:$G$2002,주문내역!$B$3:$B$2002,$A148,주문내역!$A$3:$A$2002,"&gt;="&amp;DATE($B$3,1,1),주문내역!$A$3:$A$2002,"&lt;="&amp;DATE($B$3,12,31)))</f>
        <v/>
      </c>
      <c r="F148" s="12" t="str">
        <f aca="false">IF($A148="","",SUMIFS(주문내역!$I$3:$I$2002,주문내역!$B$3:$B$2002,$A148,주문내역!$A$3:$A$2002,"&gt;="&amp;DATE($B$3,1,1),주문내역!$A$3:$A$2002,"&lt;="&amp;DATE($B$3,12,31)))</f>
        <v/>
      </c>
    </row>
    <row r="149" customFormat="false" ht="15" hidden="false" customHeight="true" outlineLevel="0" collapsed="false">
      <c r="A149" s="19" t="str">
        <f aca="false">IF(거래처목록!$A146="","",거래처목록!$A146)</f>
        <v/>
      </c>
      <c r="B149" s="19" t="str">
        <f aca="false">IF($A149="","",거래처목록!$B146)</f>
        <v/>
      </c>
      <c r="C149" s="20" t="str">
        <f aca="false">IF($A149="","",COUNTIFS(정기주문설정!$B$3:$B$302,$A149))</f>
        <v/>
      </c>
      <c r="D149" s="20" t="str">
        <f aca="false">IF($A149="","",COUNTIFS(주문내역!$B$3:$B$2002,$A149,주문내역!$A$3:$A$2002,"&gt;="&amp;DATE($B$3,1,1),주문내역!$A$3:$A$2002,"&lt;="&amp;DATE($B$3,12,31)))</f>
        <v/>
      </c>
      <c r="E149" s="20" t="str">
        <f aca="false">IF($A149="","",SUMIFS(주문내역!$G$3:$G$2002,주문내역!$B$3:$B$2002,$A149,주문내역!$A$3:$A$2002,"&gt;="&amp;DATE($B$3,1,1),주문내역!$A$3:$A$2002,"&lt;="&amp;DATE($B$3,12,31)))</f>
        <v/>
      </c>
      <c r="F149" s="12" t="str">
        <f aca="false">IF($A149="","",SUMIFS(주문내역!$I$3:$I$2002,주문내역!$B$3:$B$2002,$A149,주문내역!$A$3:$A$2002,"&gt;="&amp;DATE($B$3,1,1),주문내역!$A$3:$A$2002,"&lt;="&amp;DATE($B$3,12,31)))</f>
        <v/>
      </c>
    </row>
    <row r="150" customFormat="false" ht="15" hidden="false" customHeight="true" outlineLevel="0" collapsed="false">
      <c r="A150" s="19" t="str">
        <f aca="false">IF(거래처목록!$A147="","",거래처목록!$A147)</f>
        <v/>
      </c>
      <c r="B150" s="19" t="str">
        <f aca="false">IF($A150="","",거래처목록!$B147)</f>
        <v/>
      </c>
      <c r="C150" s="20" t="str">
        <f aca="false">IF($A150="","",COUNTIFS(정기주문설정!$B$3:$B$302,$A150))</f>
        <v/>
      </c>
      <c r="D150" s="20" t="str">
        <f aca="false">IF($A150="","",COUNTIFS(주문내역!$B$3:$B$2002,$A150,주문내역!$A$3:$A$2002,"&gt;="&amp;DATE($B$3,1,1),주문내역!$A$3:$A$2002,"&lt;="&amp;DATE($B$3,12,31)))</f>
        <v/>
      </c>
      <c r="E150" s="20" t="str">
        <f aca="false">IF($A150="","",SUMIFS(주문내역!$G$3:$G$2002,주문내역!$B$3:$B$2002,$A150,주문내역!$A$3:$A$2002,"&gt;="&amp;DATE($B$3,1,1),주문내역!$A$3:$A$2002,"&lt;="&amp;DATE($B$3,12,31)))</f>
        <v/>
      </c>
      <c r="F150" s="12" t="str">
        <f aca="false">IF($A150="","",SUMIFS(주문내역!$I$3:$I$2002,주문내역!$B$3:$B$2002,$A150,주문내역!$A$3:$A$2002,"&gt;="&amp;DATE($B$3,1,1),주문내역!$A$3:$A$2002,"&lt;="&amp;DATE($B$3,12,31)))</f>
        <v/>
      </c>
    </row>
    <row r="151" customFormat="false" ht="15" hidden="false" customHeight="true" outlineLevel="0" collapsed="false">
      <c r="A151" s="19" t="str">
        <f aca="false">IF(거래처목록!$A148="","",거래처목록!$A148)</f>
        <v/>
      </c>
      <c r="B151" s="19" t="str">
        <f aca="false">IF($A151="","",거래처목록!$B148)</f>
        <v/>
      </c>
      <c r="C151" s="20" t="str">
        <f aca="false">IF($A151="","",COUNTIFS(정기주문설정!$B$3:$B$302,$A151))</f>
        <v/>
      </c>
      <c r="D151" s="20" t="str">
        <f aca="false">IF($A151="","",COUNTIFS(주문내역!$B$3:$B$2002,$A151,주문내역!$A$3:$A$2002,"&gt;="&amp;DATE($B$3,1,1),주문내역!$A$3:$A$2002,"&lt;="&amp;DATE($B$3,12,31)))</f>
        <v/>
      </c>
      <c r="E151" s="20" t="str">
        <f aca="false">IF($A151="","",SUMIFS(주문내역!$G$3:$G$2002,주문내역!$B$3:$B$2002,$A151,주문내역!$A$3:$A$2002,"&gt;="&amp;DATE($B$3,1,1),주문내역!$A$3:$A$2002,"&lt;="&amp;DATE($B$3,12,31)))</f>
        <v/>
      </c>
      <c r="F151" s="12" t="str">
        <f aca="false">IF($A151="","",SUMIFS(주문내역!$I$3:$I$2002,주문내역!$B$3:$B$2002,$A151,주문내역!$A$3:$A$2002,"&gt;="&amp;DATE($B$3,1,1),주문내역!$A$3:$A$2002,"&lt;="&amp;DATE($B$3,12,31)))</f>
        <v/>
      </c>
    </row>
    <row r="152" customFormat="false" ht="15" hidden="false" customHeight="true" outlineLevel="0" collapsed="false">
      <c r="A152" s="19" t="str">
        <f aca="false">IF(거래처목록!$A149="","",거래처목록!$A149)</f>
        <v/>
      </c>
      <c r="B152" s="19" t="str">
        <f aca="false">IF($A152="","",거래처목록!$B149)</f>
        <v/>
      </c>
      <c r="C152" s="20" t="str">
        <f aca="false">IF($A152="","",COUNTIFS(정기주문설정!$B$3:$B$302,$A152))</f>
        <v/>
      </c>
      <c r="D152" s="20" t="str">
        <f aca="false">IF($A152="","",COUNTIFS(주문내역!$B$3:$B$2002,$A152,주문내역!$A$3:$A$2002,"&gt;="&amp;DATE($B$3,1,1),주문내역!$A$3:$A$2002,"&lt;="&amp;DATE($B$3,12,31)))</f>
        <v/>
      </c>
      <c r="E152" s="20" t="str">
        <f aca="false">IF($A152="","",SUMIFS(주문내역!$G$3:$G$2002,주문내역!$B$3:$B$2002,$A152,주문내역!$A$3:$A$2002,"&gt;="&amp;DATE($B$3,1,1),주문내역!$A$3:$A$2002,"&lt;="&amp;DATE($B$3,12,31)))</f>
        <v/>
      </c>
      <c r="F152" s="12" t="str">
        <f aca="false">IF($A152="","",SUMIFS(주문내역!$I$3:$I$2002,주문내역!$B$3:$B$2002,$A152,주문내역!$A$3:$A$2002,"&gt;="&amp;DATE($B$3,1,1),주문내역!$A$3:$A$2002,"&lt;="&amp;DATE($B$3,12,31)))</f>
        <v/>
      </c>
    </row>
    <row r="153" customFormat="false" ht="15" hidden="false" customHeight="true" outlineLevel="0" collapsed="false">
      <c r="A153" s="19" t="str">
        <f aca="false">IF(거래처목록!$A150="","",거래처목록!$A150)</f>
        <v/>
      </c>
      <c r="B153" s="19" t="str">
        <f aca="false">IF($A153="","",거래처목록!$B150)</f>
        <v/>
      </c>
      <c r="C153" s="20" t="str">
        <f aca="false">IF($A153="","",COUNTIFS(정기주문설정!$B$3:$B$302,$A153))</f>
        <v/>
      </c>
      <c r="D153" s="20" t="str">
        <f aca="false">IF($A153="","",COUNTIFS(주문내역!$B$3:$B$2002,$A153,주문내역!$A$3:$A$2002,"&gt;="&amp;DATE($B$3,1,1),주문내역!$A$3:$A$2002,"&lt;="&amp;DATE($B$3,12,31)))</f>
        <v/>
      </c>
      <c r="E153" s="20" t="str">
        <f aca="false">IF($A153="","",SUMIFS(주문내역!$G$3:$G$2002,주문내역!$B$3:$B$2002,$A153,주문내역!$A$3:$A$2002,"&gt;="&amp;DATE($B$3,1,1),주문내역!$A$3:$A$2002,"&lt;="&amp;DATE($B$3,12,31)))</f>
        <v/>
      </c>
      <c r="F153" s="12" t="str">
        <f aca="false">IF($A153="","",SUMIFS(주문내역!$I$3:$I$2002,주문내역!$B$3:$B$2002,$A153,주문내역!$A$3:$A$2002,"&gt;="&amp;DATE($B$3,1,1),주문내역!$A$3:$A$2002,"&lt;="&amp;DATE($B$3,12,31)))</f>
        <v/>
      </c>
    </row>
    <row r="154" customFormat="false" ht="15" hidden="false" customHeight="true" outlineLevel="0" collapsed="false">
      <c r="A154" s="19" t="str">
        <f aca="false">IF(거래처목록!$A151="","",거래처목록!$A151)</f>
        <v/>
      </c>
      <c r="B154" s="19" t="str">
        <f aca="false">IF($A154="","",거래처목록!$B151)</f>
        <v/>
      </c>
      <c r="C154" s="20" t="str">
        <f aca="false">IF($A154="","",COUNTIFS(정기주문설정!$B$3:$B$302,$A154))</f>
        <v/>
      </c>
      <c r="D154" s="20" t="str">
        <f aca="false">IF($A154="","",COUNTIFS(주문내역!$B$3:$B$2002,$A154,주문내역!$A$3:$A$2002,"&gt;="&amp;DATE($B$3,1,1),주문내역!$A$3:$A$2002,"&lt;="&amp;DATE($B$3,12,31)))</f>
        <v/>
      </c>
      <c r="E154" s="20" t="str">
        <f aca="false">IF($A154="","",SUMIFS(주문내역!$G$3:$G$2002,주문내역!$B$3:$B$2002,$A154,주문내역!$A$3:$A$2002,"&gt;="&amp;DATE($B$3,1,1),주문내역!$A$3:$A$2002,"&lt;="&amp;DATE($B$3,12,31)))</f>
        <v/>
      </c>
      <c r="F154" s="12" t="str">
        <f aca="false">IF($A154="","",SUMIFS(주문내역!$I$3:$I$2002,주문내역!$B$3:$B$2002,$A154,주문내역!$A$3:$A$2002,"&gt;="&amp;DATE($B$3,1,1),주문내역!$A$3:$A$2002,"&lt;="&amp;DATE($B$3,12,31)))</f>
        <v/>
      </c>
    </row>
    <row r="155" customFormat="false" ht="15" hidden="false" customHeight="true" outlineLevel="0" collapsed="false">
      <c r="A155" s="19" t="str">
        <f aca="false">IF(거래처목록!$A152="","",거래처목록!$A152)</f>
        <v/>
      </c>
      <c r="B155" s="19" t="str">
        <f aca="false">IF($A155="","",거래처목록!$B152)</f>
        <v/>
      </c>
      <c r="C155" s="20" t="str">
        <f aca="false">IF($A155="","",COUNTIFS(정기주문설정!$B$3:$B$302,$A155))</f>
        <v/>
      </c>
      <c r="D155" s="20" t="str">
        <f aca="false">IF($A155="","",COUNTIFS(주문내역!$B$3:$B$2002,$A155,주문내역!$A$3:$A$2002,"&gt;="&amp;DATE($B$3,1,1),주문내역!$A$3:$A$2002,"&lt;="&amp;DATE($B$3,12,31)))</f>
        <v/>
      </c>
      <c r="E155" s="20" t="str">
        <f aca="false">IF($A155="","",SUMIFS(주문내역!$G$3:$G$2002,주문내역!$B$3:$B$2002,$A155,주문내역!$A$3:$A$2002,"&gt;="&amp;DATE($B$3,1,1),주문내역!$A$3:$A$2002,"&lt;="&amp;DATE($B$3,12,31)))</f>
        <v/>
      </c>
      <c r="F155" s="12" t="str">
        <f aca="false">IF($A155="","",SUMIFS(주문내역!$I$3:$I$2002,주문내역!$B$3:$B$2002,$A155,주문내역!$A$3:$A$2002,"&gt;="&amp;DATE($B$3,1,1),주문내역!$A$3:$A$2002,"&lt;="&amp;DATE($B$3,12,31)))</f>
        <v/>
      </c>
    </row>
    <row r="156" customFormat="false" ht="15" hidden="false" customHeight="true" outlineLevel="0" collapsed="false">
      <c r="A156" s="19" t="str">
        <f aca="false">IF(거래처목록!$A153="","",거래처목록!$A153)</f>
        <v/>
      </c>
      <c r="B156" s="19" t="str">
        <f aca="false">IF($A156="","",거래처목록!$B153)</f>
        <v/>
      </c>
      <c r="C156" s="20" t="str">
        <f aca="false">IF($A156="","",COUNTIFS(정기주문설정!$B$3:$B$302,$A156))</f>
        <v/>
      </c>
      <c r="D156" s="20" t="str">
        <f aca="false">IF($A156="","",COUNTIFS(주문내역!$B$3:$B$2002,$A156,주문내역!$A$3:$A$2002,"&gt;="&amp;DATE($B$3,1,1),주문내역!$A$3:$A$2002,"&lt;="&amp;DATE($B$3,12,31)))</f>
        <v/>
      </c>
      <c r="E156" s="20" t="str">
        <f aca="false">IF($A156="","",SUMIFS(주문내역!$G$3:$G$2002,주문내역!$B$3:$B$2002,$A156,주문내역!$A$3:$A$2002,"&gt;="&amp;DATE($B$3,1,1),주문내역!$A$3:$A$2002,"&lt;="&amp;DATE($B$3,12,31)))</f>
        <v/>
      </c>
      <c r="F156" s="12" t="str">
        <f aca="false">IF($A156="","",SUMIFS(주문내역!$I$3:$I$2002,주문내역!$B$3:$B$2002,$A156,주문내역!$A$3:$A$2002,"&gt;="&amp;DATE($B$3,1,1),주문내역!$A$3:$A$2002,"&lt;="&amp;DATE($B$3,12,31)))</f>
        <v/>
      </c>
    </row>
    <row r="157" customFormat="false" ht="15" hidden="false" customHeight="true" outlineLevel="0" collapsed="false">
      <c r="A157" s="19" t="str">
        <f aca="false">IF(거래처목록!$A154="","",거래처목록!$A154)</f>
        <v/>
      </c>
      <c r="B157" s="19" t="str">
        <f aca="false">IF($A157="","",거래처목록!$B154)</f>
        <v/>
      </c>
      <c r="C157" s="20" t="str">
        <f aca="false">IF($A157="","",COUNTIFS(정기주문설정!$B$3:$B$302,$A157))</f>
        <v/>
      </c>
      <c r="D157" s="20" t="str">
        <f aca="false">IF($A157="","",COUNTIFS(주문내역!$B$3:$B$2002,$A157,주문내역!$A$3:$A$2002,"&gt;="&amp;DATE($B$3,1,1),주문내역!$A$3:$A$2002,"&lt;="&amp;DATE($B$3,12,31)))</f>
        <v/>
      </c>
      <c r="E157" s="20" t="str">
        <f aca="false">IF($A157="","",SUMIFS(주문내역!$G$3:$G$2002,주문내역!$B$3:$B$2002,$A157,주문내역!$A$3:$A$2002,"&gt;="&amp;DATE($B$3,1,1),주문내역!$A$3:$A$2002,"&lt;="&amp;DATE($B$3,12,31)))</f>
        <v/>
      </c>
      <c r="F157" s="12" t="str">
        <f aca="false">IF($A157="","",SUMIFS(주문내역!$I$3:$I$2002,주문내역!$B$3:$B$2002,$A157,주문내역!$A$3:$A$2002,"&gt;="&amp;DATE($B$3,1,1),주문내역!$A$3:$A$2002,"&lt;="&amp;DATE($B$3,12,31)))</f>
        <v/>
      </c>
    </row>
    <row r="158" customFormat="false" ht="15" hidden="false" customHeight="true" outlineLevel="0" collapsed="false">
      <c r="A158" s="19" t="str">
        <f aca="false">IF(거래처목록!$A155="","",거래처목록!$A155)</f>
        <v/>
      </c>
      <c r="B158" s="19" t="str">
        <f aca="false">IF($A158="","",거래처목록!$B155)</f>
        <v/>
      </c>
      <c r="C158" s="20" t="str">
        <f aca="false">IF($A158="","",COUNTIFS(정기주문설정!$B$3:$B$302,$A158))</f>
        <v/>
      </c>
      <c r="D158" s="20" t="str">
        <f aca="false">IF($A158="","",COUNTIFS(주문내역!$B$3:$B$2002,$A158,주문내역!$A$3:$A$2002,"&gt;="&amp;DATE($B$3,1,1),주문내역!$A$3:$A$2002,"&lt;="&amp;DATE($B$3,12,31)))</f>
        <v/>
      </c>
      <c r="E158" s="20" t="str">
        <f aca="false">IF($A158="","",SUMIFS(주문내역!$G$3:$G$2002,주문내역!$B$3:$B$2002,$A158,주문내역!$A$3:$A$2002,"&gt;="&amp;DATE($B$3,1,1),주문내역!$A$3:$A$2002,"&lt;="&amp;DATE($B$3,12,31)))</f>
        <v/>
      </c>
      <c r="F158" s="12" t="str">
        <f aca="false">IF($A158="","",SUMIFS(주문내역!$I$3:$I$2002,주문내역!$B$3:$B$2002,$A158,주문내역!$A$3:$A$2002,"&gt;="&amp;DATE($B$3,1,1),주문내역!$A$3:$A$2002,"&lt;="&amp;DATE($B$3,12,31)))</f>
        <v/>
      </c>
    </row>
    <row r="159" customFormat="false" ht="15" hidden="false" customHeight="true" outlineLevel="0" collapsed="false">
      <c r="A159" s="19" t="str">
        <f aca="false">IF(거래처목록!$A156="","",거래처목록!$A156)</f>
        <v/>
      </c>
      <c r="B159" s="19" t="str">
        <f aca="false">IF($A159="","",거래처목록!$B156)</f>
        <v/>
      </c>
      <c r="C159" s="20" t="str">
        <f aca="false">IF($A159="","",COUNTIFS(정기주문설정!$B$3:$B$302,$A159))</f>
        <v/>
      </c>
      <c r="D159" s="20" t="str">
        <f aca="false">IF($A159="","",COUNTIFS(주문내역!$B$3:$B$2002,$A159,주문내역!$A$3:$A$2002,"&gt;="&amp;DATE($B$3,1,1),주문내역!$A$3:$A$2002,"&lt;="&amp;DATE($B$3,12,31)))</f>
        <v/>
      </c>
      <c r="E159" s="20" t="str">
        <f aca="false">IF($A159="","",SUMIFS(주문내역!$G$3:$G$2002,주문내역!$B$3:$B$2002,$A159,주문내역!$A$3:$A$2002,"&gt;="&amp;DATE($B$3,1,1),주문내역!$A$3:$A$2002,"&lt;="&amp;DATE($B$3,12,31)))</f>
        <v/>
      </c>
      <c r="F159" s="12" t="str">
        <f aca="false">IF($A159="","",SUMIFS(주문내역!$I$3:$I$2002,주문내역!$B$3:$B$2002,$A159,주문내역!$A$3:$A$2002,"&gt;="&amp;DATE($B$3,1,1),주문내역!$A$3:$A$2002,"&lt;="&amp;DATE($B$3,12,31)))</f>
        <v/>
      </c>
    </row>
    <row r="160" customFormat="false" ht="15" hidden="false" customHeight="true" outlineLevel="0" collapsed="false">
      <c r="A160" s="19" t="str">
        <f aca="false">IF(거래처목록!$A157="","",거래처목록!$A157)</f>
        <v/>
      </c>
      <c r="B160" s="19" t="str">
        <f aca="false">IF($A160="","",거래처목록!$B157)</f>
        <v/>
      </c>
      <c r="C160" s="20" t="str">
        <f aca="false">IF($A160="","",COUNTIFS(정기주문설정!$B$3:$B$302,$A160))</f>
        <v/>
      </c>
      <c r="D160" s="20" t="str">
        <f aca="false">IF($A160="","",COUNTIFS(주문내역!$B$3:$B$2002,$A160,주문내역!$A$3:$A$2002,"&gt;="&amp;DATE($B$3,1,1),주문내역!$A$3:$A$2002,"&lt;="&amp;DATE($B$3,12,31)))</f>
        <v/>
      </c>
      <c r="E160" s="20" t="str">
        <f aca="false">IF($A160="","",SUMIFS(주문내역!$G$3:$G$2002,주문내역!$B$3:$B$2002,$A160,주문내역!$A$3:$A$2002,"&gt;="&amp;DATE($B$3,1,1),주문내역!$A$3:$A$2002,"&lt;="&amp;DATE($B$3,12,31)))</f>
        <v/>
      </c>
      <c r="F160" s="12" t="str">
        <f aca="false">IF($A160="","",SUMIFS(주문내역!$I$3:$I$2002,주문내역!$B$3:$B$2002,$A160,주문내역!$A$3:$A$2002,"&gt;="&amp;DATE($B$3,1,1),주문내역!$A$3:$A$2002,"&lt;="&amp;DATE($B$3,12,31)))</f>
        <v/>
      </c>
    </row>
    <row r="161" customFormat="false" ht="15" hidden="false" customHeight="true" outlineLevel="0" collapsed="false">
      <c r="A161" s="19" t="str">
        <f aca="false">IF(거래처목록!$A158="","",거래처목록!$A158)</f>
        <v/>
      </c>
      <c r="B161" s="19" t="str">
        <f aca="false">IF($A161="","",거래처목록!$B158)</f>
        <v/>
      </c>
      <c r="C161" s="20" t="str">
        <f aca="false">IF($A161="","",COUNTIFS(정기주문설정!$B$3:$B$302,$A161))</f>
        <v/>
      </c>
      <c r="D161" s="20" t="str">
        <f aca="false">IF($A161="","",COUNTIFS(주문내역!$B$3:$B$2002,$A161,주문내역!$A$3:$A$2002,"&gt;="&amp;DATE($B$3,1,1),주문내역!$A$3:$A$2002,"&lt;="&amp;DATE($B$3,12,31)))</f>
        <v/>
      </c>
      <c r="E161" s="20" t="str">
        <f aca="false">IF($A161="","",SUMIFS(주문내역!$G$3:$G$2002,주문내역!$B$3:$B$2002,$A161,주문내역!$A$3:$A$2002,"&gt;="&amp;DATE($B$3,1,1),주문내역!$A$3:$A$2002,"&lt;="&amp;DATE($B$3,12,31)))</f>
        <v/>
      </c>
      <c r="F161" s="12" t="str">
        <f aca="false">IF($A161="","",SUMIFS(주문내역!$I$3:$I$2002,주문내역!$B$3:$B$2002,$A161,주문내역!$A$3:$A$2002,"&gt;="&amp;DATE($B$3,1,1),주문내역!$A$3:$A$2002,"&lt;="&amp;DATE($B$3,12,31)))</f>
        <v/>
      </c>
    </row>
    <row r="162" customFormat="false" ht="15" hidden="false" customHeight="true" outlineLevel="0" collapsed="false">
      <c r="A162" s="19" t="str">
        <f aca="false">IF(거래처목록!$A159="","",거래처목록!$A159)</f>
        <v/>
      </c>
      <c r="B162" s="19" t="str">
        <f aca="false">IF($A162="","",거래처목록!$B159)</f>
        <v/>
      </c>
      <c r="C162" s="20" t="str">
        <f aca="false">IF($A162="","",COUNTIFS(정기주문설정!$B$3:$B$302,$A162))</f>
        <v/>
      </c>
      <c r="D162" s="20" t="str">
        <f aca="false">IF($A162="","",COUNTIFS(주문내역!$B$3:$B$2002,$A162,주문내역!$A$3:$A$2002,"&gt;="&amp;DATE($B$3,1,1),주문내역!$A$3:$A$2002,"&lt;="&amp;DATE($B$3,12,31)))</f>
        <v/>
      </c>
      <c r="E162" s="20" t="str">
        <f aca="false">IF($A162="","",SUMIFS(주문내역!$G$3:$G$2002,주문내역!$B$3:$B$2002,$A162,주문내역!$A$3:$A$2002,"&gt;="&amp;DATE($B$3,1,1),주문내역!$A$3:$A$2002,"&lt;="&amp;DATE($B$3,12,31)))</f>
        <v/>
      </c>
      <c r="F162" s="12" t="str">
        <f aca="false">IF($A162="","",SUMIFS(주문내역!$I$3:$I$2002,주문내역!$B$3:$B$2002,$A162,주문내역!$A$3:$A$2002,"&gt;="&amp;DATE($B$3,1,1),주문내역!$A$3:$A$2002,"&lt;="&amp;DATE($B$3,12,31)))</f>
        <v/>
      </c>
    </row>
    <row r="163" customFormat="false" ht="15" hidden="false" customHeight="true" outlineLevel="0" collapsed="false">
      <c r="A163" s="19" t="str">
        <f aca="false">IF(거래처목록!$A160="","",거래처목록!$A160)</f>
        <v/>
      </c>
      <c r="B163" s="19" t="str">
        <f aca="false">IF($A163="","",거래처목록!$B160)</f>
        <v/>
      </c>
      <c r="C163" s="20" t="str">
        <f aca="false">IF($A163="","",COUNTIFS(정기주문설정!$B$3:$B$302,$A163))</f>
        <v/>
      </c>
      <c r="D163" s="20" t="str">
        <f aca="false">IF($A163="","",COUNTIFS(주문내역!$B$3:$B$2002,$A163,주문내역!$A$3:$A$2002,"&gt;="&amp;DATE($B$3,1,1),주문내역!$A$3:$A$2002,"&lt;="&amp;DATE($B$3,12,31)))</f>
        <v/>
      </c>
      <c r="E163" s="20" t="str">
        <f aca="false">IF($A163="","",SUMIFS(주문내역!$G$3:$G$2002,주문내역!$B$3:$B$2002,$A163,주문내역!$A$3:$A$2002,"&gt;="&amp;DATE($B$3,1,1),주문내역!$A$3:$A$2002,"&lt;="&amp;DATE($B$3,12,31)))</f>
        <v/>
      </c>
      <c r="F163" s="12" t="str">
        <f aca="false">IF($A163="","",SUMIFS(주문내역!$I$3:$I$2002,주문내역!$B$3:$B$2002,$A163,주문내역!$A$3:$A$2002,"&gt;="&amp;DATE($B$3,1,1),주문내역!$A$3:$A$2002,"&lt;="&amp;DATE($B$3,12,31)))</f>
        <v/>
      </c>
    </row>
    <row r="164" customFormat="false" ht="15" hidden="false" customHeight="true" outlineLevel="0" collapsed="false">
      <c r="A164" s="19" t="str">
        <f aca="false">IF(거래처목록!$A161="","",거래처목록!$A161)</f>
        <v/>
      </c>
      <c r="B164" s="19" t="str">
        <f aca="false">IF($A164="","",거래처목록!$B161)</f>
        <v/>
      </c>
      <c r="C164" s="20" t="str">
        <f aca="false">IF($A164="","",COUNTIFS(정기주문설정!$B$3:$B$302,$A164))</f>
        <v/>
      </c>
      <c r="D164" s="20" t="str">
        <f aca="false">IF($A164="","",COUNTIFS(주문내역!$B$3:$B$2002,$A164,주문내역!$A$3:$A$2002,"&gt;="&amp;DATE($B$3,1,1),주문내역!$A$3:$A$2002,"&lt;="&amp;DATE($B$3,12,31)))</f>
        <v/>
      </c>
      <c r="E164" s="20" t="str">
        <f aca="false">IF($A164="","",SUMIFS(주문내역!$G$3:$G$2002,주문내역!$B$3:$B$2002,$A164,주문내역!$A$3:$A$2002,"&gt;="&amp;DATE($B$3,1,1),주문내역!$A$3:$A$2002,"&lt;="&amp;DATE($B$3,12,31)))</f>
        <v/>
      </c>
      <c r="F164" s="12" t="str">
        <f aca="false">IF($A164="","",SUMIFS(주문내역!$I$3:$I$2002,주문내역!$B$3:$B$2002,$A164,주문내역!$A$3:$A$2002,"&gt;="&amp;DATE($B$3,1,1),주문내역!$A$3:$A$2002,"&lt;="&amp;DATE($B$3,12,31)))</f>
        <v/>
      </c>
    </row>
    <row r="165" customFormat="false" ht="15" hidden="false" customHeight="true" outlineLevel="0" collapsed="false">
      <c r="A165" s="19" t="str">
        <f aca="false">IF(거래처목록!$A162="","",거래처목록!$A162)</f>
        <v/>
      </c>
      <c r="B165" s="19" t="str">
        <f aca="false">IF($A165="","",거래처목록!$B162)</f>
        <v/>
      </c>
      <c r="C165" s="20" t="str">
        <f aca="false">IF($A165="","",COUNTIFS(정기주문설정!$B$3:$B$302,$A165))</f>
        <v/>
      </c>
      <c r="D165" s="20" t="str">
        <f aca="false">IF($A165="","",COUNTIFS(주문내역!$B$3:$B$2002,$A165,주문내역!$A$3:$A$2002,"&gt;="&amp;DATE($B$3,1,1),주문내역!$A$3:$A$2002,"&lt;="&amp;DATE($B$3,12,31)))</f>
        <v/>
      </c>
      <c r="E165" s="20" t="str">
        <f aca="false">IF($A165="","",SUMIFS(주문내역!$G$3:$G$2002,주문내역!$B$3:$B$2002,$A165,주문내역!$A$3:$A$2002,"&gt;="&amp;DATE($B$3,1,1),주문내역!$A$3:$A$2002,"&lt;="&amp;DATE($B$3,12,31)))</f>
        <v/>
      </c>
      <c r="F165" s="12" t="str">
        <f aca="false">IF($A165="","",SUMIFS(주문내역!$I$3:$I$2002,주문내역!$B$3:$B$2002,$A165,주문내역!$A$3:$A$2002,"&gt;="&amp;DATE($B$3,1,1),주문내역!$A$3:$A$2002,"&lt;="&amp;DATE($B$3,12,31)))</f>
        <v/>
      </c>
    </row>
    <row r="166" customFormat="false" ht="15" hidden="false" customHeight="true" outlineLevel="0" collapsed="false">
      <c r="A166" s="19" t="str">
        <f aca="false">IF(거래처목록!$A163="","",거래처목록!$A163)</f>
        <v/>
      </c>
      <c r="B166" s="19" t="str">
        <f aca="false">IF($A166="","",거래처목록!$B163)</f>
        <v/>
      </c>
      <c r="C166" s="20" t="str">
        <f aca="false">IF($A166="","",COUNTIFS(정기주문설정!$B$3:$B$302,$A166))</f>
        <v/>
      </c>
      <c r="D166" s="20" t="str">
        <f aca="false">IF($A166="","",COUNTIFS(주문내역!$B$3:$B$2002,$A166,주문내역!$A$3:$A$2002,"&gt;="&amp;DATE($B$3,1,1),주문내역!$A$3:$A$2002,"&lt;="&amp;DATE($B$3,12,31)))</f>
        <v/>
      </c>
      <c r="E166" s="20" t="str">
        <f aca="false">IF($A166="","",SUMIFS(주문내역!$G$3:$G$2002,주문내역!$B$3:$B$2002,$A166,주문내역!$A$3:$A$2002,"&gt;="&amp;DATE($B$3,1,1),주문내역!$A$3:$A$2002,"&lt;="&amp;DATE($B$3,12,31)))</f>
        <v/>
      </c>
      <c r="F166" s="12" t="str">
        <f aca="false">IF($A166="","",SUMIFS(주문내역!$I$3:$I$2002,주문내역!$B$3:$B$2002,$A166,주문내역!$A$3:$A$2002,"&gt;="&amp;DATE($B$3,1,1),주문내역!$A$3:$A$2002,"&lt;="&amp;DATE($B$3,12,31)))</f>
        <v/>
      </c>
    </row>
    <row r="167" customFormat="false" ht="15" hidden="false" customHeight="true" outlineLevel="0" collapsed="false">
      <c r="A167" s="19" t="str">
        <f aca="false">IF(거래처목록!$A164="","",거래처목록!$A164)</f>
        <v/>
      </c>
      <c r="B167" s="19" t="str">
        <f aca="false">IF($A167="","",거래처목록!$B164)</f>
        <v/>
      </c>
      <c r="C167" s="20" t="str">
        <f aca="false">IF($A167="","",COUNTIFS(정기주문설정!$B$3:$B$302,$A167))</f>
        <v/>
      </c>
      <c r="D167" s="20" t="str">
        <f aca="false">IF($A167="","",COUNTIFS(주문내역!$B$3:$B$2002,$A167,주문내역!$A$3:$A$2002,"&gt;="&amp;DATE($B$3,1,1),주문내역!$A$3:$A$2002,"&lt;="&amp;DATE($B$3,12,31)))</f>
        <v/>
      </c>
      <c r="E167" s="20" t="str">
        <f aca="false">IF($A167="","",SUMIFS(주문내역!$G$3:$G$2002,주문내역!$B$3:$B$2002,$A167,주문내역!$A$3:$A$2002,"&gt;="&amp;DATE($B$3,1,1),주문내역!$A$3:$A$2002,"&lt;="&amp;DATE($B$3,12,31)))</f>
        <v/>
      </c>
      <c r="F167" s="12" t="str">
        <f aca="false">IF($A167="","",SUMIFS(주문내역!$I$3:$I$2002,주문내역!$B$3:$B$2002,$A167,주문내역!$A$3:$A$2002,"&gt;="&amp;DATE($B$3,1,1),주문내역!$A$3:$A$2002,"&lt;="&amp;DATE($B$3,12,31)))</f>
        <v/>
      </c>
    </row>
    <row r="168" customFormat="false" ht="15" hidden="false" customHeight="true" outlineLevel="0" collapsed="false">
      <c r="A168" s="19" t="str">
        <f aca="false">IF(거래처목록!$A165="","",거래처목록!$A165)</f>
        <v/>
      </c>
      <c r="B168" s="19" t="str">
        <f aca="false">IF($A168="","",거래처목록!$B165)</f>
        <v/>
      </c>
      <c r="C168" s="20" t="str">
        <f aca="false">IF($A168="","",COUNTIFS(정기주문설정!$B$3:$B$302,$A168))</f>
        <v/>
      </c>
      <c r="D168" s="20" t="str">
        <f aca="false">IF($A168="","",COUNTIFS(주문내역!$B$3:$B$2002,$A168,주문내역!$A$3:$A$2002,"&gt;="&amp;DATE($B$3,1,1),주문내역!$A$3:$A$2002,"&lt;="&amp;DATE($B$3,12,31)))</f>
        <v/>
      </c>
      <c r="E168" s="20" t="str">
        <f aca="false">IF($A168="","",SUMIFS(주문내역!$G$3:$G$2002,주문내역!$B$3:$B$2002,$A168,주문내역!$A$3:$A$2002,"&gt;="&amp;DATE($B$3,1,1),주문내역!$A$3:$A$2002,"&lt;="&amp;DATE($B$3,12,31)))</f>
        <v/>
      </c>
      <c r="F168" s="12" t="str">
        <f aca="false">IF($A168="","",SUMIFS(주문내역!$I$3:$I$2002,주문내역!$B$3:$B$2002,$A168,주문내역!$A$3:$A$2002,"&gt;="&amp;DATE($B$3,1,1),주문내역!$A$3:$A$2002,"&lt;="&amp;DATE($B$3,12,31)))</f>
        <v/>
      </c>
    </row>
    <row r="169" customFormat="false" ht="15" hidden="false" customHeight="true" outlineLevel="0" collapsed="false">
      <c r="A169" s="19" t="str">
        <f aca="false">IF(거래처목록!$A166="","",거래처목록!$A166)</f>
        <v/>
      </c>
      <c r="B169" s="19" t="str">
        <f aca="false">IF($A169="","",거래처목록!$B166)</f>
        <v/>
      </c>
      <c r="C169" s="20" t="str">
        <f aca="false">IF($A169="","",COUNTIFS(정기주문설정!$B$3:$B$302,$A169))</f>
        <v/>
      </c>
      <c r="D169" s="20" t="str">
        <f aca="false">IF($A169="","",COUNTIFS(주문내역!$B$3:$B$2002,$A169,주문내역!$A$3:$A$2002,"&gt;="&amp;DATE($B$3,1,1),주문내역!$A$3:$A$2002,"&lt;="&amp;DATE($B$3,12,31)))</f>
        <v/>
      </c>
      <c r="E169" s="20" t="str">
        <f aca="false">IF($A169="","",SUMIFS(주문내역!$G$3:$G$2002,주문내역!$B$3:$B$2002,$A169,주문내역!$A$3:$A$2002,"&gt;="&amp;DATE($B$3,1,1),주문내역!$A$3:$A$2002,"&lt;="&amp;DATE($B$3,12,31)))</f>
        <v/>
      </c>
      <c r="F169" s="12" t="str">
        <f aca="false">IF($A169="","",SUMIFS(주문내역!$I$3:$I$2002,주문내역!$B$3:$B$2002,$A169,주문내역!$A$3:$A$2002,"&gt;="&amp;DATE($B$3,1,1),주문내역!$A$3:$A$2002,"&lt;="&amp;DATE($B$3,12,31)))</f>
        <v/>
      </c>
    </row>
    <row r="170" customFormat="false" ht="15" hidden="false" customHeight="true" outlineLevel="0" collapsed="false">
      <c r="A170" s="19" t="str">
        <f aca="false">IF(거래처목록!$A167="","",거래처목록!$A167)</f>
        <v/>
      </c>
      <c r="B170" s="19" t="str">
        <f aca="false">IF($A170="","",거래처목록!$B167)</f>
        <v/>
      </c>
      <c r="C170" s="20" t="str">
        <f aca="false">IF($A170="","",COUNTIFS(정기주문설정!$B$3:$B$302,$A170))</f>
        <v/>
      </c>
      <c r="D170" s="20" t="str">
        <f aca="false">IF($A170="","",COUNTIFS(주문내역!$B$3:$B$2002,$A170,주문내역!$A$3:$A$2002,"&gt;="&amp;DATE($B$3,1,1),주문내역!$A$3:$A$2002,"&lt;="&amp;DATE($B$3,12,31)))</f>
        <v/>
      </c>
      <c r="E170" s="20" t="str">
        <f aca="false">IF($A170="","",SUMIFS(주문내역!$G$3:$G$2002,주문내역!$B$3:$B$2002,$A170,주문내역!$A$3:$A$2002,"&gt;="&amp;DATE($B$3,1,1),주문내역!$A$3:$A$2002,"&lt;="&amp;DATE($B$3,12,31)))</f>
        <v/>
      </c>
      <c r="F170" s="12" t="str">
        <f aca="false">IF($A170="","",SUMIFS(주문내역!$I$3:$I$2002,주문내역!$B$3:$B$2002,$A170,주문내역!$A$3:$A$2002,"&gt;="&amp;DATE($B$3,1,1),주문내역!$A$3:$A$2002,"&lt;="&amp;DATE($B$3,12,31)))</f>
        <v/>
      </c>
    </row>
    <row r="171" customFormat="false" ht="15" hidden="false" customHeight="true" outlineLevel="0" collapsed="false">
      <c r="A171" s="19" t="str">
        <f aca="false">IF(거래처목록!$A168="","",거래처목록!$A168)</f>
        <v/>
      </c>
      <c r="B171" s="19" t="str">
        <f aca="false">IF($A171="","",거래처목록!$B168)</f>
        <v/>
      </c>
      <c r="C171" s="20" t="str">
        <f aca="false">IF($A171="","",COUNTIFS(정기주문설정!$B$3:$B$302,$A171))</f>
        <v/>
      </c>
      <c r="D171" s="20" t="str">
        <f aca="false">IF($A171="","",COUNTIFS(주문내역!$B$3:$B$2002,$A171,주문내역!$A$3:$A$2002,"&gt;="&amp;DATE($B$3,1,1),주문내역!$A$3:$A$2002,"&lt;="&amp;DATE($B$3,12,31)))</f>
        <v/>
      </c>
      <c r="E171" s="20" t="str">
        <f aca="false">IF($A171="","",SUMIFS(주문내역!$G$3:$G$2002,주문내역!$B$3:$B$2002,$A171,주문내역!$A$3:$A$2002,"&gt;="&amp;DATE($B$3,1,1),주문내역!$A$3:$A$2002,"&lt;="&amp;DATE($B$3,12,31)))</f>
        <v/>
      </c>
      <c r="F171" s="12" t="str">
        <f aca="false">IF($A171="","",SUMIFS(주문내역!$I$3:$I$2002,주문내역!$B$3:$B$2002,$A171,주문내역!$A$3:$A$2002,"&gt;="&amp;DATE($B$3,1,1),주문내역!$A$3:$A$2002,"&lt;="&amp;DATE($B$3,12,31)))</f>
        <v/>
      </c>
    </row>
    <row r="172" customFormat="false" ht="15" hidden="false" customHeight="true" outlineLevel="0" collapsed="false">
      <c r="A172" s="19" t="str">
        <f aca="false">IF(거래처목록!$A169="","",거래처목록!$A169)</f>
        <v/>
      </c>
      <c r="B172" s="19" t="str">
        <f aca="false">IF($A172="","",거래처목록!$B169)</f>
        <v/>
      </c>
      <c r="C172" s="20" t="str">
        <f aca="false">IF($A172="","",COUNTIFS(정기주문설정!$B$3:$B$302,$A172))</f>
        <v/>
      </c>
      <c r="D172" s="20" t="str">
        <f aca="false">IF($A172="","",COUNTIFS(주문내역!$B$3:$B$2002,$A172,주문내역!$A$3:$A$2002,"&gt;="&amp;DATE($B$3,1,1),주문내역!$A$3:$A$2002,"&lt;="&amp;DATE($B$3,12,31)))</f>
        <v/>
      </c>
      <c r="E172" s="20" t="str">
        <f aca="false">IF($A172="","",SUMIFS(주문내역!$G$3:$G$2002,주문내역!$B$3:$B$2002,$A172,주문내역!$A$3:$A$2002,"&gt;="&amp;DATE($B$3,1,1),주문내역!$A$3:$A$2002,"&lt;="&amp;DATE($B$3,12,31)))</f>
        <v/>
      </c>
      <c r="F172" s="12" t="str">
        <f aca="false">IF($A172="","",SUMIFS(주문내역!$I$3:$I$2002,주문내역!$B$3:$B$2002,$A172,주문내역!$A$3:$A$2002,"&gt;="&amp;DATE($B$3,1,1),주문내역!$A$3:$A$2002,"&lt;="&amp;DATE($B$3,12,31)))</f>
        <v/>
      </c>
    </row>
    <row r="173" customFormat="false" ht="15" hidden="false" customHeight="true" outlineLevel="0" collapsed="false">
      <c r="A173" s="19" t="str">
        <f aca="false">IF(거래처목록!$A170="","",거래처목록!$A170)</f>
        <v/>
      </c>
      <c r="B173" s="19" t="str">
        <f aca="false">IF($A173="","",거래처목록!$B170)</f>
        <v/>
      </c>
      <c r="C173" s="20" t="str">
        <f aca="false">IF($A173="","",COUNTIFS(정기주문설정!$B$3:$B$302,$A173))</f>
        <v/>
      </c>
      <c r="D173" s="20" t="str">
        <f aca="false">IF($A173="","",COUNTIFS(주문내역!$B$3:$B$2002,$A173,주문내역!$A$3:$A$2002,"&gt;="&amp;DATE($B$3,1,1),주문내역!$A$3:$A$2002,"&lt;="&amp;DATE($B$3,12,31)))</f>
        <v/>
      </c>
      <c r="E173" s="20" t="str">
        <f aca="false">IF($A173="","",SUMIFS(주문내역!$G$3:$G$2002,주문내역!$B$3:$B$2002,$A173,주문내역!$A$3:$A$2002,"&gt;="&amp;DATE($B$3,1,1),주문내역!$A$3:$A$2002,"&lt;="&amp;DATE($B$3,12,31)))</f>
        <v/>
      </c>
      <c r="F173" s="12" t="str">
        <f aca="false">IF($A173="","",SUMIFS(주문내역!$I$3:$I$2002,주문내역!$B$3:$B$2002,$A173,주문내역!$A$3:$A$2002,"&gt;="&amp;DATE($B$3,1,1),주문내역!$A$3:$A$2002,"&lt;="&amp;DATE($B$3,12,31)))</f>
        <v/>
      </c>
    </row>
    <row r="174" customFormat="false" ht="15" hidden="false" customHeight="true" outlineLevel="0" collapsed="false">
      <c r="A174" s="19" t="str">
        <f aca="false">IF(거래처목록!$A171="","",거래처목록!$A171)</f>
        <v/>
      </c>
      <c r="B174" s="19" t="str">
        <f aca="false">IF($A174="","",거래처목록!$B171)</f>
        <v/>
      </c>
      <c r="C174" s="20" t="str">
        <f aca="false">IF($A174="","",COUNTIFS(정기주문설정!$B$3:$B$302,$A174))</f>
        <v/>
      </c>
      <c r="D174" s="20" t="str">
        <f aca="false">IF($A174="","",COUNTIFS(주문내역!$B$3:$B$2002,$A174,주문내역!$A$3:$A$2002,"&gt;="&amp;DATE($B$3,1,1),주문내역!$A$3:$A$2002,"&lt;="&amp;DATE($B$3,12,31)))</f>
        <v/>
      </c>
      <c r="E174" s="20" t="str">
        <f aca="false">IF($A174="","",SUMIFS(주문내역!$G$3:$G$2002,주문내역!$B$3:$B$2002,$A174,주문내역!$A$3:$A$2002,"&gt;="&amp;DATE($B$3,1,1),주문내역!$A$3:$A$2002,"&lt;="&amp;DATE($B$3,12,31)))</f>
        <v/>
      </c>
      <c r="F174" s="12" t="str">
        <f aca="false">IF($A174="","",SUMIFS(주문내역!$I$3:$I$2002,주문내역!$B$3:$B$2002,$A174,주문내역!$A$3:$A$2002,"&gt;="&amp;DATE($B$3,1,1),주문내역!$A$3:$A$2002,"&lt;="&amp;DATE($B$3,12,31)))</f>
        <v/>
      </c>
    </row>
    <row r="175" customFormat="false" ht="15" hidden="false" customHeight="true" outlineLevel="0" collapsed="false">
      <c r="A175" s="19" t="str">
        <f aca="false">IF(거래처목록!$A172="","",거래처목록!$A172)</f>
        <v/>
      </c>
      <c r="B175" s="19" t="str">
        <f aca="false">IF($A175="","",거래처목록!$B172)</f>
        <v/>
      </c>
      <c r="C175" s="20" t="str">
        <f aca="false">IF($A175="","",COUNTIFS(정기주문설정!$B$3:$B$302,$A175))</f>
        <v/>
      </c>
      <c r="D175" s="20" t="str">
        <f aca="false">IF($A175="","",COUNTIFS(주문내역!$B$3:$B$2002,$A175,주문내역!$A$3:$A$2002,"&gt;="&amp;DATE($B$3,1,1),주문내역!$A$3:$A$2002,"&lt;="&amp;DATE($B$3,12,31)))</f>
        <v/>
      </c>
      <c r="E175" s="20" t="str">
        <f aca="false">IF($A175="","",SUMIFS(주문내역!$G$3:$G$2002,주문내역!$B$3:$B$2002,$A175,주문내역!$A$3:$A$2002,"&gt;="&amp;DATE($B$3,1,1),주문내역!$A$3:$A$2002,"&lt;="&amp;DATE($B$3,12,31)))</f>
        <v/>
      </c>
      <c r="F175" s="12" t="str">
        <f aca="false">IF($A175="","",SUMIFS(주문내역!$I$3:$I$2002,주문내역!$B$3:$B$2002,$A175,주문내역!$A$3:$A$2002,"&gt;="&amp;DATE($B$3,1,1),주문내역!$A$3:$A$2002,"&lt;="&amp;DATE($B$3,12,31)))</f>
        <v/>
      </c>
    </row>
    <row r="176" customFormat="false" ht="15" hidden="false" customHeight="true" outlineLevel="0" collapsed="false">
      <c r="A176" s="19" t="str">
        <f aca="false">IF(거래처목록!$A173="","",거래처목록!$A173)</f>
        <v/>
      </c>
      <c r="B176" s="19" t="str">
        <f aca="false">IF($A176="","",거래처목록!$B173)</f>
        <v/>
      </c>
      <c r="C176" s="20" t="str">
        <f aca="false">IF($A176="","",COUNTIFS(정기주문설정!$B$3:$B$302,$A176))</f>
        <v/>
      </c>
      <c r="D176" s="20" t="str">
        <f aca="false">IF($A176="","",COUNTIFS(주문내역!$B$3:$B$2002,$A176,주문내역!$A$3:$A$2002,"&gt;="&amp;DATE($B$3,1,1),주문내역!$A$3:$A$2002,"&lt;="&amp;DATE($B$3,12,31)))</f>
        <v/>
      </c>
      <c r="E176" s="20" t="str">
        <f aca="false">IF($A176="","",SUMIFS(주문내역!$G$3:$G$2002,주문내역!$B$3:$B$2002,$A176,주문내역!$A$3:$A$2002,"&gt;="&amp;DATE($B$3,1,1),주문내역!$A$3:$A$2002,"&lt;="&amp;DATE($B$3,12,31)))</f>
        <v/>
      </c>
      <c r="F176" s="12" t="str">
        <f aca="false">IF($A176="","",SUMIFS(주문내역!$I$3:$I$2002,주문내역!$B$3:$B$2002,$A176,주문내역!$A$3:$A$2002,"&gt;="&amp;DATE($B$3,1,1),주문내역!$A$3:$A$2002,"&lt;="&amp;DATE($B$3,12,31)))</f>
        <v/>
      </c>
    </row>
    <row r="177" customFormat="false" ht="15" hidden="false" customHeight="true" outlineLevel="0" collapsed="false">
      <c r="A177" s="19" t="str">
        <f aca="false">IF(거래처목록!$A174="","",거래처목록!$A174)</f>
        <v/>
      </c>
      <c r="B177" s="19" t="str">
        <f aca="false">IF($A177="","",거래처목록!$B174)</f>
        <v/>
      </c>
      <c r="C177" s="20" t="str">
        <f aca="false">IF($A177="","",COUNTIFS(정기주문설정!$B$3:$B$302,$A177))</f>
        <v/>
      </c>
      <c r="D177" s="20" t="str">
        <f aca="false">IF($A177="","",COUNTIFS(주문내역!$B$3:$B$2002,$A177,주문내역!$A$3:$A$2002,"&gt;="&amp;DATE($B$3,1,1),주문내역!$A$3:$A$2002,"&lt;="&amp;DATE($B$3,12,31)))</f>
        <v/>
      </c>
      <c r="E177" s="20" t="str">
        <f aca="false">IF($A177="","",SUMIFS(주문내역!$G$3:$G$2002,주문내역!$B$3:$B$2002,$A177,주문내역!$A$3:$A$2002,"&gt;="&amp;DATE($B$3,1,1),주문내역!$A$3:$A$2002,"&lt;="&amp;DATE($B$3,12,31)))</f>
        <v/>
      </c>
      <c r="F177" s="12" t="str">
        <f aca="false">IF($A177="","",SUMIFS(주문내역!$I$3:$I$2002,주문내역!$B$3:$B$2002,$A177,주문내역!$A$3:$A$2002,"&gt;="&amp;DATE($B$3,1,1),주문내역!$A$3:$A$2002,"&lt;="&amp;DATE($B$3,12,31)))</f>
        <v/>
      </c>
    </row>
    <row r="178" customFormat="false" ht="15" hidden="false" customHeight="true" outlineLevel="0" collapsed="false">
      <c r="A178" s="19" t="str">
        <f aca="false">IF(거래처목록!$A175="","",거래처목록!$A175)</f>
        <v/>
      </c>
      <c r="B178" s="19" t="str">
        <f aca="false">IF($A178="","",거래처목록!$B175)</f>
        <v/>
      </c>
      <c r="C178" s="20" t="str">
        <f aca="false">IF($A178="","",COUNTIFS(정기주문설정!$B$3:$B$302,$A178))</f>
        <v/>
      </c>
      <c r="D178" s="20" t="str">
        <f aca="false">IF($A178="","",COUNTIFS(주문내역!$B$3:$B$2002,$A178,주문내역!$A$3:$A$2002,"&gt;="&amp;DATE($B$3,1,1),주문내역!$A$3:$A$2002,"&lt;="&amp;DATE($B$3,12,31)))</f>
        <v/>
      </c>
      <c r="E178" s="20" t="str">
        <f aca="false">IF($A178="","",SUMIFS(주문내역!$G$3:$G$2002,주문내역!$B$3:$B$2002,$A178,주문내역!$A$3:$A$2002,"&gt;="&amp;DATE($B$3,1,1),주문내역!$A$3:$A$2002,"&lt;="&amp;DATE($B$3,12,31)))</f>
        <v/>
      </c>
      <c r="F178" s="12" t="str">
        <f aca="false">IF($A178="","",SUMIFS(주문내역!$I$3:$I$2002,주문내역!$B$3:$B$2002,$A178,주문내역!$A$3:$A$2002,"&gt;="&amp;DATE($B$3,1,1),주문내역!$A$3:$A$2002,"&lt;="&amp;DATE($B$3,12,31)))</f>
        <v/>
      </c>
    </row>
    <row r="179" customFormat="false" ht="15" hidden="false" customHeight="true" outlineLevel="0" collapsed="false">
      <c r="A179" s="19" t="str">
        <f aca="false">IF(거래처목록!$A176="","",거래처목록!$A176)</f>
        <v/>
      </c>
      <c r="B179" s="19" t="str">
        <f aca="false">IF($A179="","",거래처목록!$B176)</f>
        <v/>
      </c>
      <c r="C179" s="20" t="str">
        <f aca="false">IF($A179="","",COUNTIFS(정기주문설정!$B$3:$B$302,$A179))</f>
        <v/>
      </c>
      <c r="D179" s="20" t="str">
        <f aca="false">IF($A179="","",COUNTIFS(주문내역!$B$3:$B$2002,$A179,주문내역!$A$3:$A$2002,"&gt;="&amp;DATE($B$3,1,1),주문내역!$A$3:$A$2002,"&lt;="&amp;DATE($B$3,12,31)))</f>
        <v/>
      </c>
      <c r="E179" s="20" t="str">
        <f aca="false">IF($A179="","",SUMIFS(주문내역!$G$3:$G$2002,주문내역!$B$3:$B$2002,$A179,주문내역!$A$3:$A$2002,"&gt;="&amp;DATE($B$3,1,1),주문내역!$A$3:$A$2002,"&lt;="&amp;DATE($B$3,12,31)))</f>
        <v/>
      </c>
      <c r="F179" s="12" t="str">
        <f aca="false">IF($A179="","",SUMIFS(주문내역!$I$3:$I$2002,주문내역!$B$3:$B$2002,$A179,주문내역!$A$3:$A$2002,"&gt;="&amp;DATE($B$3,1,1),주문내역!$A$3:$A$2002,"&lt;="&amp;DATE($B$3,12,31)))</f>
        <v/>
      </c>
    </row>
    <row r="180" customFormat="false" ht="15" hidden="false" customHeight="true" outlineLevel="0" collapsed="false">
      <c r="A180" s="19" t="str">
        <f aca="false">IF(거래처목록!$A177="","",거래처목록!$A177)</f>
        <v/>
      </c>
      <c r="B180" s="19" t="str">
        <f aca="false">IF($A180="","",거래처목록!$B177)</f>
        <v/>
      </c>
      <c r="C180" s="20" t="str">
        <f aca="false">IF($A180="","",COUNTIFS(정기주문설정!$B$3:$B$302,$A180))</f>
        <v/>
      </c>
      <c r="D180" s="20" t="str">
        <f aca="false">IF($A180="","",COUNTIFS(주문내역!$B$3:$B$2002,$A180,주문내역!$A$3:$A$2002,"&gt;="&amp;DATE($B$3,1,1),주문내역!$A$3:$A$2002,"&lt;="&amp;DATE($B$3,12,31)))</f>
        <v/>
      </c>
      <c r="E180" s="20" t="str">
        <f aca="false">IF($A180="","",SUMIFS(주문내역!$G$3:$G$2002,주문내역!$B$3:$B$2002,$A180,주문내역!$A$3:$A$2002,"&gt;="&amp;DATE($B$3,1,1),주문내역!$A$3:$A$2002,"&lt;="&amp;DATE($B$3,12,31)))</f>
        <v/>
      </c>
      <c r="F180" s="12" t="str">
        <f aca="false">IF($A180="","",SUMIFS(주문내역!$I$3:$I$2002,주문내역!$B$3:$B$2002,$A180,주문내역!$A$3:$A$2002,"&gt;="&amp;DATE($B$3,1,1),주문내역!$A$3:$A$2002,"&lt;="&amp;DATE($B$3,12,31)))</f>
        <v/>
      </c>
    </row>
    <row r="181" customFormat="false" ht="15" hidden="false" customHeight="true" outlineLevel="0" collapsed="false">
      <c r="A181" s="19" t="str">
        <f aca="false">IF(거래처목록!$A178="","",거래처목록!$A178)</f>
        <v/>
      </c>
      <c r="B181" s="19" t="str">
        <f aca="false">IF($A181="","",거래처목록!$B178)</f>
        <v/>
      </c>
      <c r="C181" s="20" t="str">
        <f aca="false">IF($A181="","",COUNTIFS(정기주문설정!$B$3:$B$302,$A181))</f>
        <v/>
      </c>
      <c r="D181" s="20" t="str">
        <f aca="false">IF($A181="","",COUNTIFS(주문내역!$B$3:$B$2002,$A181,주문내역!$A$3:$A$2002,"&gt;="&amp;DATE($B$3,1,1),주문내역!$A$3:$A$2002,"&lt;="&amp;DATE($B$3,12,31)))</f>
        <v/>
      </c>
      <c r="E181" s="20" t="str">
        <f aca="false">IF($A181="","",SUMIFS(주문내역!$G$3:$G$2002,주문내역!$B$3:$B$2002,$A181,주문내역!$A$3:$A$2002,"&gt;="&amp;DATE($B$3,1,1),주문내역!$A$3:$A$2002,"&lt;="&amp;DATE($B$3,12,31)))</f>
        <v/>
      </c>
      <c r="F181" s="12" t="str">
        <f aca="false">IF($A181="","",SUMIFS(주문내역!$I$3:$I$2002,주문내역!$B$3:$B$2002,$A181,주문내역!$A$3:$A$2002,"&gt;="&amp;DATE($B$3,1,1),주문내역!$A$3:$A$2002,"&lt;="&amp;DATE($B$3,12,31)))</f>
        <v/>
      </c>
    </row>
    <row r="182" customFormat="false" ht="15" hidden="false" customHeight="true" outlineLevel="0" collapsed="false">
      <c r="A182" s="19" t="str">
        <f aca="false">IF(거래처목록!$A179="","",거래처목록!$A179)</f>
        <v/>
      </c>
      <c r="B182" s="19" t="str">
        <f aca="false">IF($A182="","",거래처목록!$B179)</f>
        <v/>
      </c>
      <c r="C182" s="20" t="str">
        <f aca="false">IF($A182="","",COUNTIFS(정기주문설정!$B$3:$B$302,$A182))</f>
        <v/>
      </c>
      <c r="D182" s="20" t="str">
        <f aca="false">IF($A182="","",COUNTIFS(주문내역!$B$3:$B$2002,$A182,주문내역!$A$3:$A$2002,"&gt;="&amp;DATE($B$3,1,1),주문내역!$A$3:$A$2002,"&lt;="&amp;DATE($B$3,12,31)))</f>
        <v/>
      </c>
      <c r="E182" s="20" t="str">
        <f aca="false">IF($A182="","",SUMIFS(주문내역!$G$3:$G$2002,주문내역!$B$3:$B$2002,$A182,주문내역!$A$3:$A$2002,"&gt;="&amp;DATE($B$3,1,1),주문내역!$A$3:$A$2002,"&lt;="&amp;DATE($B$3,12,31)))</f>
        <v/>
      </c>
      <c r="F182" s="12" t="str">
        <f aca="false">IF($A182="","",SUMIFS(주문내역!$I$3:$I$2002,주문내역!$B$3:$B$2002,$A182,주문내역!$A$3:$A$2002,"&gt;="&amp;DATE($B$3,1,1),주문내역!$A$3:$A$2002,"&lt;="&amp;DATE($B$3,12,31)))</f>
        <v/>
      </c>
    </row>
    <row r="183" customFormat="false" ht="15" hidden="false" customHeight="true" outlineLevel="0" collapsed="false">
      <c r="A183" s="19" t="str">
        <f aca="false">IF(거래처목록!$A180="","",거래처목록!$A180)</f>
        <v/>
      </c>
      <c r="B183" s="19" t="str">
        <f aca="false">IF($A183="","",거래처목록!$B180)</f>
        <v/>
      </c>
      <c r="C183" s="20" t="str">
        <f aca="false">IF($A183="","",COUNTIFS(정기주문설정!$B$3:$B$302,$A183))</f>
        <v/>
      </c>
      <c r="D183" s="20" t="str">
        <f aca="false">IF($A183="","",COUNTIFS(주문내역!$B$3:$B$2002,$A183,주문내역!$A$3:$A$2002,"&gt;="&amp;DATE($B$3,1,1),주문내역!$A$3:$A$2002,"&lt;="&amp;DATE($B$3,12,31)))</f>
        <v/>
      </c>
      <c r="E183" s="20" t="str">
        <f aca="false">IF($A183="","",SUMIFS(주문내역!$G$3:$G$2002,주문내역!$B$3:$B$2002,$A183,주문내역!$A$3:$A$2002,"&gt;="&amp;DATE($B$3,1,1),주문내역!$A$3:$A$2002,"&lt;="&amp;DATE($B$3,12,31)))</f>
        <v/>
      </c>
      <c r="F183" s="12" t="str">
        <f aca="false">IF($A183="","",SUMIFS(주문내역!$I$3:$I$2002,주문내역!$B$3:$B$2002,$A183,주문내역!$A$3:$A$2002,"&gt;="&amp;DATE($B$3,1,1),주문내역!$A$3:$A$2002,"&lt;="&amp;DATE($B$3,12,31)))</f>
        <v/>
      </c>
    </row>
    <row r="184" customFormat="false" ht="15" hidden="false" customHeight="true" outlineLevel="0" collapsed="false">
      <c r="A184" s="19" t="str">
        <f aca="false">IF(거래처목록!$A181="","",거래처목록!$A181)</f>
        <v/>
      </c>
      <c r="B184" s="19" t="str">
        <f aca="false">IF($A184="","",거래처목록!$B181)</f>
        <v/>
      </c>
      <c r="C184" s="20" t="str">
        <f aca="false">IF($A184="","",COUNTIFS(정기주문설정!$B$3:$B$302,$A184))</f>
        <v/>
      </c>
      <c r="D184" s="20" t="str">
        <f aca="false">IF($A184="","",COUNTIFS(주문내역!$B$3:$B$2002,$A184,주문내역!$A$3:$A$2002,"&gt;="&amp;DATE($B$3,1,1),주문내역!$A$3:$A$2002,"&lt;="&amp;DATE($B$3,12,31)))</f>
        <v/>
      </c>
      <c r="E184" s="20" t="str">
        <f aca="false">IF($A184="","",SUMIFS(주문내역!$G$3:$G$2002,주문내역!$B$3:$B$2002,$A184,주문내역!$A$3:$A$2002,"&gt;="&amp;DATE($B$3,1,1),주문내역!$A$3:$A$2002,"&lt;="&amp;DATE($B$3,12,31)))</f>
        <v/>
      </c>
      <c r="F184" s="12" t="str">
        <f aca="false">IF($A184="","",SUMIFS(주문내역!$I$3:$I$2002,주문내역!$B$3:$B$2002,$A184,주문내역!$A$3:$A$2002,"&gt;="&amp;DATE($B$3,1,1),주문내역!$A$3:$A$2002,"&lt;="&amp;DATE($B$3,12,31)))</f>
        <v/>
      </c>
    </row>
    <row r="185" customFormat="false" ht="15" hidden="false" customHeight="true" outlineLevel="0" collapsed="false">
      <c r="A185" s="19" t="str">
        <f aca="false">IF(거래처목록!$A182="","",거래처목록!$A182)</f>
        <v/>
      </c>
      <c r="B185" s="19" t="str">
        <f aca="false">IF($A185="","",거래처목록!$B182)</f>
        <v/>
      </c>
      <c r="C185" s="20" t="str">
        <f aca="false">IF($A185="","",COUNTIFS(정기주문설정!$B$3:$B$302,$A185))</f>
        <v/>
      </c>
      <c r="D185" s="20" t="str">
        <f aca="false">IF($A185="","",COUNTIFS(주문내역!$B$3:$B$2002,$A185,주문내역!$A$3:$A$2002,"&gt;="&amp;DATE($B$3,1,1),주문내역!$A$3:$A$2002,"&lt;="&amp;DATE($B$3,12,31)))</f>
        <v/>
      </c>
      <c r="E185" s="20" t="str">
        <f aca="false">IF($A185="","",SUMIFS(주문내역!$G$3:$G$2002,주문내역!$B$3:$B$2002,$A185,주문내역!$A$3:$A$2002,"&gt;="&amp;DATE($B$3,1,1),주문내역!$A$3:$A$2002,"&lt;="&amp;DATE($B$3,12,31)))</f>
        <v/>
      </c>
      <c r="F185" s="12" t="str">
        <f aca="false">IF($A185="","",SUMIFS(주문내역!$I$3:$I$2002,주문내역!$B$3:$B$2002,$A185,주문내역!$A$3:$A$2002,"&gt;="&amp;DATE($B$3,1,1),주문내역!$A$3:$A$2002,"&lt;="&amp;DATE($B$3,12,31)))</f>
        <v/>
      </c>
    </row>
    <row r="186" customFormat="false" ht="15" hidden="false" customHeight="true" outlineLevel="0" collapsed="false">
      <c r="A186" s="19" t="str">
        <f aca="false">IF(거래처목록!$A183="","",거래처목록!$A183)</f>
        <v/>
      </c>
      <c r="B186" s="19" t="str">
        <f aca="false">IF($A186="","",거래처목록!$B183)</f>
        <v/>
      </c>
      <c r="C186" s="20" t="str">
        <f aca="false">IF($A186="","",COUNTIFS(정기주문설정!$B$3:$B$302,$A186))</f>
        <v/>
      </c>
      <c r="D186" s="20" t="str">
        <f aca="false">IF($A186="","",COUNTIFS(주문내역!$B$3:$B$2002,$A186,주문내역!$A$3:$A$2002,"&gt;="&amp;DATE($B$3,1,1),주문내역!$A$3:$A$2002,"&lt;="&amp;DATE($B$3,12,31)))</f>
        <v/>
      </c>
      <c r="E186" s="20" t="str">
        <f aca="false">IF($A186="","",SUMIFS(주문내역!$G$3:$G$2002,주문내역!$B$3:$B$2002,$A186,주문내역!$A$3:$A$2002,"&gt;="&amp;DATE($B$3,1,1),주문내역!$A$3:$A$2002,"&lt;="&amp;DATE($B$3,12,31)))</f>
        <v/>
      </c>
      <c r="F186" s="12" t="str">
        <f aca="false">IF($A186="","",SUMIFS(주문내역!$I$3:$I$2002,주문내역!$B$3:$B$2002,$A186,주문내역!$A$3:$A$2002,"&gt;="&amp;DATE($B$3,1,1),주문내역!$A$3:$A$2002,"&lt;="&amp;DATE($B$3,12,31)))</f>
        <v/>
      </c>
    </row>
    <row r="187" customFormat="false" ht="15" hidden="false" customHeight="true" outlineLevel="0" collapsed="false">
      <c r="A187" s="19" t="str">
        <f aca="false">IF(거래처목록!$A184="","",거래처목록!$A184)</f>
        <v/>
      </c>
      <c r="B187" s="19" t="str">
        <f aca="false">IF($A187="","",거래처목록!$B184)</f>
        <v/>
      </c>
      <c r="C187" s="20" t="str">
        <f aca="false">IF($A187="","",COUNTIFS(정기주문설정!$B$3:$B$302,$A187))</f>
        <v/>
      </c>
      <c r="D187" s="20" t="str">
        <f aca="false">IF($A187="","",COUNTIFS(주문내역!$B$3:$B$2002,$A187,주문내역!$A$3:$A$2002,"&gt;="&amp;DATE($B$3,1,1),주문내역!$A$3:$A$2002,"&lt;="&amp;DATE($B$3,12,31)))</f>
        <v/>
      </c>
      <c r="E187" s="20" t="str">
        <f aca="false">IF($A187="","",SUMIFS(주문내역!$G$3:$G$2002,주문내역!$B$3:$B$2002,$A187,주문내역!$A$3:$A$2002,"&gt;="&amp;DATE($B$3,1,1),주문내역!$A$3:$A$2002,"&lt;="&amp;DATE($B$3,12,31)))</f>
        <v/>
      </c>
      <c r="F187" s="12" t="str">
        <f aca="false">IF($A187="","",SUMIFS(주문내역!$I$3:$I$2002,주문내역!$B$3:$B$2002,$A187,주문내역!$A$3:$A$2002,"&gt;="&amp;DATE($B$3,1,1),주문내역!$A$3:$A$2002,"&lt;="&amp;DATE($B$3,12,31)))</f>
        <v/>
      </c>
    </row>
    <row r="188" customFormat="false" ht="15" hidden="false" customHeight="true" outlineLevel="0" collapsed="false">
      <c r="A188" s="19" t="str">
        <f aca="false">IF(거래처목록!$A185="","",거래처목록!$A185)</f>
        <v/>
      </c>
      <c r="B188" s="19" t="str">
        <f aca="false">IF($A188="","",거래처목록!$B185)</f>
        <v/>
      </c>
      <c r="C188" s="20" t="str">
        <f aca="false">IF($A188="","",COUNTIFS(정기주문설정!$B$3:$B$302,$A188))</f>
        <v/>
      </c>
      <c r="D188" s="20" t="str">
        <f aca="false">IF($A188="","",COUNTIFS(주문내역!$B$3:$B$2002,$A188,주문내역!$A$3:$A$2002,"&gt;="&amp;DATE($B$3,1,1),주문내역!$A$3:$A$2002,"&lt;="&amp;DATE($B$3,12,31)))</f>
        <v/>
      </c>
      <c r="E188" s="20" t="str">
        <f aca="false">IF($A188="","",SUMIFS(주문내역!$G$3:$G$2002,주문내역!$B$3:$B$2002,$A188,주문내역!$A$3:$A$2002,"&gt;="&amp;DATE($B$3,1,1),주문내역!$A$3:$A$2002,"&lt;="&amp;DATE($B$3,12,31)))</f>
        <v/>
      </c>
      <c r="F188" s="12" t="str">
        <f aca="false">IF($A188="","",SUMIFS(주문내역!$I$3:$I$2002,주문내역!$B$3:$B$2002,$A188,주문내역!$A$3:$A$2002,"&gt;="&amp;DATE($B$3,1,1),주문내역!$A$3:$A$2002,"&lt;="&amp;DATE($B$3,12,31)))</f>
        <v/>
      </c>
    </row>
    <row r="189" customFormat="false" ht="15" hidden="false" customHeight="true" outlineLevel="0" collapsed="false">
      <c r="A189" s="19" t="str">
        <f aca="false">IF(거래처목록!$A186="","",거래처목록!$A186)</f>
        <v/>
      </c>
      <c r="B189" s="19" t="str">
        <f aca="false">IF($A189="","",거래처목록!$B186)</f>
        <v/>
      </c>
      <c r="C189" s="20" t="str">
        <f aca="false">IF($A189="","",COUNTIFS(정기주문설정!$B$3:$B$302,$A189))</f>
        <v/>
      </c>
      <c r="D189" s="20" t="str">
        <f aca="false">IF($A189="","",COUNTIFS(주문내역!$B$3:$B$2002,$A189,주문내역!$A$3:$A$2002,"&gt;="&amp;DATE($B$3,1,1),주문내역!$A$3:$A$2002,"&lt;="&amp;DATE($B$3,12,31)))</f>
        <v/>
      </c>
      <c r="E189" s="20" t="str">
        <f aca="false">IF($A189="","",SUMIFS(주문내역!$G$3:$G$2002,주문내역!$B$3:$B$2002,$A189,주문내역!$A$3:$A$2002,"&gt;="&amp;DATE($B$3,1,1),주문내역!$A$3:$A$2002,"&lt;="&amp;DATE($B$3,12,31)))</f>
        <v/>
      </c>
      <c r="F189" s="12" t="str">
        <f aca="false">IF($A189="","",SUMIFS(주문내역!$I$3:$I$2002,주문내역!$B$3:$B$2002,$A189,주문내역!$A$3:$A$2002,"&gt;="&amp;DATE($B$3,1,1),주문내역!$A$3:$A$2002,"&lt;="&amp;DATE($B$3,12,31)))</f>
        <v/>
      </c>
    </row>
    <row r="190" customFormat="false" ht="15" hidden="false" customHeight="true" outlineLevel="0" collapsed="false">
      <c r="A190" s="19" t="str">
        <f aca="false">IF(거래처목록!$A187="","",거래처목록!$A187)</f>
        <v/>
      </c>
      <c r="B190" s="19" t="str">
        <f aca="false">IF($A190="","",거래처목록!$B187)</f>
        <v/>
      </c>
      <c r="C190" s="20" t="str">
        <f aca="false">IF($A190="","",COUNTIFS(정기주문설정!$B$3:$B$302,$A190))</f>
        <v/>
      </c>
      <c r="D190" s="20" t="str">
        <f aca="false">IF($A190="","",COUNTIFS(주문내역!$B$3:$B$2002,$A190,주문내역!$A$3:$A$2002,"&gt;="&amp;DATE($B$3,1,1),주문내역!$A$3:$A$2002,"&lt;="&amp;DATE($B$3,12,31)))</f>
        <v/>
      </c>
      <c r="E190" s="20" t="str">
        <f aca="false">IF($A190="","",SUMIFS(주문내역!$G$3:$G$2002,주문내역!$B$3:$B$2002,$A190,주문내역!$A$3:$A$2002,"&gt;="&amp;DATE($B$3,1,1),주문내역!$A$3:$A$2002,"&lt;="&amp;DATE($B$3,12,31)))</f>
        <v/>
      </c>
      <c r="F190" s="12" t="str">
        <f aca="false">IF($A190="","",SUMIFS(주문내역!$I$3:$I$2002,주문내역!$B$3:$B$2002,$A190,주문내역!$A$3:$A$2002,"&gt;="&amp;DATE($B$3,1,1),주문내역!$A$3:$A$2002,"&lt;="&amp;DATE($B$3,12,31)))</f>
        <v/>
      </c>
    </row>
    <row r="191" customFormat="false" ht="15" hidden="false" customHeight="true" outlineLevel="0" collapsed="false">
      <c r="A191" s="19" t="str">
        <f aca="false">IF(거래처목록!$A188="","",거래처목록!$A188)</f>
        <v/>
      </c>
      <c r="B191" s="19" t="str">
        <f aca="false">IF($A191="","",거래처목록!$B188)</f>
        <v/>
      </c>
      <c r="C191" s="20" t="str">
        <f aca="false">IF($A191="","",COUNTIFS(정기주문설정!$B$3:$B$302,$A191))</f>
        <v/>
      </c>
      <c r="D191" s="20" t="str">
        <f aca="false">IF($A191="","",COUNTIFS(주문내역!$B$3:$B$2002,$A191,주문내역!$A$3:$A$2002,"&gt;="&amp;DATE($B$3,1,1),주문내역!$A$3:$A$2002,"&lt;="&amp;DATE($B$3,12,31)))</f>
        <v/>
      </c>
      <c r="E191" s="20" t="str">
        <f aca="false">IF($A191="","",SUMIFS(주문내역!$G$3:$G$2002,주문내역!$B$3:$B$2002,$A191,주문내역!$A$3:$A$2002,"&gt;="&amp;DATE($B$3,1,1),주문내역!$A$3:$A$2002,"&lt;="&amp;DATE($B$3,12,31)))</f>
        <v/>
      </c>
      <c r="F191" s="12" t="str">
        <f aca="false">IF($A191="","",SUMIFS(주문내역!$I$3:$I$2002,주문내역!$B$3:$B$2002,$A191,주문내역!$A$3:$A$2002,"&gt;="&amp;DATE($B$3,1,1),주문내역!$A$3:$A$2002,"&lt;="&amp;DATE($B$3,12,31)))</f>
        <v/>
      </c>
    </row>
    <row r="192" customFormat="false" ht="15" hidden="false" customHeight="true" outlineLevel="0" collapsed="false">
      <c r="A192" s="19" t="str">
        <f aca="false">IF(거래처목록!$A189="","",거래처목록!$A189)</f>
        <v/>
      </c>
      <c r="B192" s="19" t="str">
        <f aca="false">IF($A192="","",거래처목록!$B189)</f>
        <v/>
      </c>
      <c r="C192" s="20" t="str">
        <f aca="false">IF($A192="","",COUNTIFS(정기주문설정!$B$3:$B$302,$A192))</f>
        <v/>
      </c>
      <c r="D192" s="20" t="str">
        <f aca="false">IF($A192="","",COUNTIFS(주문내역!$B$3:$B$2002,$A192,주문내역!$A$3:$A$2002,"&gt;="&amp;DATE($B$3,1,1),주문내역!$A$3:$A$2002,"&lt;="&amp;DATE($B$3,12,31)))</f>
        <v/>
      </c>
      <c r="E192" s="20" t="str">
        <f aca="false">IF($A192="","",SUMIFS(주문내역!$G$3:$G$2002,주문내역!$B$3:$B$2002,$A192,주문내역!$A$3:$A$2002,"&gt;="&amp;DATE($B$3,1,1),주문내역!$A$3:$A$2002,"&lt;="&amp;DATE($B$3,12,31)))</f>
        <v/>
      </c>
      <c r="F192" s="12" t="str">
        <f aca="false">IF($A192="","",SUMIFS(주문내역!$I$3:$I$2002,주문내역!$B$3:$B$2002,$A192,주문내역!$A$3:$A$2002,"&gt;="&amp;DATE($B$3,1,1),주문내역!$A$3:$A$2002,"&lt;="&amp;DATE($B$3,12,31)))</f>
        <v/>
      </c>
    </row>
    <row r="193" customFormat="false" ht="15" hidden="false" customHeight="true" outlineLevel="0" collapsed="false">
      <c r="A193" s="19" t="str">
        <f aca="false">IF(거래처목록!$A190="","",거래처목록!$A190)</f>
        <v/>
      </c>
      <c r="B193" s="19" t="str">
        <f aca="false">IF($A193="","",거래처목록!$B190)</f>
        <v/>
      </c>
      <c r="C193" s="20" t="str">
        <f aca="false">IF($A193="","",COUNTIFS(정기주문설정!$B$3:$B$302,$A193))</f>
        <v/>
      </c>
      <c r="D193" s="20" t="str">
        <f aca="false">IF($A193="","",COUNTIFS(주문내역!$B$3:$B$2002,$A193,주문내역!$A$3:$A$2002,"&gt;="&amp;DATE($B$3,1,1),주문내역!$A$3:$A$2002,"&lt;="&amp;DATE($B$3,12,31)))</f>
        <v/>
      </c>
      <c r="E193" s="20" t="str">
        <f aca="false">IF($A193="","",SUMIFS(주문내역!$G$3:$G$2002,주문내역!$B$3:$B$2002,$A193,주문내역!$A$3:$A$2002,"&gt;="&amp;DATE($B$3,1,1),주문내역!$A$3:$A$2002,"&lt;="&amp;DATE($B$3,12,31)))</f>
        <v/>
      </c>
      <c r="F193" s="12" t="str">
        <f aca="false">IF($A193="","",SUMIFS(주문내역!$I$3:$I$2002,주문내역!$B$3:$B$2002,$A193,주문내역!$A$3:$A$2002,"&gt;="&amp;DATE($B$3,1,1),주문내역!$A$3:$A$2002,"&lt;="&amp;DATE($B$3,12,31)))</f>
        <v/>
      </c>
    </row>
    <row r="194" customFormat="false" ht="15" hidden="false" customHeight="true" outlineLevel="0" collapsed="false">
      <c r="A194" s="19" t="str">
        <f aca="false">IF(거래처목록!$A191="","",거래처목록!$A191)</f>
        <v/>
      </c>
      <c r="B194" s="19" t="str">
        <f aca="false">IF($A194="","",거래처목록!$B191)</f>
        <v/>
      </c>
      <c r="C194" s="20" t="str">
        <f aca="false">IF($A194="","",COUNTIFS(정기주문설정!$B$3:$B$302,$A194))</f>
        <v/>
      </c>
      <c r="D194" s="20" t="str">
        <f aca="false">IF($A194="","",COUNTIFS(주문내역!$B$3:$B$2002,$A194,주문내역!$A$3:$A$2002,"&gt;="&amp;DATE($B$3,1,1),주문내역!$A$3:$A$2002,"&lt;="&amp;DATE($B$3,12,31)))</f>
        <v/>
      </c>
      <c r="E194" s="20" t="str">
        <f aca="false">IF($A194="","",SUMIFS(주문내역!$G$3:$G$2002,주문내역!$B$3:$B$2002,$A194,주문내역!$A$3:$A$2002,"&gt;="&amp;DATE($B$3,1,1),주문내역!$A$3:$A$2002,"&lt;="&amp;DATE($B$3,12,31)))</f>
        <v/>
      </c>
      <c r="F194" s="12" t="str">
        <f aca="false">IF($A194="","",SUMIFS(주문내역!$I$3:$I$2002,주문내역!$B$3:$B$2002,$A194,주문내역!$A$3:$A$2002,"&gt;="&amp;DATE($B$3,1,1),주문내역!$A$3:$A$2002,"&lt;="&amp;DATE($B$3,12,31)))</f>
        <v/>
      </c>
    </row>
    <row r="195" customFormat="false" ht="15" hidden="false" customHeight="true" outlineLevel="0" collapsed="false">
      <c r="A195" s="19" t="str">
        <f aca="false">IF(거래처목록!$A192="","",거래처목록!$A192)</f>
        <v/>
      </c>
      <c r="B195" s="19" t="str">
        <f aca="false">IF($A195="","",거래처목록!$B192)</f>
        <v/>
      </c>
      <c r="C195" s="20" t="str">
        <f aca="false">IF($A195="","",COUNTIFS(정기주문설정!$B$3:$B$302,$A195))</f>
        <v/>
      </c>
      <c r="D195" s="20" t="str">
        <f aca="false">IF($A195="","",COUNTIFS(주문내역!$B$3:$B$2002,$A195,주문내역!$A$3:$A$2002,"&gt;="&amp;DATE($B$3,1,1),주문내역!$A$3:$A$2002,"&lt;="&amp;DATE($B$3,12,31)))</f>
        <v/>
      </c>
      <c r="E195" s="20" t="str">
        <f aca="false">IF($A195="","",SUMIFS(주문내역!$G$3:$G$2002,주문내역!$B$3:$B$2002,$A195,주문내역!$A$3:$A$2002,"&gt;="&amp;DATE($B$3,1,1),주문내역!$A$3:$A$2002,"&lt;="&amp;DATE($B$3,12,31)))</f>
        <v/>
      </c>
      <c r="F195" s="12" t="str">
        <f aca="false">IF($A195="","",SUMIFS(주문내역!$I$3:$I$2002,주문내역!$B$3:$B$2002,$A195,주문내역!$A$3:$A$2002,"&gt;="&amp;DATE($B$3,1,1),주문내역!$A$3:$A$2002,"&lt;="&amp;DATE($B$3,12,31)))</f>
        <v/>
      </c>
    </row>
    <row r="196" customFormat="false" ht="15" hidden="false" customHeight="true" outlineLevel="0" collapsed="false">
      <c r="A196" s="19" t="str">
        <f aca="false">IF(거래처목록!$A193="","",거래처목록!$A193)</f>
        <v/>
      </c>
      <c r="B196" s="19" t="str">
        <f aca="false">IF($A196="","",거래처목록!$B193)</f>
        <v/>
      </c>
      <c r="C196" s="20" t="str">
        <f aca="false">IF($A196="","",COUNTIFS(정기주문설정!$B$3:$B$302,$A196))</f>
        <v/>
      </c>
      <c r="D196" s="20" t="str">
        <f aca="false">IF($A196="","",COUNTIFS(주문내역!$B$3:$B$2002,$A196,주문내역!$A$3:$A$2002,"&gt;="&amp;DATE($B$3,1,1),주문내역!$A$3:$A$2002,"&lt;="&amp;DATE($B$3,12,31)))</f>
        <v/>
      </c>
      <c r="E196" s="20" t="str">
        <f aca="false">IF($A196="","",SUMIFS(주문내역!$G$3:$G$2002,주문내역!$B$3:$B$2002,$A196,주문내역!$A$3:$A$2002,"&gt;="&amp;DATE($B$3,1,1),주문내역!$A$3:$A$2002,"&lt;="&amp;DATE($B$3,12,31)))</f>
        <v/>
      </c>
      <c r="F196" s="12" t="str">
        <f aca="false">IF($A196="","",SUMIFS(주문내역!$I$3:$I$2002,주문내역!$B$3:$B$2002,$A196,주문내역!$A$3:$A$2002,"&gt;="&amp;DATE($B$3,1,1),주문내역!$A$3:$A$2002,"&lt;="&amp;DATE($B$3,12,31)))</f>
        <v/>
      </c>
    </row>
    <row r="197" customFormat="false" ht="15" hidden="false" customHeight="true" outlineLevel="0" collapsed="false">
      <c r="A197" s="19" t="str">
        <f aca="false">IF(거래처목록!$A194="","",거래처목록!$A194)</f>
        <v/>
      </c>
      <c r="B197" s="19" t="str">
        <f aca="false">IF($A197="","",거래처목록!$B194)</f>
        <v/>
      </c>
      <c r="C197" s="20" t="str">
        <f aca="false">IF($A197="","",COUNTIFS(정기주문설정!$B$3:$B$302,$A197))</f>
        <v/>
      </c>
      <c r="D197" s="20" t="str">
        <f aca="false">IF($A197="","",COUNTIFS(주문내역!$B$3:$B$2002,$A197,주문내역!$A$3:$A$2002,"&gt;="&amp;DATE($B$3,1,1),주문내역!$A$3:$A$2002,"&lt;="&amp;DATE($B$3,12,31)))</f>
        <v/>
      </c>
      <c r="E197" s="20" t="str">
        <f aca="false">IF($A197="","",SUMIFS(주문내역!$G$3:$G$2002,주문내역!$B$3:$B$2002,$A197,주문내역!$A$3:$A$2002,"&gt;="&amp;DATE($B$3,1,1),주문내역!$A$3:$A$2002,"&lt;="&amp;DATE($B$3,12,31)))</f>
        <v/>
      </c>
      <c r="F197" s="12" t="str">
        <f aca="false">IF($A197="","",SUMIFS(주문내역!$I$3:$I$2002,주문내역!$B$3:$B$2002,$A197,주문내역!$A$3:$A$2002,"&gt;="&amp;DATE($B$3,1,1),주문내역!$A$3:$A$2002,"&lt;="&amp;DATE($B$3,12,31)))</f>
        <v/>
      </c>
    </row>
    <row r="198" customFormat="false" ht="15" hidden="false" customHeight="true" outlineLevel="0" collapsed="false">
      <c r="A198" s="19" t="str">
        <f aca="false">IF(거래처목록!$A195="","",거래처목록!$A195)</f>
        <v/>
      </c>
      <c r="B198" s="19" t="str">
        <f aca="false">IF($A198="","",거래처목록!$B195)</f>
        <v/>
      </c>
      <c r="C198" s="20" t="str">
        <f aca="false">IF($A198="","",COUNTIFS(정기주문설정!$B$3:$B$302,$A198))</f>
        <v/>
      </c>
      <c r="D198" s="20" t="str">
        <f aca="false">IF($A198="","",COUNTIFS(주문내역!$B$3:$B$2002,$A198,주문내역!$A$3:$A$2002,"&gt;="&amp;DATE($B$3,1,1),주문내역!$A$3:$A$2002,"&lt;="&amp;DATE($B$3,12,31)))</f>
        <v/>
      </c>
      <c r="E198" s="20" t="str">
        <f aca="false">IF($A198="","",SUMIFS(주문내역!$G$3:$G$2002,주문내역!$B$3:$B$2002,$A198,주문내역!$A$3:$A$2002,"&gt;="&amp;DATE($B$3,1,1),주문내역!$A$3:$A$2002,"&lt;="&amp;DATE($B$3,12,31)))</f>
        <v/>
      </c>
      <c r="F198" s="12" t="str">
        <f aca="false">IF($A198="","",SUMIFS(주문내역!$I$3:$I$2002,주문내역!$B$3:$B$2002,$A198,주문내역!$A$3:$A$2002,"&gt;="&amp;DATE($B$3,1,1),주문내역!$A$3:$A$2002,"&lt;="&amp;DATE($B$3,12,31)))</f>
        <v/>
      </c>
    </row>
    <row r="199" customFormat="false" ht="15" hidden="false" customHeight="true" outlineLevel="0" collapsed="false">
      <c r="A199" s="19" t="str">
        <f aca="false">IF(거래처목록!$A196="","",거래처목록!$A196)</f>
        <v/>
      </c>
      <c r="B199" s="19" t="str">
        <f aca="false">IF($A199="","",거래처목록!$B196)</f>
        <v/>
      </c>
      <c r="C199" s="20" t="str">
        <f aca="false">IF($A199="","",COUNTIFS(정기주문설정!$B$3:$B$302,$A199))</f>
        <v/>
      </c>
      <c r="D199" s="20" t="str">
        <f aca="false">IF($A199="","",COUNTIFS(주문내역!$B$3:$B$2002,$A199,주문내역!$A$3:$A$2002,"&gt;="&amp;DATE($B$3,1,1),주문내역!$A$3:$A$2002,"&lt;="&amp;DATE($B$3,12,31)))</f>
        <v/>
      </c>
      <c r="E199" s="20" t="str">
        <f aca="false">IF($A199="","",SUMIFS(주문내역!$G$3:$G$2002,주문내역!$B$3:$B$2002,$A199,주문내역!$A$3:$A$2002,"&gt;="&amp;DATE($B$3,1,1),주문내역!$A$3:$A$2002,"&lt;="&amp;DATE($B$3,12,31)))</f>
        <v/>
      </c>
      <c r="F199" s="12" t="str">
        <f aca="false">IF($A199="","",SUMIFS(주문내역!$I$3:$I$2002,주문내역!$B$3:$B$2002,$A199,주문내역!$A$3:$A$2002,"&gt;="&amp;DATE($B$3,1,1),주문내역!$A$3:$A$2002,"&lt;="&amp;DATE($B$3,12,31)))</f>
        <v/>
      </c>
    </row>
    <row r="200" customFormat="false" ht="15" hidden="false" customHeight="true" outlineLevel="0" collapsed="false">
      <c r="A200" s="19" t="str">
        <f aca="false">IF(거래처목록!$A197="","",거래처목록!$A197)</f>
        <v/>
      </c>
      <c r="B200" s="19" t="str">
        <f aca="false">IF($A200="","",거래처목록!$B197)</f>
        <v/>
      </c>
      <c r="C200" s="20" t="str">
        <f aca="false">IF($A200="","",COUNTIFS(정기주문설정!$B$3:$B$302,$A200))</f>
        <v/>
      </c>
      <c r="D200" s="20" t="str">
        <f aca="false">IF($A200="","",COUNTIFS(주문내역!$B$3:$B$2002,$A200,주문내역!$A$3:$A$2002,"&gt;="&amp;DATE($B$3,1,1),주문내역!$A$3:$A$2002,"&lt;="&amp;DATE($B$3,12,31)))</f>
        <v/>
      </c>
      <c r="E200" s="20" t="str">
        <f aca="false">IF($A200="","",SUMIFS(주문내역!$G$3:$G$2002,주문내역!$B$3:$B$2002,$A200,주문내역!$A$3:$A$2002,"&gt;="&amp;DATE($B$3,1,1),주문내역!$A$3:$A$2002,"&lt;="&amp;DATE($B$3,12,31)))</f>
        <v/>
      </c>
      <c r="F200" s="12" t="str">
        <f aca="false">IF($A200="","",SUMIFS(주문내역!$I$3:$I$2002,주문내역!$B$3:$B$2002,$A200,주문내역!$A$3:$A$2002,"&gt;="&amp;DATE($B$3,1,1),주문내역!$A$3:$A$2002,"&lt;="&amp;DATE($B$3,12,31)))</f>
        <v/>
      </c>
    </row>
    <row r="201" customFormat="false" ht="15" hidden="false" customHeight="true" outlineLevel="0" collapsed="false">
      <c r="A201" s="19" t="str">
        <f aca="false">IF(거래처목록!$A198="","",거래처목록!$A198)</f>
        <v/>
      </c>
      <c r="B201" s="19" t="str">
        <f aca="false">IF($A201="","",거래처목록!$B198)</f>
        <v/>
      </c>
      <c r="C201" s="20" t="str">
        <f aca="false">IF($A201="","",COUNTIFS(정기주문설정!$B$3:$B$302,$A201))</f>
        <v/>
      </c>
      <c r="D201" s="20" t="str">
        <f aca="false">IF($A201="","",COUNTIFS(주문내역!$B$3:$B$2002,$A201,주문내역!$A$3:$A$2002,"&gt;="&amp;DATE($B$3,1,1),주문내역!$A$3:$A$2002,"&lt;="&amp;DATE($B$3,12,31)))</f>
        <v/>
      </c>
      <c r="E201" s="20" t="str">
        <f aca="false">IF($A201="","",SUMIFS(주문내역!$G$3:$G$2002,주문내역!$B$3:$B$2002,$A201,주문내역!$A$3:$A$2002,"&gt;="&amp;DATE($B$3,1,1),주문내역!$A$3:$A$2002,"&lt;="&amp;DATE($B$3,12,31)))</f>
        <v/>
      </c>
      <c r="F201" s="12" t="str">
        <f aca="false">IF($A201="","",SUMIFS(주문내역!$I$3:$I$2002,주문내역!$B$3:$B$2002,$A201,주문내역!$A$3:$A$2002,"&gt;="&amp;DATE($B$3,1,1),주문내역!$A$3:$A$2002,"&lt;="&amp;DATE($B$3,12,31)))</f>
        <v/>
      </c>
    </row>
    <row r="202" customFormat="false" ht="15" hidden="false" customHeight="true" outlineLevel="0" collapsed="false">
      <c r="A202" s="19" t="str">
        <f aca="false">IF(거래처목록!$A199="","",거래처목록!$A199)</f>
        <v/>
      </c>
      <c r="B202" s="19" t="str">
        <f aca="false">IF($A202="","",거래처목록!$B199)</f>
        <v/>
      </c>
      <c r="C202" s="20" t="str">
        <f aca="false">IF($A202="","",COUNTIFS(정기주문설정!$B$3:$B$302,$A202))</f>
        <v/>
      </c>
      <c r="D202" s="20" t="str">
        <f aca="false">IF($A202="","",COUNTIFS(주문내역!$B$3:$B$2002,$A202,주문내역!$A$3:$A$2002,"&gt;="&amp;DATE($B$3,1,1),주문내역!$A$3:$A$2002,"&lt;="&amp;DATE($B$3,12,31)))</f>
        <v/>
      </c>
      <c r="E202" s="20" t="str">
        <f aca="false">IF($A202="","",SUMIFS(주문내역!$G$3:$G$2002,주문내역!$B$3:$B$2002,$A202,주문내역!$A$3:$A$2002,"&gt;="&amp;DATE($B$3,1,1),주문내역!$A$3:$A$2002,"&lt;="&amp;DATE($B$3,12,31)))</f>
        <v/>
      </c>
      <c r="F202" s="12" t="str">
        <f aca="false">IF($A202="","",SUMIFS(주문내역!$I$3:$I$2002,주문내역!$B$3:$B$2002,$A202,주문내역!$A$3:$A$2002,"&gt;="&amp;DATE($B$3,1,1),주문내역!$A$3:$A$2002,"&lt;="&amp;DATE($B$3,12,31)))</f>
        <v/>
      </c>
    </row>
    <row r="203" customFormat="false" ht="15" hidden="false" customHeight="true" outlineLevel="0" collapsed="false">
      <c r="A203" s="19" t="str">
        <f aca="false">IF(거래처목록!$A200="","",거래처목록!$A200)</f>
        <v/>
      </c>
      <c r="B203" s="19" t="str">
        <f aca="false">IF($A203="","",거래처목록!$B200)</f>
        <v/>
      </c>
      <c r="C203" s="20" t="str">
        <f aca="false">IF($A203="","",COUNTIFS(정기주문설정!$B$3:$B$302,$A203))</f>
        <v/>
      </c>
      <c r="D203" s="20" t="str">
        <f aca="false">IF($A203="","",COUNTIFS(주문내역!$B$3:$B$2002,$A203,주문내역!$A$3:$A$2002,"&gt;="&amp;DATE($B$3,1,1),주문내역!$A$3:$A$2002,"&lt;="&amp;DATE($B$3,12,31)))</f>
        <v/>
      </c>
      <c r="E203" s="20" t="str">
        <f aca="false">IF($A203="","",SUMIFS(주문내역!$G$3:$G$2002,주문내역!$B$3:$B$2002,$A203,주문내역!$A$3:$A$2002,"&gt;="&amp;DATE($B$3,1,1),주문내역!$A$3:$A$2002,"&lt;="&amp;DATE($B$3,12,31)))</f>
        <v/>
      </c>
      <c r="F203" s="12" t="str">
        <f aca="false">IF($A203="","",SUMIFS(주문내역!$I$3:$I$2002,주문내역!$B$3:$B$2002,$A203,주문내역!$A$3:$A$2002,"&gt;="&amp;DATE($B$3,1,1),주문내역!$A$3:$A$2002,"&lt;="&amp;DATE($B$3,12,31)))</f>
        <v/>
      </c>
    </row>
    <row r="204" customFormat="false" ht="15" hidden="false" customHeight="true" outlineLevel="0" collapsed="false">
      <c r="A204" s="19" t="str">
        <f aca="false">IF(거래처목록!$A201="","",거래처목록!$A201)</f>
        <v/>
      </c>
      <c r="B204" s="19" t="str">
        <f aca="false">IF($A204="","",거래처목록!$B201)</f>
        <v/>
      </c>
      <c r="C204" s="20" t="str">
        <f aca="false">IF($A204="","",COUNTIFS(정기주문설정!$B$3:$B$302,$A204))</f>
        <v/>
      </c>
      <c r="D204" s="20" t="str">
        <f aca="false">IF($A204="","",COUNTIFS(주문내역!$B$3:$B$2002,$A204,주문내역!$A$3:$A$2002,"&gt;="&amp;DATE($B$3,1,1),주문내역!$A$3:$A$2002,"&lt;="&amp;DATE($B$3,12,31)))</f>
        <v/>
      </c>
      <c r="E204" s="20" t="str">
        <f aca="false">IF($A204="","",SUMIFS(주문내역!$G$3:$G$2002,주문내역!$B$3:$B$2002,$A204,주문내역!$A$3:$A$2002,"&gt;="&amp;DATE($B$3,1,1),주문내역!$A$3:$A$2002,"&lt;="&amp;DATE($B$3,12,31)))</f>
        <v/>
      </c>
      <c r="F204" s="12" t="str">
        <f aca="false">IF($A204="","",SUMIFS(주문내역!$I$3:$I$2002,주문내역!$B$3:$B$2002,$A204,주문내역!$A$3:$A$2002,"&gt;="&amp;DATE($B$3,1,1),주문내역!$A$3:$A$2002,"&lt;="&amp;DATE($B$3,12,31)))</f>
        <v/>
      </c>
    </row>
    <row r="205" customFormat="false" ht="15" hidden="false" customHeight="true" outlineLevel="0" collapsed="false">
      <c r="A205" s="19" t="str">
        <f aca="false">IF(거래처목록!$A202="","",거래처목록!$A202)</f>
        <v/>
      </c>
      <c r="B205" s="19" t="str">
        <f aca="false">IF($A205="","",거래처목록!$B202)</f>
        <v/>
      </c>
      <c r="C205" s="20" t="str">
        <f aca="false">IF($A205="","",COUNTIFS(정기주문설정!$B$3:$B$302,$A205))</f>
        <v/>
      </c>
      <c r="D205" s="20" t="str">
        <f aca="false">IF($A205="","",COUNTIFS(주문내역!$B$3:$B$2002,$A205,주문내역!$A$3:$A$2002,"&gt;="&amp;DATE($B$3,1,1),주문내역!$A$3:$A$2002,"&lt;="&amp;DATE($B$3,12,31)))</f>
        <v/>
      </c>
      <c r="E205" s="20" t="str">
        <f aca="false">IF($A205="","",SUMIFS(주문내역!$G$3:$G$2002,주문내역!$B$3:$B$2002,$A205,주문내역!$A$3:$A$2002,"&gt;="&amp;DATE($B$3,1,1),주문내역!$A$3:$A$2002,"&lt;="&amp;DATE($B$3,12,31)))</f>
        <v/>
      </c>
      <c r="F205" s="12" t="str">
        <f aca="false">IF($A205="","",SUMIFS(주문내역!$I$3:$I$2002,주문내역!$B$3:$B$2002,$A205,주문내역!$A$3:$A$2002,"&gt;="&amp;DATE($B$3,1,1),주문내역!$A$3:$A$2002,"&lt;="&amp;DATE($B$3,12,31)))</f>
        <v/>
      </c>
    </row>
    <row r="206" customFormat="false" ht="15" hidden="false" customHeight="true" outlineLevel="0" collapsed="false">
      <c r="A206" s="19" t="str">
        <f aca="false">IF(거래처목록!$A203="","",거래처목록!$A203)</f>
        <v/>
      </c>
      <c r="B206" s="19" t="str">
        <f aca="false">IF($A206="","",거래처목록!$B203)</f>
        <v/>
      </c>
      <c r="C206" s="20" t="str">
        <f aca="false">IF($A206="","",COUNTIFS(정기주문설정!$B$3:$B$302,$A206))</f>
        <v/>
      </c>
      <c r="D206" s="20" t="str">
        <f aca="false">IF($A206="","",COUNTIFS(주문내역!$B$3:$B$2002,$A206,주문내역!$A$3:$A$2002,"&gt;="&amp;DATE($B$3,1,1),주문내역!$A$3:$A$2002,"&lt;="&amp;DATE($B$3,12,31)))</f>
        <v/>
      </c>
      <c r="E206" s="20" t="str">
        <f aca="false">IF($A206="","",SUMIFS(주문내역!$G$3:$G$2002,주문내역!$B$3:$B$2002,$A206,주문내역!$A$3:$A$2002,"&gt;="&amp;DATE($B$3,1,1),주문내역!$A$3:$A$2002,"&lt;="&amp;DATE($B$3,12,31)))</f>
        <v/>
      </c>
      <c r="F206" s="12" t="str">
        <f aca="false">IF($A206="","",SUMIFS(주문내역!$I$3:$I$2002,주문내역!$B$3:$B$2002,$A206,주문내역!$A$3:$A$2002,"&gt;="&amp;DATE($B$3,1,1),주문내역!$A$3:$A$2002,"&lt;="&amp;DATE($B$3,12,31)))</f>
        <v/>
      </c>
    </row>
    <row r="207" customFormat="false" ht="15" hidden="false" customHeight="true" outlineLevel="0" collapsed="false">
      <c r="A207" s="19" t="str">
        <f aca="false">IF(거래처목록!$A204="","",거래처목록!$A204)</f>
        <v/>
      </c>
      <c r="B207" s="19" t="str">
        <f aca="false">IF($A207="","",거래처목록!$B204)</f>
        <v/>
      </c>
      <c r="C207" s="20" t="str">
        <f aca="false">IF($A207="","",COUNTIFS(정기주문설정!$B$3:$B$302,$A207))</f>
        <v/>
      </c>
      <c r="D207" s="20" t="str">
        <f aca="false">IF($A207="","",COUNTIFS(주문내역!$B$3:$B$2002,$A207,주문내역!$A$3:$A$2002,"&gt;="&amp;DATE($B$3,1,1),주문내역!$A$3:$A$2002,"&lt;="&amp;DATE($B$3,12,31)))</f>
        <v/>
      </c>
      <c r="E207" s="20" t="str">
        <f aca="false">IF($A207="","",SUMIFS(주문내역!$G$3:$G$2002,주문내역!$B$3:$B$2002,$A207,주문내역!$A$3:$A$2002,"&gt;="&amp;DATE($B$3,1,1),주문내역!$A$3:$A$2002,"&lt;="&amp;DATE($B$3,12,31)))</f>
        <v/>
      </c>
      <c r="F207" s="12" t="str">
        <f aca="false">IF($A207="","",SUMIFS(주문내역!$I$3:$I$2002,주문내역!$B$3:$B$2002,$A207,주문내역!$A$3:$A$2002,"&gt;="&amp;DATE($B$3,1,1),주문내역!$A$3:$A$2002,"&lt;="&amp;DATE($B$3,12,31)))</f>
        <v/>
      </c>
    </row>
    <row r="208" customFormat="false" ht="15" hidden="false" customHeight="true" outlineLevel="0" collapsed="false">
      <c r="A208" s="19" t="str">
        <f aca="false">IF(거래처목록!$A205="","",거래처목록!$A205)</f>
        <v/>
      </c>
      <c r="B208" s="19" t="str">
        <f aca="false">IF($A208="","",거래처목록!$B205)</f>
        <v/>
      </c>
      <c r="C208" s="20" t="str">
        <f aca="false">IF($A208="","",COUNTIFS(정기주문설정!$B$3:$B$302,$A208))</f>
        <v/>
      </c>
      <c r="D208" s="20" t="str">
        <f aca="false">IF($A208="","",COUNTIFS(주문내역!$B$3:$B$2002,$A208,주문내역!$A$3:$A$2002,"&gt;="&amp;DATE($B$3,1,1),주문내역!$A$3:$A$2002,"&lt;="&amp;DATE($B$3,12,31)))</f>
        <v/>
      </c>
      <c r="E208" s="20" t="str">
        <f aca="false">IF($A208="","",SUMIFS(주문내역!$G$3:$G$2002,주문내역!$B$3:$B$2002,$A208,주문내역!$A$3:$A$2002,"&gt;="&amp;DATE($B$3,1,1),주문내역!$A$3:$A$2002,"&lt;="&amp;DATE($B$3,12,31)))</f>
        <v/>
      </c>
      <c r="F208" s="12" t="str">
        <f aca="false">IF($A208="","",SUMIFS(주문내역!$I$3:$I$2002,주문내역!$B$3:$B$2002,$A208,주문내역!$A$3:$A$2002,"&gt;="&amp;DATE($B$3,1,1),주문내역!$A$3:$A$2002,"&lt;="&amp;DATE($B$3,12,31)))</f>
        <v/>
      </c>
    </row>
    <row r="209" customFormat="false" ht="15" hidden="false" customHeight="true" outlineLevel="0" collapsed="false">
      <c r="A209" s="19" t="str">
        <f aca="false">IF(거래처목록!$A206="","",거래처목록!$A206)</f>
        <v/>
      </c>
      <c r="B209" s="19" t="str">
        <f aca="false">IF($A209="","",거래처목록!$B206)</f>
        <v/>
      </c>
      <c r="C209" s="20" t="str">
        <f aca="false">IF($A209="","",COUNTIFS(정기주문설정!$B$3:$B$302,$A209))</f>
        <v/>
      </c>
      <c r="D209" s="20" t="str">
        <f aca="false">IF($A209="","",COUNTIFS(주문내역!$B$3:$B$2002,$A209,주문내역!$A$3:$A$2002,"&gt;="&amp;DATE($B$3,1,1),주문내역!$A$3:$A$2002,"&lt;="&amp;DATE($B$3,12,31)))</f>
        <v/>
      </c>
      <c r="E209" s="20" t="str">
        <f aca="false">IF($A209="","",SUMIFS(주문내역!$G$3:$G$2002,주문내역!$B$3:$B$2002,$A209,주문내역!$A$3:$A$2002,"&gt;="&amp;DATE($B$3,1,1),주문내역!$A$3:$A$2002,"&lt;="&amp;DATE($B$3,12,31)))</f>
        <v/>
      </c>
      <c r="F209" s="12" t="str">
        <f aca="false">IF($A209="","",SUMIFS(주문내역!$I$3:$I$2002,주문내역!$B$3:$B$2002,$A209,주문내역!$A$3:$A$2002,"&gt;="&amp;DATE($B$3,1,1),주문내역!$A$3:$A$2002,"&lt;="&amp;DATE($B$3,12,31)))</f>
        <v/>
      </c>
    </row>
    <row r="210" customFormat="false" ht="15" hidden="false" customHeight="true" outlineLevel="0" collapsed="false">
      <c r="A210" s="19" t="str">
        <f aca="false">IF(거래처목록!$A207="","",거래처목록!$A207)</f>
        <v/>
      </c>
      <c r="B210" s="19" t="str">
        <f aca="false">IF($A210="","",거래처목록!$B207)</f>
        <v/>
      </c>
      <c r="C210" s="20" t="str">
        <f aca="false">IF($A210="","",COUNTIFS(정기주문설정!$B$3:$B$302,$A210))</f>
        <v/>
      </c>
      <c r="D210" s="20" t="str">
        <f aca="false">IF($A210="","",COUNTIFS(주문내역!$B$3:$B$2002,$A210,주문내역!$A$3:$A$2002,"&gt;="&amp;DATE($B$3,1,1),주문내역!$A$3:$A$2002,"&lt;="&amp;DATE($B$3,12,31)))</f>
        <v/>
      </c>
      <c r="E210" s="20" t="str">
        <f aca="false">IF($A210="","",SUMIFS(주문내역!$G$3:$G$2002,주문내역!$B$3:$B$2002,$A210,주문내역!$A$3:$A$2002,"&gt;="&amp;DATE($B$3,1,1),주문내역!$A$3:$A$2002,"&lt;="&amp;DATE($B$3,12,31)))</f>
        <v/>
      </c>
      <c r="F210" s="12" t="str">
        <f aca="false">IF($A210="","",SUMIFS(주문내역!$I$3:$I$2002,주문내역!$B$3:$B$2002,$A210,주문내역!$A$3:$A$2002,"&gt;="&amp;DATE($B$3,1,1),주문내역!$A$3:$A$2002,"&lt;="&amp;DATE($B$3,12,31)))</f>
        <v/>
      </c>
    </row>
    <row r="211" customFormat="false" ht="15" hidden="false" customHeight="true" outlineLevel="0" collapsed="false">
      <c r="A211" s="19" t="str">
        <f aca="false">IF(거래처목록!$A208="","",거래처목록!$A208)</f>
        <v/>
      </c>
      <c r="B211" s="19" t="str">
        <f aca="false">IF($A211="","",거래처목록!$B208)</f>
        <v/>
      </c>
      <c r="C211" s="20" t="str">
        <f aca="false">IF($A211="","",COUNTIFS(정기주문설정!$B$3:$B$302,$A211))</f>
        <v/>
      </c>
      <c r="D211" s="20" t="str">
        <f aca="false">IF($A211="","",COUNTIFS(주문내역!$B$3:$B$2002,$A211,주문내역!$A$3:$A$2002,"&gt;="&amp;DATE($B$3,1,1),주문내역!$A$3:$A$2002,"&lt;="&amp;DATE($B$3,12,31)))</f>
        <v/>
      </c>
      <c r="E211" s="20" t="str">
        <f aca="false">IF($A211="","",SUMIFS(주문내역!$G$3:$G$2002,주문내역!$B$3:$B$2002,$A211,주문내역!$A$3:$A$2002,"&gt;="&amp;DATE($B$3,1,1),주문내역!$A$3:$A$2002,"&lt;="&amp;DATE($B$3,12,31)))</f>
        <v/>
      </c>
      <c r="F211" s="12" t="str">
        <f aca="false">IF($A211="","",SUMIFS(주문내역!$I$3:$I$2002,주문내역!$B$3:$B$2002,$A211,주문내역!$A$3:$A$2002,"&gt;="&amp;DATE($B$3,1,1),주문내역!$A$3:$A$2002,"&lt;="&amp;DATE($B$3,12,31)))</f>
        <v/>
      </c>
    </row>
    <row r="212" customFormat="false" ht="15" hidden="false" customHeight="true" outlineLevel="0" collapsed="false">
      <c r="A212" s="19" t="str">
        <f aca="false">IF(거래처목록!$A209="","",거래처목록!$A209)</f>
        <v/>
      </c>
      <c r="B212" s="19" t="str">
        <f aca="false">IF($A212="","",거래처목록!$B209)</f>
        <v/>
      </c>
      <c r="C212" s="20" t="str">
        <f aca="false">IF($A212="","",COUNTIFS(정기주문설정!$B$3:$B$302,$A212))</f>
        <v/>
      </c>
      <c r="D212" s="20" t="str">
        <f aca="false">IF($A212="","",COUNTIFS(주문내역!$B$3:$B$2002,$A212,주문내역!$A$3:$A$2002,"&gt;="&amp;DATE($B$3,1,1),주문내역!$A$3:$A$2002,"&lt;="&amp;DATE($B$3,12,31)))</f>
        <v/>
      </c>
      <c r="E212" s="20" t="str">
        <f aca="false">IF($A212="","",SUMIFS(주문내역!$G$3:$G$2002,주문내역!$B$3:$B$2002,$A212,주문내역!$A$3:$A$2002,"&gt;="&amp;DATE($B$3,1,1),주문내역!$A$3:$A$2002,"&lt;="&amp;DATE($B$3,12,31)))</f>
        <v/>
      </c>
      <c r="F212" s="12" t="str">
        <f aca="false">IF($A212="","",SUMIFS(주문내역!$I$3:$I$2002,주문내역!$B$3:$B$2002,$A212,주문내역!$A$3:$A$2002,"&gt;="&amp;DATE($B$3,1,1),주문내역!$A$3:$A$2002,"&lt;="&amp;DATE($B$3,12,31)))</f>
        <v/>
      </c>
    </row>
    <row r="213" customFormat="false" ht="15" hidden="false" customHeight="true" outlineLevel="0" collapsed="false">
      <c r="A213" s="19" t="str">
        <f aca="false">IF(거래처목록!$A210="","",거래처목록!$A210)</f>
        <v/>
      </c>
      <c r="B213" s="19" t="str">
        <f aca="false">IF($A213="","",거래처목록!$B210)</f>
        <v/>
      </c>
      <c r="C213" s="20" t="str">
        <f aca="false">IF($A213="","",COUNTIFS(정기주문설정!$B$3:$B$302,$A213))</f>
        <v/>
      </c>
      <c r="D213" s="20" t="str">
        <f aca="false">IF($A213="","",COUNTIFS(주문내역!$B$3:$B$2002,$A213,주문내역!$A$3:$A$2002,"&gt;="&amp;DATE($B$3,1,1),주문내역!$A$3:$A$2002,"&lt;="&amp;DATE($B$3,12,31)))</f>
        <v/>
      </c>
      <c r="E213" s="20" t="str">
        <f aca="false">IF($A213="","",SUMIFS(주문내역!$G$3:$G$2002,주문내역!$B$3:$B$2002,$A213,주문내역!$A$3:$A$2002,"&gt;="&amp;DATE($B$3,1,1),주문내역!$A$3:$A$2002,"&lt;="&amp;DATE($B$3,12,31)))</f>
        <v/>
      </c>
      <c r="F213" s="12" t="str">
        <f aca="false">IF($A213="","",SUMIFS(주문내역!$I$3:$I$2002,주문내역!$B$3:$B$2002,$A213,주문내역!$A$3:$A$2002,"&gt;="&amp;DATE($B$3,1,1),주문내역!$A$3:$A$2002,"&lt;="&amp;DATE($B$3,12,31)))</f>
        <v/>
      </c>
    </row>
    <row r="214" customFormat="false" ht="15" hidden="false" customHeight="true" outlineLevel="0" collapsed="false">
      <c r="A214" s="19" t="str">
        <f aca="false">IF(거래처목록!$A211="","",거래처목록!$A211)</f>
        <v/>
      </c>
      <c r="B214" s="19" t="str">
        <f aca="false">IF($A214="","",거래처목록!$B211)</f>
        <v/>
      </c>
      <c r="C214" s="20" t="str">
        <f aca="false">IF($A214="","",COUNTIFS(정기주문설정!$B$3:$B$302,$A214))</f>
        <v/>
      </c>
      <c r="D214" s="20" t="str">
        <f aca="false">IF($A214="","",COUNTIFS(주문내역!$B$3:$B$2002,$A214,주문내역!$A$3:$A$2002,"&gt;="&amp;DATE($B$3,1,1),주문내역!$A$3:$A$2002,"&lt;="&amp;DATE($B$3,12,31)))</f>
        <v/>
      </c>
      <c r="E214" s="20" t="str">
        <f aca="false">IF($A214="","",SUMIFS(주문내역!$G$3:$G$2002,주문내역!$B$3:$B$2002,$A214,주문내역!$A$3:$A$2002,"&gt;="&amp;DATE($B$3,1,1),주문내역!$A$3:$A$2002,"&lt;="&amp;DATE($B$3,12,31)))</f>
        <v/>
      </c>
      <c r="F214" s="12" t="str">
        <f aca="false">IF($A214="","",SUMIFS(주문내역!$I$3:$I$2002,주문내역!$B$3:$B$2002,$A214,주문내역!$A$3:$A$2002,"&gt;="&amp;DATE($B$3,1,1),주문내역!$A$3:$A$2002,"&lt;="&amp;DATE($B$3,12,31)))</f>
        <v/>
      </c>
    </row>
    <row r="215" customFormat="false" ht="15" hidden="false" customHeight="true" outlineLevel="0" collapsed="false">
      <c r="A215" s="19" t="str">
        <f aca="false">IF(거래처목록!$A212="","",거래처목록!$A212)</f>
        <v/>
      </c>
      <c r="B215" s="19" t="str">
        <f aca="false">IF($A215="","",거래처목록!$B212)</f>
        <v/>
      </c>
      <c r="C215" s="20" t="str">
        <f aca="false">IF($A215="","",COUNTIFS(정기주문설정!$B$3:$B$302,$A215))</f>
        <v/>
      </c>
      <c r="D215" s="20" t="str">
        <f aca="false">IF($A215="","",COUNTIFS(주문내역!$B$3:$B$2002,$A215,주문내역!$A$3:$A$2002,"&gt;="&amp;DATE($B$3,1,1),주문내역!$A$3:$A$2002,"&lt;="&amp;DATE($B$3,12,31)))</f>
        <v/>
      </c>
      <c r="E215" s="20" t="str">
        <f aca="false">IF($A215="","",SUMIFS(주문내역!$G$3:$G$2002,주문내역!$B$3:$B$2002,$A215,주문내역!$A$3:$A$2002,"&gt;="&amp;DATE($B$3,1,1),주문내역!$A$3:$A$2002,"&lt;="&amp;DATE($B$3,12,31)))</f>
        <v/>
      </c>
      <c r="F215" s="12" t="str">
        <f aca="false">IF($A215="","",SUMIFS(주문내역!$I$3:$I$2002,주문내역!$B$3:$B$2002,$A215,주문내역!$A$3:$A$2002,"&gt;="&amp;DATE($B$3,1,1),주문내역!$A$3:$A$2002,"&lt;="&amp;DATE($B$3,12,31)))</f>
        <v/>
      </c>
    </row>
    <row r="216" customFormat="false" ht="15" hidden="false" customHeight="true" outlineLevel="0" collapsed="false">
      <c r="A216" s="19" t="str">
        <f aca="false">IF(거래처목록!$A213="","",거래처목록!$A213)</f>
        <v/>
      </c>
      <c r="B216" s="19" t="str">
        <f aca="false">IF($A216="","",거래처목록!$B213)</f>
        <v/>
      </c>
      <c r="C216" s="20" t="str">
        <f aca="false">IF($A216="","",COUNTIFS(정기주문설정!$B$3:$B$302,$A216))</f>
        <v/>
      </c>
      <c r="D216" s="20" t="str">
        <f aca="false">IF($A216="","",COUNTIFS(주문내역!$B$3:$B$2002,$A216,주문내역!$A$3:$A$2002,"&gt;="&amp;DATE($B$3,1,1),주문내역!$A$3:$A$2002,"&lt;="&amp;DATE($B$3,12,31)))</f>
        <v/>
      </c>
      <c r="E216" s="20" t="str">
        <f aca="false">IF($A216="","",SUMIFS(주문내역!$G$3:$G$2002,주문내역!$B$3:$B$2002,$A216,주문내역!$A$3:$A$2002,"&gt;="&amp;DATE($B$3,1,1),주문내역!$A$3:$A$2002,"&lt;="&amp;DATE($B$3,12,31)))</f>
        <v/>
      </c>
      <c r="F216" s="12" t="str">
        <f aca="false">IF($A216="","",SUMIFS(주문내역!$I$3:$I$2002,주문내역!$B$3:$B$2002,$A216,주문내역!$A$3:$A$2002,"&gt;="&amp;DATE($B$3,1,1),주문내역!$A$3:$A$2002,"&lt;="&amp;DATE($B$3,12,31)))</f>
        <v/>
      </c>
    </row>
    <row r="217" customFormat="false" ht="15" hidden="false" customHeight="true" outlineLevel="0" collapsed="false">
      <c r="A217" s="19" t="str">
        <f aca="false">IF(거래처목록!$A214="","",거래처목록!$A214)</f>
        <v/>
      </c>
      <c r="B217" s="19" t="str">
        <f aca="false">IF($A217="","",거래처목록!$B214)</f>
        <v/>
      </c>
      <c r="C217" s="20" t="str">
        <f aca="false">IF($A217="","",COUNTIFS(정기주문설정!$B$3:$B$302,$A217))</f>
        <v/>
      </c>
      <c r="D217" s="20" t="str">
        <f aca="false">IF($A217="","",COUNTIFS(주문내역!$B$3:$B$2002,$A217,주문내역!$A$3:$A$2002,"&gt;="&amp;DATE($B$3,1,1),주문내역!$A$3:$A$2002,"&lt;="&amp;DATE($B$3,12,31)))</f>
        <v/>
      </c>
      <c r="E217" s="20" t="str">
        <f aca="false">IF($A217="","",SUMIFS(주문내역!$G$3:$G$2002,주문내역!$B$3:$B$2002,$A217,주문내역!$A$3:$A$2002,"&gt;="&amp;DATE($B$3,1,1),주문내역!$A$3:$A$2002,"&lt;="&amp;DATE($B$3,12,31)))</f>
        <v/>
      </c>
      <c r="F217" s="12" t="str">
        <f aca="false">IF($A217="","",SUMIFS(주문내역!$I$3:$I$2002,주문내역!$B$3:$B$2002,$A217,주문내역!$A$3:$A$2002,"&gt;="&amp;DATE($B$3,1,1),주문내역!$A$3:$A$2002,"&lt;="&amp;DATE($B$3,12,31)))</f>
        <v/>
      </c>
    </row>
    <row r="218" customFormat="false" ht="15" hidden="false" customHeight="true" outlineLevel="0" collapsed="false">
      <c r="A218" s="19" t="str">
        <f aca="false">IF(거래처목록!$A215="","",거래처목록!$A215)</f>
        <v/>
      </c>
      <c r="B218" s="19" t="str">
        <f aca="false">IF($A218="","",거래처목록!$B215)</f>
        <v/>
      </c>
      <c r="C218" s="20" t="str">
        <f aca="false">IF($A218="","",COUNTIFS(정기주문설정!$B$3:$B$302,$A218))</f>
        <v/>
      </c>
      <c r="D218" s="20" t="str">
        <f aca="false">IF($A218="","",COUNTIFS(주문내역!$B$3:$B$2002,$A218,주문내역!$A$3:$A$2002,"&gt;="&amp;DATE($B$3,1,1),주문내역!$A$3:$A$2002,"&lt;="&amp;DATE($B$3,12,31)))</f>
        <v/>
      </c>
      <c r="E218" s="20" t="str">
        <f aca="false">IF($A218="","",SUMIFS(주문내역!$G$3:$G$2002,주문내역!$B$3:$B$2002,$A218,주문내역!$A$3:$A$2002,"&gt;="&amp;DATE($B$3,1,1),주문내역!$A$3:$A$2002,"&lt;="&amp;DATE($B$3,12,31)))</f>
        <v/>
      </c>
      <c r="F218" s="12" t="str">
        <f aca="false">IF($A218="","",SUMIFS(주문내역!$I$3:$I$2002,주문내역!$B$3:$B$2002,$A218,주문내역!$A$3:$A$2002,"&gt;="&amp;DATE($B$3,1,1),주문내역!$A$3:$A$2002,"&lt;="&amp;DATE($B$3,12,31)))</f>
        <v/>
      </c>
    </row>
    <row r="219" customFormat="false" ht="15" hidden="false" customHeight="true" outlineLevel="0" collapsed="false">
      <c r="A219" s="19" t="str">
        <f aca="false">IF(거래처목록!$A216="","",거래처목록!$A216)</f>
        <v/>
      </c>
      <c r="B219" s="19" t="str">
        <f aca="false">IF($A219="","",거래처목록!$B216)</f>
        <v/>
      </c>
      <c r="C219" s="20" t="str">
        <f aca="false">IF($A219="","",COUNTIFS(정기주문설정!$B$3:$B$302,$A219))</f>
        <v/>
      </c>
      <c r="D219" s="20" t="str">
        <f aca="false">IF($A219="","",COUNTIFS(주문내역!$B$3:$B$2002,$A219,주문내역!$A$3:$A$2002,"&gt;="&amp;DATE($B$3,1,1),주문내역!$A$3:$A$2002,"&lt;="&amp;DATE($B$3,12,31)))</f>
        <v/>
      </c>
      <c r="E219" s="20" t="str">
        <f aca="false">IF($A219="","",SUMIFS(주문내역!$G$3:$G$2002,주문내역!$B$3:$B$2002,$A219,주문내역!$A$3:$A$2002,"&gt;="&amp;DATE($B$3,1,1),주문내역!$A$3:$A$2002,"&lt;="&amp;DATE($B$3,12,31)))</f>
        <v/>
      </c>
      <c r="F219" s="12" t="str">
        <f aca="false">IF($A219="","",SUMIFS(주문내역!$I$3:$I$2002,주문내역!$B$3:$B$2002,$A219,주문내역!$A$3:$A$2002,"&gt;="&amp;DATE($B$3,1,1),주문내역!$A$3:$A$2002,"&lt;="&amp;DATE($B$3,12,31)))</f>
        <v/>
      </c>
    </row>
    <row r="220" customFormat="false" ht="15" hidden="false" customHeight="true" outlineLevel="0" collapsed="false">
      <c r="A220" s="19" t="str">
        <f aca="false">IF(거래처목록!$A217="","",거래처목록!$A217)</f>
        <v/>
      </c>
      <c r="B220" s="19" t="str">
        <f aca="false">IF($A220="","",거래처목록!$B217)</f>
        <v/>
      </c>
      <c r="C220" s="20" t="str">
        <f aca="false">IF($A220="","",COUNTIFS(정기주문설정!$B$3:$B$302,$A220))</f>
        <v/>
      </c>
      <c r="D220" s="20" t="str">
        <f aca="false">IF($A220="","",COUNTIFS(주문내역!$B$3:$B$2002,$A220,주문내역!$A$3:$A$2002,"&gt;="&amp;DATE($B$3,1,1),주문내역!$A$3:$A$2002,"&lt;="&amp;DATE($B$3,12,31)))</f>
        <v/>
      </c>
      <c r="E220" s="20" t="str">
        <f aca="false">IF($A220="","",SUMIFS(주문내역!$G$3:$G$2002,주문내역!$B$3:$B$2002,$A220,주문내역!$A$3:$A$2002,"&gt;="&amp;DATE($B$3,1,1),주문내역!$A$3:$A$2002,"&lt;="&amp;DATE($B$3,12,31)))</f>
        <v/>
      </c>
      <c r="F220" s="12" t="str">
        <f aca="false">IF($A220="","",SUMIFS(주문내역!$I$3:$I$2002,주문내역!$B$3:$B$2002,$A220,주문내역!$A$3:$A$2002,"&gt;="&amp;DATE($B$3,1,1),주문내역!$A$3:$A$2002,"&lt;="&amp;DATE($B$3,12,31)))</f>
        <v/>
      </c>
    </row>
    <row r="221" customFormat="false" ht="15" hidden="false" customHeight="true" outlineLevel="0" collapsed="false">
      <c r="A221" s="19" t="str">
        <f aca="false">IF(거래처목록!$A218="","",거래처목록!$A218)</f>
        <v/>
      </c>
      <c r="B221" s="19" t="str">
        <f aca="false">IF($A221="","",거래처목록!$B218)</f>
        <v/>
      </c>
      <c r="C221" s="20" t="str">
        <f aca="false">IF($A221="","",COUNTIFS(정기주문설정!$B$3:$B$302,$A221))</f>
        <v/>
      </c>
      <c r="D221" s="20" t="str">
        <f aca="false">IF($A221="","",COUNTIFS(주문내역!$B$3:$B$2002,$A221,주문내역!$A$3:$A$2002,"&gt;="&amp;DATE($B$3,1,1),주문내역!$A$3:$A$2002,"&lt;="&amp;DATE($B$3,12,31)))</f>
        <v/>
      </c>
      <c r="E221" s="20" t="str">
        <f aca="false">IF($A221="","",SUMIFS(주문내역!$G$3:$G$2002,주문내역!$B$3:$B$2002,$A221,주문내역!$A$3:$A$2002,"&gt;="&amp;DATE($B$3,1,1),주문내역!$A$3:$A$2002,"&lt;="&amp;DATE($B$3,12,31)))</f>
        <v/>
      </c>
      <c r="F221" s="12" t="str">
        <f aca="false">IF($A221="","",SUMIFS(주문내역!$I$3:$I$2002,주문내역!$B$3:$B$2002,$A221,주문내역!$A$3:$A$2002,"&gt;="&amp;DATE($B$3,1,1),주문내역!$A$3:$A$2002,"&lt;="&amp;DATE($B$3,12,31)))</f>
        <v/>
      </c>
    </row>
    <row r="222" customFormat="false" ht="15" hidden="false" customHeight="true" outlineLevel="0" collapsed="false">
      <c r="A222" s="19" t="str">
        <f aca="false">IF(거래처목록!$A219="","",거래처목록!$A219)</f>
        <v/>
      </c>
      <c r="B222" s="19" t="str">
        <f aca="false">IF($A222="","",거래처목록!$B219)</f>
        <v/>
      </c>
      <c r="C222" s="20" t="str">
        <f aca="false">IF($A222="","",COUNTIFS(정기주문설정!$B$3:$B$302,$A222))</f>
        <v/>
      </c>
      <c r="D222" s="20" t="str">
        <f aca="false">IF($A222="","",COUNTIFS(주문내역!$B$3:$B$2002,$A222,주문내역!$A$3:$A$2002,"&gt;="&amp;DATE($B$3,1,1),주문내역!$A$3:$A$2002,"&lt;="&amp;DATE($B$3,12,31)))</f>
        <v/>
      </c>
      <c r="E222" s="20" t="str">
        <f aca="false">IF($A222="","",SUMIFS(주문내역!$G$3:$G$2002,주문내역!$B$3:$B$2002,$A222,주문내역!$A$3:$A$2002,"&gt;="&amp;DATE($B$3,1,1),주문내역!$A$3:$A$2002,"&lt;="&amp;DATE($B$3,12,31)))</f>
        <v/>
      </c>
      <c r="F222" s="12" t="str">
        <f aca="false">IF($A222="","",SUMIFS(주문내역!$I$3:$I$2002,주문내역!$B$3:$B$2002,$A222,주문내역!$A$3:$A$2002,"&gt;="&amp;DATE($B$3,1,1),주문내역!$A$3:$A$2002,"&lt;="&amp;DATE($B$3,12,31)))</f>
        <v/>
      </c>
    </row>
    <row r="223" customFormat="false" ht="15" hidden="false" customHeight="true" outlineLevel="0" collapsed="false">
      <c r="A223" s="19" t="str">
        <f aca="false">IF(거래처목록!$A220="","",거래처목록!$A220)</f>
        <v/>
      </c>
      <c r="B223" s="19" t="str">
        <f aca="false">IF($A223="","",거래처목록!$B220)</f>
        <v/>
      </c>
      <c r="C223" s="20" t="str">
        <f aca="false">IF($A223="","",COUNTIFS(정기주문설정!$B$3:$B$302,$A223))</f>
        <v/>
      </c>
      <c r="D223" s="20" t="str">
        <f aca="false">IF($A223="","",COUNTIFS(주문내역!$B$3:$B$2002,$A223,주문내역!$A$3:$A$2002,"&gt;="&amp;DATE($B$3,1,1),주문내역!$A$3:$A$2002,"&lt;="&amp;DATE($B$3,12,31)))</f>
        <v/>
      </c>
      <c r="E223" s="20" t="str">
        <f aca="false">IF($A223="","",SUMIFS(주문내역!$G$3:$G$2002,주문내역!$B$3:$B$2002,$A223,주문내역!$A$3:$A$2002,"&gt;="&amp;DATE($B$3,1,1),주문내역!$A$3:$A$2002,"&lt;="&amp;DATE($B$3,12,31)))</f>
        <v/>
      </c>
      <c r="F223" s="12" t="str">
        <f aca="false">IF($A223="","",SUMIFS(주문내역!$I$3:$I$2002,주문내역!$B$3:$B$2002,$A223,주문내역!$A$3:$A$2002,"&gt;="&amp;DATE($B$3,1,1),주문내역!$A$3:$A$2002,"&lt;="&amp;DATE($B$3,12,31)))</f>
        <v/>
      </c>
    </row>
    <row r="224" customFormat="false" ht="15" hidden="false" customHeight="true" outlineLevel="0" collapsed="false">
      <c r="A224" s="19" t="str">
        <f aca="false">IF(거래처목록!$A221="","",거래처목록!$A221)</f>
        <v/>
      </c>
      <c r="B224" s="19" t="str">
        <f aca="false">IF($A224="","",거래처목록!$B221)</f>
        <v/>
      </c>
      <c r="C224" s="20" t="str">
        <f aca="false">IF($A224="","",COUNTIFS(정기주문설정!$B$3:$B$302,$A224))</f>
        <v/>
      </c>
      <c r="D224" s="20" t="str">
        <f aca="false">IF($A224="","",COUNTIFS(주문내역!$B$3:$B$2002,$A224,주문내역!$A$3:$A$2002,"&gt;="&amp;DATE($B$3,1,1),주문내역!$A$3:$A$2002,"&lt;="&amp;DATE($B$3,12,31)))</f>
        <v/>
      </c>
      <c r="E224" s="20" t="str">
        <f aca="false">IF($A224="","",SUMIFS(주문내역!$G$3:$G$2002,주문내역!$B$3:$B$2002,$A224,주문내역!$A$3:$A$2002,"&gt;="&amp;DATE($B$3,1,1),주문내역!$A$3:$A$2002,"&lt;="&amp;DATE($B$3,12,31)))</f>
        <v/>
      </c>
      <c r="F224" s="12" t="str">
        <f aca="false">IF($A224="","",SUMIFS(주문내역!$I$3:$I$2002,주문내역!$B$3:$B$2002,$A224,주문내역!$A$3:$A$2002,"&gt;="&amp;DATE($B$3,1,1),주문내역!$A$3:$A$2002,"&lt;="&amp;DATE($B$3,12,31)))</f>
        <v/>
      </c>
    </row>
    <row r="225" customFormat="false" ht="15" hidden="false" customHeight="true" outlineLevel="0" collapsed="false">
      <c r="A225" s="19" t="str">
        <f aca="false">IF(거래처목록!$A222="","",거래처목록!$A222)</f>
        <v/>
      </c>
      <c r="B225" s="19" t="str">
        <f aca="false">IF($A225="","",거래처목록!$B222)</f>
        <v/>
      </c>
      <c r="C225" s="20" t="str">
        <f aca="false">IF($A225="","",COUNTIFS(정기주문설정!$B$3:$B$302,$A225))</f>
        <v/>
      </c>
      <c r="D225" s="20" t="str">
        <f aca="false">IF($A225="","",COUNTIFS(주문내역!$B$3:$B$2002,$A225,주문내역!$A$3:$A$2002,"&gt;="&amp;DATE($B$3,1,1),주문내역!$A$3:$A$2002,"&lt;="&amp;DATE($B$3,12,31)))</f>
        <v/>
      </c>
      <c r="E225" s="20" t="str">
        <f aca="false">IF($A225="","",SUMIFS(주문내역!$G$3:$G$2002,주문내역!$B$3:$B$2002,$A225,주문내역!$A$3:$A$2002,"&gt;="&amp;DATE($B$3,1,1),주문내역!$A$3:$A$2002,"&lt;="&amp;DATE($B$3,12,31)))</f>
        <v/>
      </c>
      <c r="F225" s="12" t="str">
        <f aca="false">IF($A225="","",SUMIFS(주문내역!$I$3:$I$2002,주문내역!$B$3:$B$2002,$A225,주문내역!$A$3:$A$2002,"&gt;="&amp;DATE($B$3,1,1),주문내역!$A$3:$A$2002,"&lt;="&amp;DATE($B$3,12,31)))</f>
        <v/>
      </c>
    </row>
    <row r="226" customFormat="false" ht="15" hidden="false" customHeight="true" outlineLevel="0" collapsed="false">
      <c r="A226" s="19" t="str">
        <f aca="false">IF(거래처목록!$A223="","",거래처목록!$A223)</f>
        <v/>
      </c>
      <c r="B226" s="19" t="str">
        <f aca="false">IF($A226="","",거래처목록!$B223)</f>
        <v/>
      </c>
      <c r="C226" s="20" t="str">
        <f aca="false">IF($A226="","",COUNTIFS(정기주문설정!$B$3:$B$302,$A226))</f>
        <v/>
      </c>
      <c r="D226" s="20" t="str">
        <f aca="false">IF($A226="","",COUNTIFS(주문내역!$B$3:$B$2002,$A226,주문내역!$A$3:$A$2002,"&gt;="&amp;DATE($B$3,1,1),주문내역!$A$3:$A$2002,"&lt;="&amp;DATE($B$3,12,31)))</f>
        <v/>
      </c>
      <c r="E226" s="20" t="str">
        <f aca="false">IF($A226="","",SUMIFS(주문내역!$G$3:$G$2002,주문내역!$B$3:$B$2002,$A226,주문내역!$A$3:$A$2002,"&gt;="&amp;DATE($B$3,1,1),주문내역!$A$3:$A$2002,"&lt;="&amp;DATE($B$3,12,31)))</f>
        <v/>
      </c>
      <c r="F226" s="12" t="str">
        <f aca="false">IF($A226="","",SUMIFS(주문내역!$I$3:$I$2002,주문내역!$B$3:$B$2002,$A226,주문내역!$A$3:$A$2002,"&gt;="&amp;DATE($B$3,1,1),주문내역!$A$3:$A$2002,"&lt;="&amp;DATE($B$3,12,31)))</f>
        <v/>
      </c>
    </row>
    <row r="227" customFormat="false" ht="15" hidden="false" customHeight="true" outlineLevel="0" collapsed="false">
      <c r="A227" s="19" t="str">
        <f aca="false">IF(거래처목록!$A224="","",거래처목록!$A224)</f>
        <v/>
      </c>
      <c r="B227" s="19" t="str">
        <f aca="false">IF($A227="","",거래처목록!$B224)</f>
        <v/>
      </c>
      <c r="C227" s="20" t="str">
        <f aca="false">IF($A227="","",COUNTIFS(정기주문설정!$B$3:$B$302,$A227))</f>
        <v/>
      </c>
      <c r="D227" s="20" t="str">
        <f aca="false">IF($A227="","",COUNTIFS(주문내역!$B$3:$B$2002,$A227,주문내역!$A$3:$A$2002,"&gt;="&amp;DATE($B$3,1,1),주문내역!$A$3:$A$2002,"&lt;="&amp;DATE($B$3,12,31)))</f>
        <v/>
      </c>
      <c r="E227" s="20" t="str">
        <f aca="false">IF($A227="","",SUMIFS(주문내역!$G$3:$G$2002,주문내역!$B$3:$B$2002,$A227,주문내역!$A$3:$A$2002,"&gt;="&amp;DATE($B$3,1,1),주문내역!$A$3:$A$2002,"&lt;="&amp;DATE($B$3,12,31)))</f>
        <v/>
      </c>
      <c r="F227" s="12" t="str">
        <f aca="false">IF($A227="","",SUMIFS(주문내역!$I$3:$I$2002,주문내역!$B$3:$B$2002,$A227,주문내역!$A$3:$A$2002,"&gt;="&amp;DATE($B$3,1,1),주문내역!$A$3:$A$2002,"&lt;="&amp;DATE($B$3,12,31)))</f>
        <v/>
      </c>
    </row>
    <row r="228" customFormat="false" ht="15" hidden="false" customHeight="true" outlineLevel="0" collapsed="false">
      <c r="A228" s="19" t="str">
        <f aca="false">IF(거래처목록!$A225="","",거래처목록!$A225)</f>
        <v/>
      </c>
      <c r="B228" s="19" t="str">
        <f aca="false">IF($A228="","",거래처목록!$B225)</f>
        <v/>
      </c>
      <c r="C228" s="20" t="str">
        <f aca="false">IF($A228="","",COUNTIFS(정기주문설정!$B$3:$B$302,$A228))</f>
        <v/>
      </c>
      <c r="D228" s="20" t="str">
        <f aca="false">IF($A228="","",COUNTIFS(주문내역!$B$3:$B$2002,$A228,주문내역!$A$3:$A$2002,"&gt;="&amp;DATE($B$3,1,1),주문내역!$A$3:$A$2002,"&lt;="&amp;DATE($B$3,12,31)))</f>
        <v/>
      </c>
      <c r="E228" s="20" t="str">
        <f aca="false">IF($A228="","",SUMIFS(주문내역!$G$3:$G$2002,주문내역!$B$3:$B$2002,$A228,주문내역!$A$3:$A$2002,"&gt;="&amp;DATE($B$3,1,1),주문내역!$A$3:$A$2002,"&lt;="&amp;DATE($B$3,12,31)))</f>
        <v/>
      </c>
      <c r="F228" s="12" t="str">
        <f aca="false">IF($A228="","",SUMIFS(주문내역!$I$3:$I$2002,주문내역!$B$3:$B$2002,$A228,주문내역!$A$3:$A$2002,"&gt;="&amp;DATE($B$3,1,1),주문내역!$A$3:$A$2002,"&lt;="&amp;DATE($B$3,12,31)))</f>
        <v/>
      </c>
    </row>
    <row r="229" customFormat="false" ht="15" hidden="false" customHeight="true" outlineLevel="0" collapsed="false">
      <c r="A229" s="19" t="str">
        <f aca="false">IF(거래처목록!$A226="","",거래처목록!$A226)</f>
        <v/>
      </c>
      <c r="B229" s="19" t="str">
        <f aca="false">IF($A229="","",거래처목록!$B226)</f>
        <v/>
      </c>
      <c r="C229" s="20" t="str">
        <f aca="false">IF($A229="","",COUNTIFS(정기주문설정!$B$3:$B$302,$A229))</f>
        <v/>
      </c>
      <c r="D229" s="20" t="str">
        <f aca="false">IF($A229="","",COUNTIFS(주문내역!$B$3:$B$2002,$A229,주문내역!$A$3:$A$2002,"&gt;="&amp;DATE($B$3,1,1),주문내역!$A$3:$A$2002,"&lt;="&amp;DATE($B$3,12,31)))</f>
        <v/>
      </c>
      <c r="E229" s="20" t="str">
        <f aca="false">IF($A229="","",SUMIFS(주문내역!$G$3:$G$2002,주문내역!$B$3:$B$2002,$A229,주문내역!$A$3:$A$2002,"&gt;="&amp;DATE($B$3,1,1),주문내역!$A$3:$A$2002,"&lt;="&amp;DATE($B$3,12,31)))</f>
        <v/>
      </c>
      <c r="F229" s="12" t="str">
        <f aca="false">IF($A229="","",SUMIFS(주문내역!$I$3:$I$2002,주문내역!$B$3:$B$2002,$A229,주문내역!$A$3:$A$2002,"&gt;="&amp;DATE($B$3,1,1),주문내역!$A$3:$A$2002,"&lt;="&amp;DATE($B$3,12,31)))</f>
        <v/>
      </c>
    </row>
    <row r="230" customFormat="false" ht="15" hidden="false" customHeight="true" outlineLevel="0" collapsed="false">
      <c r="A230" s="19" t="str">
        <f aca="false">IF(거래처목록!$A227="","",거래처목록!$A227)</f>
        <v/>
      </c>
      <c r="B230" s="19" t="str">
        <f aca="false">IF($A230="","",거래처목록!$B227)</f>
        <v/>
      </c>
      <c r="C230" s="20" t="str">
        <f aca="false">IF($A230="","",COUNTIFS(정기주문설정!$B$3:$B$302,$A230))</f>
        <v/>
      </c>
      <c r="D230" s="20" t="str">
        <f aca="false">IF($A230="","",COUNTIFS(주문내역!$B$3:$B$2002,$A230,주문내역!$A$3:$A$2002,"&gt;="&amp;DATE($B$3,1,1),주문내역!$A$3:$A$2002,"&lt;="&amp;DATE($B$3,12,31)))</f>
        <v/>
      </c>
      <c r="E230" s="20" t="str">
        <f aca="false">IF($A230="","",SUMIFS(주문내역!$G$3:$G$2002,주문내역!$B$3:$B$2002,$A230,주문내역!$A$3:$A$2002,"&gt;="&amp;DATE($B$3,1,1),주문내역!$A$3:$A$2002,"&lt;="&amp;DATE($B$3,12,31)))</f>
        <v/>
      </c>
      <c r="F230" s="12" t="str">
        <f aca="false">IF($A230="","",SUMIFS(주문내역!$I$3:$I$2002,주문내역!$B$3:$B$2002,$A230,주문내역!$A$3:$A$2002,"&gt;="&amp;DATE($B$3,1,1),주문내역!$A$3:$A$2002,"&lt;="&amp;DATE($B$3,12,31)))</f>
        <v/>
      </c>
    </row>
    <row r="231" customFormat="false" ht="15" hidden="false" customHeight="true" outlineLevel="0" collapsed="false">
      <c r="A231" s="19" t="str">
        <f aca="false">IF(거래처목록!$A228="","",거래처목록!$A228)</f>
        <v/>
      </c>
      <c r="B231" s="19" t="str">
        <f aca="false">IF($A231="","",거래처목록!$B228)</f>
        <v/>
      </c>
      <c r="C231" s="20" t="str">
        <f aca="false">IF($A231="","",COUNTIFS(정기주문설정!$B$3:$B$302,$A231))</f>
        <v/>
      </c>
      <c r="D231" s="20" t="str">
        <f aca="false">IF($A231="","",COUNTIFS(주문내역!$B$3:$B$2002,$A231,주문내역!$A$3:$A$2002,"&gt;="&amp;DATE($B$3,1,1),주문내역!$A$3:$A$2002,"&lt;="&amp;DATE($B$3,12,31)))</f>
        <v/>
      </c>
      <c r="E231" s="20" t="str">
        <f aca="false">IF($A231="","",SUMIFS(주문내역!$G$3:$G$2002,주문내역!$B$3:$B$2002,$A231,주문내역!$A$3:$A$2002,"&gt;="&amp;DATE($B$3,1,1),주문내역!$A$3:$A$2002,"&lt;="&amp;DATE($B$3,12,31)))</f>
        <v/>
      </c>
      <c r="F231" s="12" t="str">
        <f aca="false">IF($A231="","",SUMIFS(주문내역!$I$3:$I$2002,주문내역!$B$3:$B$2002,$A231,주문내역!$A$3:$A$2002,"&gt;="&amp;DATE($B$3,1,1),주문내역!$A$3:$A$2002,"&lt;="&amp;DATE($B$3,12,31)))</f>
        <v/>
      </c>
    </row>
    <row r="232" customFormat="false" ht="15" hidden="false" customHeight="true" outlineLevel="0" collapsed="false">
      <c r="A232" s="19" t="str">
        <f aca="false">IF(거래처목록!$A229="","",거래처목록!$A229)</f>
        <v/>
      </c>
      <c r="B232" s="19" t="str">
        <f aca="false">IF($A232="","",거래처목록!$B229)</f>
        <v/>
      </c>
      <c r="C232" s="20" t="str">
        <f aca="false">IF($A232="","",COUNTIFS(정기주문설정!$B$3:$B$302,$A232))</f>
        <v/>
      </c>
      <c r="D232" s="20" t="str">
        <f aca="false">IF($A232="","",COUNTIFS(주문내역!$B$3:$B$2002,$A232,주문내역!$A$3:$A$2002,"&gt;="&amp;DATE($B$3,1,1),주문내역!$A$3:$A$2002,"&lt;="&amp;DATE($B$3,12,31)))</f>
        <v/>
      </c>
      <c r="E232" s="20" t="str">
        <f aca="false">IF($A232="","",SUMIFS(주문내역!$G$3:$G$2002,주문내역!$B$3:$B$2002,$A232,주문내역!$A$3:$A$2002,"&gt;="&amp;DATE($B$3,1,1),주문내역!$A$3:$A$2002,"&lt;="&amp;DATE($B$3,12,31)))</f>
        <v/>
      </c>
      <c r="F232" s="12" t="str">
        <f aca="false">IF($A232="","",SUMIFS(주문내역!$I$3:$I$2002,주문내역!$B$3:$B$2002,$A232,주문내역!$A$3:$A$2002,"&gt;="&amp;DATE($B$3,1,1),주문내역!$A$3:$A$2002,"&lt;="&amp;DATE($B$3,12,31)))</f>
        <v/>
      </c>
    </row>
    <row r="233" customFormat="false" ht="15" hidden="false" customHeight="true" outlineLevel="0" collapsed="false">
      <c r="A233" s="19" t="str">
        <f aca="false">IF(거래처목록!$A230="","",거래처목록!$A230)</f>
        <v/>
      </c>
      <c r="B233" s="19" t="str">
        <f aca="false">IF($A233="","",거래처목록!$B230)</f>
        <v/>
      </c>
      <c r="C233" s="20" t="str">
        <f aca="false">IF($A233="","",COUNTIFS(정기주문설정!$B$3:$B$302,$A233))</f>
        <v/>
      </c>
      <c r="D233" s="20" t="str">
        <f aca="false">IF($A233="","",COUNTIFS(주문내역!$B$3:$B$2002,$A233,주문내역!$A$3:$A$2002,"&gt;="&amp;DATE($B$3,1,1),주문내역!$A$3:$A$2002,"&lt;="&amp;DATE($B$3,12,31)))</f>
        <v/>
      </c>
      <c r="E233" s="20" t="str">
        <f aca="false">IF($A233="","",SUMIFS(주문내역!$G$3:$G$2002,주문내역!$B$3:$B$2002,$A233,주문내역!$A$3:$A$2002,"&gt;="&amp;DATE($B$3,1,1),주문내역!$A$3:$A$2002,"&lt;="&amp;DATE($B$3,12,31)))</f>
        <v/>
      </c>
      <c r="F233" s="12" t="str">
        <f aca="false">IF($A233="","",SUMIFS(주문내역!$I$3:$I$2002,주문내역!$B$3:$B$2002,$A233,주문내역!$A$3:$A$2002,"&gt;="&amp;DATE($B$3,1,1),주문내역!$A$3:$A$2002,"&lt;="&amp;DATE($B$3,12,31)))</f>
        <v/>
      </c>
    </row>
    <row r="234" customFormat="false" ht="15" hidden="false" customHeight="true" outlineLevel="0" collapsed="false">
      <c r="A234" s="19" t="str">
        <f aca="false">IF(거래처목록!$A231="","",거래처목록!$A231)</f>
        <v/>
      </c>
      <c r="B234" s="19" t="str">
        <f aca="false">IF($A234="","",거래처목록!$B231)</f>
        <v/>
      </c>
      <c r="C234" s="20" t="str">
        <f aca="false">IF($A234="","",COUNTIFS(정기주문설정!$B$3:$B$302,$A234))</f>
        <v/>
      </c>
      <c r="D234" s="20" t="str">
        <f aca="false">IF($A234="","",COUNTIFS(주문내역!$B$3:$B$2002,$A234,주문내역!$A$3:$A$2002,"&gt;="&amp;DATE($B$3,1,1),주문내역!$A$3:$A$2002,"&lt;="&amp;DATE($B$3,12,31)))</f>
        <v/>
      </c>
      <c r="E234" s="20" t="str">
        <f aca="false">IF($A234="","",SUMIFS(주문내역!$G$3:$G$2002,주문내역!$B$3:$B$2002,$A234,주문내역!$A$3:$A$2002,"&gt;="&amp;DATE($B$3,1,1),주문내역!$A$3:$A$2002,"&lt;="&amp;DATE($B$3,12,31)))</f>
        <v/>
      </c>
      <c r="F234" s="12" t="str">
        <f aca="false">IF($A234="","",SUMIFS(주문내역!$I$3:$I$2002,주문내역!$B$3:$B$2002,$A234,주문내역!$A$3:$A$2002,"&gt;="&amp;DATE($B$3,1,1),주문내역!$A$3:$A$2002,"&lt;="&amp;DATE($B$3,12,31)))</f>
        <v/>
      </c>
    </row>
    <row r="235" customFormat="false" ht="15" hidden="false" customHeight="true" outlineLevel="0" collapsed="false">
      <c r="A235" s="19" t="str">
        <f aca="false">IF(거래처목록!$A232="","",거래처목록!$A232)</f>
        <v/>
      </c>
      <c r="B235" s="19" t="str">
        <f aca="false">IF($A235="","",거래처목록!$B232)</f>
        <v/>
      </c>
      <c r="C235" s="20" t="str">
        <f aca="false">IF($A235="","",COUNTIFS(정기주문설정!$B$3:$B$302,$A235))</f>
        <v/>
      </c>
      <c r="D235" s="20" t="str">
        <f aca="false">IF($A235="","",COUNTIFS(주문내역!$B$3:$B$2002,$A235,주문내역!$A$3:$A$2002,"&gt;="&amp;DATE($B$3,1,1),주문내역!$A$3:$A$2002,"&lt;="&amp;DATE($B$3,12,31)))</f>
        <v/>
      </c>
      <c r="E235" s="20" t="str">
        <f aca="false">IF($A235="","",SUMIFS(주문내역!$G$3:$G$2002,주문내역!$B$3:$B$2002,$A235,주문내역!$A$3:$A$2002,"&gt;="&amp;DATE($B$3,1,1),주문내역!$A$3:$A$2002,"&lt;="&amp;DATE($B$3,12,31)))</f>
        <v/>
      </c>
      <c r="F235" s="12" t="str">
        <f aca="false">IF($A235="","",SUMIFS(주문내역!$I$3:$I$2002,주문내역!$B$3:$B$2002,$A235,주문내역!$A$3:$A$2002,"&gt;="&amp;DATE($B$3,1,1),주문내역!$A$3:$A$2002,"&lt;="&amp;DATE($B$3,12,31)))</f>
        <v/>
      </c>
    </row>
    <row r="236" customFormat="false" ht="15" hidden="false" customHeight="true" outlineLevel="0" collapsed="false">
      <c r="A236" s="19" t="str">
        <f aca="false">IF(거래처목록!$A233="","",거래처목록!$A233)</f>
        <v/>
      </c>
      <c r="B236" s="19" t="str">
        <f aca="false">IF($A236="","",거래처목록!$B233)</f>
        <v/>
      </c>
      <c r="C236" s="20" t="str">
        <f aca="false">IF($A236="","",COUNTIFS(정기주문설정!$B$3:$B$302,$A236))</f>
        <v/>
      </c>
      <c r="D236" s="20" t="str">
        <f aca="false">IF($A236="","",COUNTIFS(주문내역!$B$3:$B$2002,$A236,주문내역!$A$3:$A$2002,"&gt;="&amp;DATE($B$3,1,1),주문내역!$A$3:$A$2002,"&lt;="&amp;DATE($B$3,12,31)))</f>
        <v/>
      </c>
      <c r="E236" s="20" t="str">
        <f aca="false">IF($A236="","",SUMIFS(주문내역!$G$3:$G$2002,주문내역!$B$3:$B$2002,$A236,주문내역!$A$3:$A$2002,"&gt;="&amp;DATE($B$3,1,1),주문내역!$A$3:$A$2002,"&lt;="&amp;DATE($B$3,12,31)))</f>
        <v/>
      </c>
      <c r="F236" s="12" t="str">
        <f aca="false">IF($A236="","",SUMIFS(주문내역!$I$3:$I$2002,주문내역!$B$3:$B$2002,$A236,주문내역!$A$3:$A$2002,"&gt;="&amp;DATE($B$3,1,1),주문내역!$A$3:$A$2002,"&lt;="&amp;DATE($B$3,12,31)))</f>
        <v/>
      </c>
    </row>
    <row r="237" customFormat="false" ht="15" hidden="false" customHeight="true" outlineLevel="0" collapsed="false">
      <c r="A237" s="19" t="str">
        <f aca="false">IF(거래처목록!$A234="","",거래처목록!$A234)</f>
        <v/>
      </c>
      <c r="B237" s="19" t="str">
        <f aca="false">IF($A237="","",거래처목록!$B234)</f>
        <v/>
      </c>
      <c r="C237" s="20" t="str">
        <f aca="false">IF($A237="","",COUNTIFS(정기주문설정!$B$3:$B$302,$A237))</f>
        <v/>
      </c>
      <c r="D237" s="20" t="str">
        <f aca="false">IF($A237="","",COUNTIFS(주문내역!$B$3:$B$2002,$A237,주문내역!$A$3:$A$2002,"&gt;="&amp;DATE($B$3,1,1),주문내역!$A$3:$A$2002,"&lt;="&amp;DATE($B$3,12,31)))</f>
        <v/>
      </c>
      <c r="E237" s="20" t="str">
        <f aca="false">IF($A237="","",SUMIFS(주문내역!$G$3:$G$2002,주문내역!$B$3:$B$2002,$A237,주문내역!$A$3:$A$2002,"&gt;="&amp;DATE($B$3,1,1),주문내역!$A$3:$A$2002,"&lt;="&amp;DATE($B$3,12,31)))</f>
        <v/>
      </c>
      <c r="F237" s="12" t="str">
        <f aca="false">IF($A237="","",SUMIFS(주문내역!$I$3:$I$2002,주문내역!$B$3:$B$2002,$A237,주문내역!$A$3:$A$2002,"&gt;="&amp;DATE($B$3,1,1),주문내역!$A$3:$A$2002,"&lt;="&amp;DATE($B$3,12,31)))</f>
        <v/>
      </c>
    </row>
    <row r="238" customFormat="false" ht="15" hidden="false" customHeight="true" outlineLevel="0" collapsed="false">
      <c r="A238" s="19" t="str">
        <f aca="false">IF(거래처목록!$A235="","",거래처목록!$A235)</f>
        <v/>
      </c>
      <c r="B238" s="19" t="str">
        <f aca="false">IF($A238="","",거래처목록!$B235)</f>
        <v/>
      </c>
      <c r="C238" s="20" t="str">
        <f aca="false">IF($A238="","",COUNTIFS(정기주문설정!$B$3:$B$302,$A238))</f>
        <v/>
      </c>
      <c r="D238" s="20" t="str">
        <f aca="false">IF($A238="","",COUNTIFS(주문내역!$B$3:$B$2002,$A238,주문내역!$A$3:$A$2002,"&gt;="&amp;DATE($B$3,1,1),주문내역!$A$3:$A$2002,"&lt;="&amp;DATE($B$3,12,31)))</f>
        <v/>
      </c>
      <c r="E238" s="20" t="str">
        <f aca="false">IF($A238="","",SUMIFS(주문내역!$G$3:$G$2002,주문내역!$B$3:$B$2002,$A238,주문내역!$A$3:$A$2002,"&gt;="&amp;DATE($B$3,1,1),주문내역!$A$3:$A$2002,"&lt;="&amp;DATE($B$3,12,31)))</f>
        <v/>
      </c>
      <c r="F238" s="12" t="str">
        <f aca="false">IF($A238="","",SUMIFS(주문내역!$I$3:$I$2002,주문내역!$B$3:$B$2002,$A238,주문내역!$A$3:$A$2002,"&gt;="&amp;DATE($B$3,1,1),주문내역!$A$3:$A$2002,"&lt;="&amp;DATE($B$3,12,31)))</f>
        <v/>
      </c>
    </row>
    <row r="239" customFormat="false" ht="15" hidden="false" customHeight="true" outlineLevel="0" collapsed="false">
      <c r="A239" s="19" t="str">
        <f aca="false">IF(거래처목록!$A236="","",거래처목록!$A236)</f>
        <v/>
      </c>
      <c r="B239" s="19" t="str">
        <f aca="false">IF($A239="","",거래처목록!$B236)</f>
        <v/>
      </c>
      <c r="C239" s="20" t="str">
        <f aca="false">IF($A239="","",COUNTIFS(정기주문설정!$B$3:$B$302,$A239))</f>
        <v/>
      </c>
      <c r="D239" s="20" t="str">
        <f aca="false">IF($A239="","",COUNTIFS(주문내역!$B$3:$B$2002,$A239,주문내역!$A$3:$A$2002,"&gt;="&amp;DATE($B$3,1,1),주문내역!$A$3:$A$2002,"&lt;="&amp;DATE($B$3,12,31)))</f>
        <v/>
      </c>
      <c r="E239" s="20" t="str">
        <f aca="false">IF($A239="","",SUMIFS(주문내역!$G$3:$G$2002,주문내역!$B$3:$B$2002,$A239,주문내역!$A$3:$A$2002,"&gt;="&amp;DATE($B$3,1,1),주문내역!$A$3:$A$2002,"&lt;="&amp;DATE($B$3,12,31)))</f>
        <v/>
      </c>
      <c r="F239" s="12" t="str">
        <f aca="false">IF($A239="","",SUMIFS(주문내역!$I$3:$I$2002,주문내역!$B$3:$B$2002,$A239,주문내역!$A$3:$A$2002,"&gt;="&amp;DATE($B$3,1,1),주문내역!$A$3:$A$2002,"&lt;="&amp;DATE($B$3,12,31)))</f>
        <v/>
      </c>
    </row>
    <row r="240" customFormat="false" ht="15" hidden="false" customHeight="true" outlineLevel="0" collapsed="false">
      <c r="A240" s="19" t="str">
        <f aca="false">IF(거래처목록!$A237="","",거래처목록!$A237)</f>
        <v/>
      </c>
      <c r="B240" s="19" t="str">
        <f aca="false">IF($A240="","",거래처목록!$B237)</f>
        <v/>
      </c>
      <c r="C240" s="20" t="str">
        <f aca="false">IF($A240="","",COUNTIFS(정기주문설정!$B$3:$B$302,$A240))</f>
        <v/>
      </c>
      <c r="D240" s="20" t="str">
        <f aca="false">IF($A240="","",COUNTIFS(주문내역!$B$3:$B$2002,$A240,주문내역!$A$3:$A$2002,"&gt;="&amp;DATE($B$3,1,1),주문내역!$A$3:$A$2002,"&lt;="&amp;DATE($B$3,12,31)))</f>
        <v/>
      </c>
      <c r="E240" s="20" t="str">
        <f aca="false">IF($A240="","",SUMIFS(주문내역!$G$3:$G$2002,주문내역!$B$3:$B$2002,$A240,주문내역!$A$3:$A$2002,"&gt;="&amp;DATE($B$3,1,1),주문내역!$A$3:$A$2002,"&lt;="&amp;DATE($B$3,12,31)))</f>
        <v/>
      </c>
      <c r="F240" s="12" t="str">
        <f aca="false">IF($A240="","",SUMIFS(주문내역!$I$3:$I$2002,주문내역!$B$3:$B$2002,$A240,주문내역!$A$3:$A$2002,"&gt;="&amp;DATE($B$3,1,1),주문내역!$A$3:$A$2002,"&lt;="&amp;DATE($B$3,12,31)))</f>
        <v/>
      </c>
    </row>
    <row r="241" customFormat="false" ht="15" hidden="false" customHeight="true" outlineLevel="0" collapsed="false">
      <c r="A241" s="19" t="str">
        <f aca="false">IF(거래처목록!$A238="","",거래처목록!$A238)</f>
        <v/>
      </c>
      <c r="B241" s="19" t="str">
        <f aca="false">IF($A241="","",거래처목록!$B238)</f>
        <v/>
      </c>
      <c r="C241" s="20" t="str">
        <f aca="false">IF($A241="","",COUNTIFS(정기주문설정!$B$3:$B$302,$A241))</f>
        <v/>
      </c>
      <c r="D241" s="20" t="str">
        <f aca="false">IF($A241="","",COUNTIFS(주문내역!$B$3:$B$2002,$A241,주문내역!$A$3:$A$2002,"&gt;="&amp;DATE($B$3,1,1),주문내역!$A$3:$A$2002,"&lt;="&amp;DATE($B$3,12,31)))</f>
        <v/>
      </c>
      <c r="E241" s="20" t="str">
        <f aca="false">IF($A241="","",SUMIFS(주문내역!$G$3:$G$2002,주문내역!$B$3:$B$2002,$A241,주문내역!$A$3:$A$2002,"&gt;="&amp;DATE($B$3,1,1),주문내역!$A$3:$A$2002,"&lt;="&amp;DATE($B$3,12,31)))</f>
        <v/>
      </c>
      <c r="F241" s="12" t="str">
        <f aca="false">IF($A241="","",SUMIFS(주문내역!$I$3:$I$2002,주문내역!$B$3:$B$2002,$A241,주문내역!$A$3:$A$2002,"&gt;="&amp;DATE($B$3,1,1),주문내역!$A$3:$A$2002,"&lt;="&amp;DATE($B$3,12,31)))</f>
        <v/>
      </c>
    </row>
    <row r="242" customFormat="false" ht="15" hidden="false" customHeight="true" outlineLevel="0" collapsed="false">
      <c r="A242" s="19" t="str">
        <f aca="false">IF(거래처목록!$A239="","",거래처목록!$A239)</f>
        <v/>
      </c>
      <c r="B242" s="19" t="str">
        <f aca="false">IF($A242="","",거래처목록!$B239)</f>
        <v/>
      </c>
      <c r="C242" s="20" t="str">
        <f aca="false">IF($A242="","",COUNTIFS(정기주문설정!$B$3:$B$302,$A242))</f>
        <v/>
      </c>
      <c r="D242" s="20" t="str">
        <f aca="false">IF($A242="","",COUNTIFS(주문내역!$B$3:$B$2002,$A242,주문내역!$A$3:$A$2002,"&gt;="&amp;DATE($B$3,1,1),주문내역!$A$3:$A$2002,"&lt;="&amp;DATE($B$3,12,31)))</f>
        <v/>
      </c>
      <c r="E242" s="20" t="str">
        <f aca="false">IF($A242="","",SUMIFS(주문내역!$G$3:$G$2002,주문내역!$B$3:$B$2002,$A242,주문내역!$A$3:$A$2002,"&gt;="&amp;DATE($B$3,1,1),주문내역!$A$3:$A$2002,"&lt;="&amp;DATE($B$3,12,31)))</f>
        <v/>
      </c>
      <c r="F242" s="12" t="str">
        <f aca="false">IF($A242="","",SUMIFS(주문내역!$I$3:$I$2002,주문내역!$B$3:$B$2002,$A242,주문내역!$A$3:$A$2002,"&gt;="&amp;DATE($B$3,1,1),주문내역!$A$3:$A$2002,"&lt;="&amp;DATE($B$3,12,31)))</f>
        <v/>
      </c>
    </row>
    <row r="243" customFormat="false" ht="15" hidden="false" customHeight="true" outlineLevel="0" collapsed="false">
      <c r="A243" s="19" t="str">
        <f aca="false">IF(거래처목록!$A240="","",거래처목록!$A240)</f>
        <v/>
      </c>
      <c r="B243" s="19" t="str">
        <f aca="false">IF($A243="","",거래처목록!$B240)</f>
        <v/>
      </c>
      <c r="C243" s="20" t="str">
        <f aca="false">IF($A243="","",COUNTIFS(정기주문설정!$B$3:$B$302,$A243))</f>
        <v/>
      </c>
      <c r="D243" s="20" t="str">
        <f aca="false">IF($A243="","",COUNTIFS(주문내역!$B$3:$B$2002,$A243,주문내역!$A$3:$A$2002,"&gt;="&amp;DATE($B$3,1,1),주문내역!$A$3:$A$2002,"&lt;="&amp;DATE($B$3,12,31)))</f>
        <v/>
      </c>
      <c r="E243" s="20" t="str">
        <f aca="false">IF($A243="","",SUMIFS(주문내역!$G$3:$G$2002,주문내역!$B$3:$B$2002,$A243,주문내역!$A$3:$A$2002,"&gt;="&amp;DATE($B$3,1,1),주문내역!$A$3:$A$2002,"&lt;="&amp;DATE($B$3,12,31)))</f>
        <v/>
      </c>
      <c r="F243" s="12" t="str">
        <f aca="false">IF($A243="","",SUMIFS(주문내역!$I$3:$I$2002,주문내역!$B$3:$B$2002,$A243,주문내역!$A$3:$A$2002,"&gt;="&amp;DATE($B$3,1,1),주문내역!$A$3:$A$2002,"&lt;="&amp;DATE($B$3,12,31)))</f>
        <v/>
      </c>
    </row>
    <row r="244" customFormat="false" ht="15" hidden="false" customHeight="true" outlineLevel="0" collapsed="false">
      <c r="A244" s="19" t="str">
        <f aca="false">IF(거래처목록!$A241="","",거래처목록!$A241)</f>
        <v/>
      </c>
      <c r="B244" s="19" t="str">
        <f aca="false">IF($A244="","",거래처목록!$B241)</f>
        <v/>
      </c>
      <c r="C244" s="20" t="str">
        <f aca="false">IF($A244="","",COUNTIFS(정기주문설정!$B$3:$B$302,$A244))</f>
        <v/>
      </c>
      <c r="D244" s="20" t="str">
        <f aca="false">IF($A244="","",COUNTIFS(주문내역!$B$3:$B$2002,$A244,주문내역!$A$3:$A$2002,"&gt;="&amp;DATE($B$3,1,1),주문내역!$A$3:$A$2002,"&lt;="&amp;DATE($B$3,12,31)))</f>
        <v/>
      </c>
      <c r="E244" s="20" t="str">
        <f aca="false">IF($A244="","",SUMIFS(주문내역!$G$3:$G$2002,주문내역!$B$3:$B$2002,$A244,주문내역!$A$3:$A$2002,"&gt;="&amp;DATE($B$3,1,1),주문내역!$A$3:$A$2002,"&lt;="&amp;DATE($B$3,12,31)))</f>
        <v/>
      </c>
      <c r="F244" s="12" t="str">
        <f aca="false">IF($A244="","",SUMIFS(주문내역!$I$3:$I$2002,주문내역!$B$3:$B$2002,$A244,주문내역!$A$3:$A$2002,"&gt;="&amp;DATE($B$3,1,1),주문내역!$A$3:$A$2002,"&lt;="&amp;DATE($B$3,12,31)))</f>
        <v/>
      </c>
    </row>
    <row r="245" customFormat="false" ht="15" hidden="false" customHeight="true" outlineLevel="0" collapsed="false">
      <c r="A245" s="19" t="str">
        <f aca="false">IF(거래처목록!$A242="","",거래처목록!$A242)</f>
        <v/>
      </c>
      <c r="B245" s="19" t="str">
        <f aca="false">IF($A245="","",거래처목록!$B242)</f>
        <v/>
      </c>
      <c r="C245" s="20" t="str">
        <f aca="false">IF($A245="","",COUNTIFS(정기주문설정!$B$3:$B$302,$A245))</f>
        <v/>
      </c>
      <c r="D245" s="20" t="str">
        <f aca="false">IF($A245="","",COUNTIFS(주문내역!$B$3:$B$2002,$A245,주문내역!$A$3:$A$2002,"&gt;="&amp;DATE($B$3,1,1),주문내역!$A$3:$A$2002,"&lt;="&amp;DATE($B$3,12,31)))</f>
        <v/>
      </c>
      <c r="E245" s="20" t="str">
        <f aca="false">IF($A245="","",SUMIFS(주문내역!$G$3:$G$2002,주문내역!$B$3:$B$2002,$A245,주문내역!$A$3:$A$2002,"&gt;="&amp;DATE($B$3,1,1),주문내역!$A$3:$A$2002,"&lt;="&amp;DATE($B$3,12,31)))</f>
        <v/>
      </c>
      <c r="F245" s="12" t="str">
        <f aca="false">IF($A245="","",SUMIFS(주문내역!$I$3:$I$2002,주문내역!$B$3:$B$2002,$A245,주문내역!$A$3:$A$2002,"&gt;="&amp;DATE($B$3,1,1),주문내역!$A$3:$A$2002,"&lt;="&amp;DATE($B$3,12,31)))</f>
        <v/>
      </c>
    </row>
    <row r="246" customFormat="false" ht="15" hidden="false" customHeight="true" outlineLevel="0" collapsed="false">
      <c r="A246" s="19" t="str">
        <f aca="false">IF(거래처목록!$A243="","",거래처목록!$A243)</f>
        <v/>
      </c>
      <c r="B246" s="19" t="str">
        <f aca="false">IF($A246="","",거래처목록!$B243)</f>
        <v/>
      </c>
      <c r="C246" s="20" t="str">
        <f aca="false">IF($A246="","",COUNTIFS(정기주문설정!$B$3:$B$302,$A246))</f>
        <v/>
      </c>
      <c r="D246" s="20" t="str">
        <f aca="false">IF($A246="","",COUNTIFS(주문내역!$B$3:$B$2002,$A246,주문내역!$A$3:$A$2002,"&gt;="&amp;DATE($B$3,1,1),주문내역!$A$3:$A$2002,"&lt;="&amp;DATE($B$3,12,31)))</f>
        <v/>
      </c>
      <c r="E246" s="20" t="str">
        <f aca="false">IF($A246="","",SUMIFS(주문내역!$G$3:$G$2002,주문내역!$B$3:$B$2002,$A246,주문내역!$A$3:$A$2002,"&gt;="&amp;DATE($B$3,1,1),주문내역!$A$3:$A$2002,"&lt;="&amp;DATE($B$3,12,31)))</f>
        <v/>
      </c>
      <c r="F246" s="12" t="str">
        <f aca="false">IF($A246="","",SUMIFS(주문내역!$I$3:$I$2002,주문내역!$B$3:$B$2002,$A246,주문내역!$A$3:$A$2002,"&gt;="&amp;DATE($B$3,1,1),주문내역!$A$3:$A$2002,"&lt;="&amp;DATE($B$3,12,31)))</f>
        <v/>
      </c>
    </row>
    <row r="247" customFormat="false" ht="15" hidden="false" customHeight="true" outlineLevel="0" collapsed="false">
      <c r="A247" s="19" t="str">
        <f aca="false">IF(거래처목록!$A244="","",거래처목록!$A244)</f>
        <v/>
      </c>
      <c r="B247" s="19" t="str">
        <f aca="false">IF($A247="","",거래처목록!$B244)</f>
        <v/>
      </c>
      <c r="C247" s="20" t="str">
        <f aca="false">IF($A247="","",COUNTIFS(정기주문설정!$B$3:$B$302,$A247))</f>
        <v/>
      </c>
      <c r="D247" s="20" t="str">
        <f aca="false">IF($A247="","",COUNTIFS(주문내역!$B$3:$B$2002,$A247,주문내역!$A$3:$A$2002,"&gt;="&amp;DATE($B$3,1,1),주문내역!$A$3:$A$2002,"&lt;="&amp;DATE($B$3,12,31)))</f>
        <v/>
      </c>
      <c r="E247" s="20" t="str">
        <f aca="false">IF($A247="","",SUMIFS(주문내역!$G$3:$G$2002,주문내역!$B$3:$B$2002,$A247,주문내역!$A$3:$A$2002,"&gt;="&amp;DATE($B$3,1,1),주문내역!$A$3:$A$2002,"&lt;="&amp;DATE($B$3,12,31)))</f>
        <v/>
      </c>
      <c r="F247" s="12" t="str">
        <f aca="false">IF($A247="","",SUMIFS(주문내역!$I$3:$I$2002,주문내역!$B$3:$B$2002,$A247,주문내역!$A$3:$A$2002,"&gt;="&amp;DATE($B$3,1,1),주문내역!$A$3:$A$2002,"&lt;="&amp;DATE($B$3,12,31)))</f>
        <v/>
      </c>
    </row>
    <row r="248" customFormat="false" ht="15" hidden="false" customHeight="true" outlineLevel="0" collapsed="false">
      <c r="A248" s="19" t="str">
        <f aca="false">IF(거래처목록!$A245="","",거래처목록!$A245)</f>
        <v/>
      </c>
      <c r="B248" s="19" t="str">
        <f aca="false">IF($A248="","",거래처목록!$B245)</f>
        <v/>
      </c>
      <c r="C248" s="20" t="str">
        <f aca="false">IF($A248="","",COUNTIFS(정기주문설정!$B$3:$B$302,$A248))</f>
        <v/>
      </c>
      <c r="D248" s="20" t="str">
        <f aca="false">IF($A248="","",COUNTIFS(주문내역!$B$3:$B$2002,$A248,주문내역!$A$3:$A$2002,"&gt;="&amp;DATE($B$3,1,1),주문내역!$A$3:$A$2002,"&lt;="&amp;DATE($B$3,12,31)))</f>
        <v/>
      </c>
      <c r="E248" s="20" t="str">
        <f aca="false">IF($A248="","",SUMIFS(주문내역!$G$3:$G$2002,주문내역!$B$3:$B$2002,$A248,주문내역!$A$3:$A$2002,"&gt;="&amp;DATE($B$3,1,1),주문내역!$A$3:$A$2002,"&lt;="&amp;DATE($B$3,12,31)))</f>
        <v/>
      </c>
      <c r="F248" s="12" t="str">
        <f aca="false">IF($A248="","",SUMIFS(주문내역!$I$3:$I$2002,주문내역!$B$3:$B$2002,$A248,주문내역!$A$3:$A$2002,"&gt;="&amp;DATE($B$3,1,1),주문내역!$A$3:$A$2002,"&lt;="&amp;DATE($B$3,12,31)))</f>
        <v/>
      </c>
    </row>
    <row r="249" customFormat="false" ht="15" hidden="false" customHeight="true" outlineLevel="0" collapsed="false">
      <c r="A249" s="19" t="str">
        <f aca="false">IF(거래처목록!$A246="","",거래처목록!$A246)</f>
        <v/>
      </c>
      <c r="B249" s="19" t="str">
        <f aca="false">IF($A249="","",거래처목록!$B246)</f>
        <v/>
      </c>
      <c r="C249" s="20" t="str">
        <f aca="false">IF($A249="","",COUNTIFS(정기주문설정!$B$3:$B$302,$A249))</f>
        <v/>
      </c>
      <c r="D249" s="20" t="str">
        <f aca="false">IF($A249="","",COUNTIFS(주문내역!$B$3:$B$2002,$A249,주문내역!$A$3:$A$2002,"&gt;="&amp;DATE($B$3,1,1),주문내역!$A$3:$A$2002,"&lt;="&amp;DATE($B$3,12,31)))</f>
        <v/>
      </c>
      <c r="E249" s="20" t="str">
        <f aca="false">IF($A249="","",SUMIFS(주문내역!$G$3:$G$2002,주문내역!$B$3:$B$2002,$A249,주문내역!$A$3:$A$2002,"&gt;="&amp;DATE($B$3,1,1),주문내역!$A$3:$A$2002,"&lt;="&amp;DATE($B$3,12,31)))</f>
        <v/>
      </c>
      <c r="F249" s="12" t="str">
        <f aca="false">IF($A249="","",SUMIFS(주문내역!$I$3:$I$2002,주문내역!$B$3:$B$2002,$A249,주문내역!$A$3:$A$2002,"&gt;="&amp;DATE($B$3,1,1),주문내역!$A$3:$A$2002,"&lt;="&amp;DATE($B$3,12,31)))</f>
        <v/>
      </c>
    </row>
    <row r="250" customFormat="false" ht="15" hidden="false" customHeight="true" outlineLevel="0" collapsed="false">
      <c r="A250" s="19" t="str">
        <f aca="false">IF(거래처목록!$A247="","",거래처목록!$A247)</f>
        <v/>
      </c>
      <c r="B250" s="19" t="str">
        <f aca="false">IF($A250="","",거래처목록!$B247)</f>
        <v/>
      </c>
      <c r="C250" s="20" t="str">
        <f aca="false">IF($A250="","",COUNTIFS(정기주문설정!$B$3:$B$302,$A250))</f>
        <v/>
      </c>
      <c r="D250" s="20" t="str">
        <f aca="false">IF($A250="","",COUNTIFS(주문내역!$B$3:$B$2002,$A250,주문내역!$A$3:$A$2002,"&gt;="&amp;DATE($B$3,1,1),주문내역!$A$3:$A$2002,"&lt;="&amp;DATE($B$3,12,31)))</f>
        <v/>
      </c>
      <c r="E250" s="20" t="str">
        <f aca="false">IF($A250="","",SUMIFS(주문내역!$G$3:$G$2002,주문내역!$B$3:$B$2002,$A250,주문내역!$A$3:$A$2002,"&gt;="&amp;DATE($B$3,1,1),주문내역!$A$3:$A$2002,"&lt;="&amp;DATE($B$3,12,31)))</f>
        <v/>
      </c>
      <c r="F250" s="12" t="str">
        <f aca="false">IF($A250="","",SUMIFS(주문내역!$I$3:$I$2002,주문내역!$B$3:$B$2002,$A250,주문내역!$A$3:$A$2002,"&gt;="&amp;DATE($B$3,1,1),주문내역!$A$3:$A$2002,"&lt;="&amp;DATE($B$3,12,31)))</f>
        <v/>
      </c>
    </row>
    <row r="251" customFormat="false" ht="15" hidden="false" customHeight="true" outlineLevel="0" collapsed="false">
      <c r="A251" s="19" t="str">
        <f aca="false">IF(거래처목록!$A248="","",거래처목록!$A248)</f>
        <v/>
      </c>
      <c r="B251" s="19" t="str">
        <f aca="false">IF($A251="","",거래처목록!$B248)</f>
        <v/>
      </c>
      <c r="C251" s="20" t="str">
        <f aca="false">IF($A251="","",COUNTIFS(정기주문설정!$B$3:$B$302,$A251))</f>
        <v/>
      </c>
      <c r="D251" s="20" t="str">
        <f aca="false">IF($A251="","",COUNTIFS(주문내역!$B$3:$B$2002,$A251,주문내역!$A$3:$A$2002,"&gt;="&amp;DATE($B$3,1,1),주문내역!$A$3:$A$2002,"&lt;="&amp;DATE($B$3,12,31)))</f>
        <v/>
      </c>
      <c r="E251" s="20" t="str">
        <f aca="false">IF($A251="","",SUMIFS(주문내역!$G$3:$G$2002,주문내역!$B$3:$B$2002,$A251,주문내역!$A$3:$A$2002,"&gt;="&amp;DATE($B$3,1,1),주문내역!$A$3:$A$2002,"&lt;="&amp;DATE($B$3,12,31)))</f>
        <v/>
      </c>
      <c r="F251" s="12" t="str">
        <f aca="false">IF($A251="","",SUMIFS(주문내역!$I$3:$I$2002,주문내역!$B$3:$B$2002,$A251,주문내역!$A$3:$A$2002,"&gt;="&amp;DATE($B$3,1,1),주문내역!$A$3:$A$2002,"&lt;="&amp;DATE($B$3,12,31)))</f>
        <v/>
      </c>
    </row>
    <row r="252" customFormat="false" ht="15" hidden="false" customHeight="true" outlineLevel="0" collapsed="false">
      <c r="A252" s="19" t="str">
        <f aca="false">IF(거래처목록!$A249="","",거래처목록!$A249)</f>
        <v/>
      </c>
      <c r="B252" s="19" t="str">
        <f aca="false">IF($A252="","",거래처목록!$B249)</f>
        <v/>
      </c>
      <c r="C252" s="20" t="str">
        <f aca="false">IF($A252="","",COUNTIFS(정기주문설정!$B$3:$B$302,$A252))</f>
        <v/>
      </c>
      <c r="D252" s="20" t="str">
        <f aca="false">IF($A252="","",COUNTIFS(주문내역!$B$3:$B$2002,$A252,주문내역!$A$3:$A$2002,"&gt;="&amp;DATE($B$3,1,1),주문내역!$A$3:$A$2002,"&lt;="&amp;DATE($B$3,12,31)))</f>
        <v/>
      </c>
      <c r="E252" s="20" t="str">
        <f aca="false">IF($A252="","",SUMIFS(주문내역!$G$3:$G$2002,주문내역!$B$3:$B$2002,$A252,주문내역!$A$3:$A$2002,"&gt;="&amp;DATE($B$3,1,1),주문내역!$A$3:$A$2002,"&lt;="&amp;DATE($B$3,12,31)))</f>
        <v/>
      </c>
      <c r="F252" s="12" t="str">
        <f aca="false">IF($A252="","",SUMIFS(주문내역!$I$3:$I$2002,주문내역!$B$3:$B$2002,$A252,주문내역!$A$3:$A$2002,"&gt;="&amp;DATE($B$3,1,1),주문내역!$A$3:$A$2002,"&lt;="&amp;DATE($B$3,12,31)))</f>
        <v/>
      </c>
    </row>
    <row r="253" customFormat="false" ht="15" hidden="false" customHeight="true" outlineLevel="0" collapsed="false">
      <c r="A253" s="19" t="str">
        <f aca="false">IF(거래처목록!$A250="","",거래처목록!$A250)</f>
        <v/>
      </c>
      <c r="B253" s="19" t="str">
        <f aca="false">IF($A253="","",거래처목록!$B250)</f>
        <v/>
      </c>
      <c r="C253" s="20" t="str">
        <f aca="false">IF($A253="","",COUNTIFS(정기주문설정!$B$3:$B$302,$A253))</f>
        <v/>
      </c>
      <c r="D253" s="20" t="str">
        <f aca="false">IF($A253="","",COUNTIFS(주문내역!$B$3:$B$2002,$A253,주문내역!$A$3:$A$2002,"&gt;="&amp;DATE($B$3,1,1),주문내역!$A$3:$A$2002,"&lt;="&amp;DATE($B$3,12,31)))</f>
        <v/>
      </c>
      <c r="E253" s="20" t="str">
        <f aca="false">IF($A253="","",SUMIFS(주문내역!$G$3:$G$2002,주문내역!$B$3:$B$2002,$A253,주문내역!$A$3:$A$2002,"&gt;="&amp;DATE($B$3,1,1),주문내역!$A$3:$A$2002,"&lt;="&amp;DATE($B$3,12,31)))</f>
        <v/>
      </c>
      <c r="F253" s="12" t="str">
        <f aca="false">IF($A253="","",SUMIFS(주문내역!$I$3:$I$2002,주문내역!$B$3:$B$2002,$A253,주문내역!$A$3:$A$2002,"&gt;="&amp;DATE($B$3,1,1),주문내역!$A$3:$A$2002,"&lt;="&amp;DATE($B$3,12,31)))</f>
        <v/>
      </c>
    </row>
    <row r="254" customFormat="false" ht="15" hidden="false" customHeight="true" outlineLevel="0" collapsed="false">
      <c r="A254" s="19" t="str">
        <f aca="false">IF(거래처목록!$A251="","",거래처목록!$A251)</f>
        <v/>
      </c>
      <c r="B254" s="19" t="str">
        <f aca="false">IF($A254="","",거래처목록!$B251)</f>
        <v/>
      </c>
      <c r="C254" s="20" t="str">
        <f aca="false">IF($A254="","",COUNTIFS(정기주문설정!$B$3:$B$302,$A254))</f>
        <v/>
      </c>
      <c r="D254" s="20" t="str">
        <f aca="false">IF($A254="","",COUNTIFS(주문내역!$B$3:$B$2002,$A254,주문내역!$A$3:$A$2002,"&gt;="&amp;DATE($B$3,1,1),주문내역!$A$3:$A$2002,"&lt;="&amp;DATE($B$3,12,31)))</f>
        <v/>
      </c>
      <c r="E254" s="20" t="str">
        <f aca="false">IF($A254="","",SUMIFS(주문내역!$G$3:$G$2002,주문내역!$B$3:$B$2002,$A254,주문내역!$A$3:$A$2002,"&gt;="&amp;DATE($B$3,1,1),주문내역!$A$3:$A$2002,"&lt;="&amp;DATE($B$3,12,31)))</f>
        <v/>
      </c>
      <c r="F254" s="12" t="str">
        <f aca="false">IF($A254="","",SUMIFS(주문내역!$I$3:$I$2002,주문내역!$B$3:$B$2002,$A254,주문내역!$A$3:$A$2002,"&gt;="&amp;DATE($B$3,1,1),주문내역!$A$3:$A$2002,"&lt;="&amp;DATE($B$3,12,31)))</f>
        <v/>
      </c>
    </row>
    <row r="255" customFormat="false" ht="15" hidden="false" customHeight="true" outlineLevel="0" collapsed="false">
      <c r="A255" s="19" t="str">
        <f aca="false">IF(거래처목록!$A252="","",거래처목록!$A252)</f>
        <v/>
      </c>
      <c r="B255" s="19" t="str">
        <f aca="false">IF($A255="","",거래처목록!$B252)</f>
        <v/>
      </c>
      <c r="C255" s="20" t="str">
        <f aca="false">IF($A255="","",COUNTIFS(정기주문설정!$B$3:$B$302,$A255))</f>
        <v/>
      </c>
      <c r="D255" s="20" t="str">
        <f aca="false">IF($A255="","",COUNTIFS(주문내역!$B$3:$B$2002,$A255,주문내역!$A$3:$A$2002,"&gt;="&amp;DATE($B$3,1,1),주문내역!$A$3:$A$2002,"&lt;="&amp;DATE($B$3,12,31)))</f>
        <v/>
      </c>
      <c r="E255" s="20" t="str">
        <f aca="false">IF($A255="","",SUMIFS(주문내역!$G$3:$G$2002,주문내역!$B$3:$B$2002,$A255,주문내역!$A$3:$A$2002,"&gt;="&amp;DATE($B$3,1,1),주문내역!$A$3:$A$2002,"&lt;="&amp;DATE($B$3,12,31)))</f>
        <v/>
      </c>
      <c r="F255" s="12" t="str">
        <f aca="false">IF($A255="","",SUMIFS(주문내역!$I$3:$I$2002,주문내역!$B$3:$B$2002,$A255,주문내역!$A$3:$A$2002,"&gt;="&amp;DATE($B$3,1,1),주문내역!$A$3:$A$2002,"&lt;="&amp;DATE($B$3,12,31)))</f>
        <v/>
      </c>
    </row>
    <row r="256" customFormat="false" ht="15" hidden="false" customHeight="true" outlineLevel="0" collapsed="false">
      <c r="A256" s="19" t="str">
        <f aca="false">IF(거래처목록!$A253="","",거래처목록!$A253)</f>
        <v/>
      </c>
      <c r="B256" s="19" t="str">
        <f aca="false">IF($A256="","",거래처목록!$B253)</f>
        <v/>
      </c>
      <c r="C256" s="20" t="str">
        <f aca="false">IF($A256="","",COUNTIFS(정기주문설정!$B$3:$B$302,$A256))</f>
        <v/>
      </c>
      <c r="D256" s="20" t="str">
        <f aca="false">IF($A256="","",COUNTIFS(주문내역!$B$3:$B$2002,$A256,주문내역!$A$3:$A$2002,"&gt;="&amp;DATE($B$3,1,1),주문내역!$A$3:$A$2002,"&lt;="&amp;DATE($B$3,12,31)))</f>
        <v/>
      </c>
      <c r="E256" s="20" t="str">
        <f aca="false">IF($A256="","",SUMIFS(주문내역!$G$3:$G$2002,주문내역!$B$3:$B$2002,$A256,주문내역!$A$3:$A$2002,"&gt;="&amp;DATE($B$3,1,1),주문내역!$A$3:$A$2002,"&lt;="&amp;DATE($B$3,12,31)))</f>
        <v/>
      </c>
      <c r="F256" s="12" t="str">
        <f aca="false">IF($A256="","",SUMIFS(주문내역!$I$3:$I$2002,주문내역!$B$3:$B$2002,$A256,주문내역!$A$3:$A$2002,"&gt;="&amp;DATE($B$3,1,1),주문내역!$A$3:$A$2002,"&lt;="&amp;DATE($B$3,12,31)))</f>
        <v/>
      </c>
    </row>
    <row r="257" customFormat="false" ht="15" hidden="false" customHeight="true" outlineLevel="0" collapsed="false">
      <c r="A257" s="19" t="str">
        <f aca="false">IF(거래처목록!$A254="","",거래처목록!$A254)</f>
        <v/>
      </c>
      <c r="B257" s="19" t="str">
        <f aca="false">IF($A257="","",거래처목록!$B254)</f>
        <v/>
      </c>
      <c r="C257" s="20" t="str">
        <f aca="false">IF($A257="","",COUNTIFS(정기주문설정!$B$3:$B$302,$A257))</f>
        <v/>
      </c>
      <c r="D257" s="20" t="str">
        <f aca="false">IF($A257="","",COUNTIFS(주문내역!$B$3:$B$2002,$A257,주문내역!$A$3:$A$2002,"&gt;="&amp;DATE($B$3,1,1),주문내역!$A$3:$A$2002,"&lt;="&amp;DATE($B$3,12,31)))</f>
        <v/>
      </c>
      <c r="E257" s="20" t="str">
        <f aca="false">IF($A257="","",SUMIFS(주문내역!$G$3:$G$2002,주문내역!$B$3:$B$2002,$A257,주문내역!$A$3:$A$2002,"&gt;="&amp;DATE($B$3,1,1),주문내역!$A$3:$A$2002,"&lt;="&amp;DATE($B$3,12,31)))</f>
        <v/>
      </c>
      <c r="F257" s="12" t="str">
        <f aca="false">IF($A257="","",SUMIFS(주문내역!$I$3:$I$2002,주문내역!$B$3:$B$2002,$A257,주문내역!$A$3:$A$2002,"&gt;="&amp;DATE($B$3,1,1),주문내역!$A$3:$A$2002,"&lt;="&amp;DATE($B$3,12,31)))</f>
        <v/>
      </c>
    </row>
    <row r="258" customFormat="false" ht="15" hidden="false" customHeight="true" outlineLevel="0" collapsed="false">
      <c r="A258" s="19" t="str">
        <f aca="false">IF(거래처목록!$A255="","",거래처목록!$A255)</f>
        <v/>
      </c>
      <c r="B258" s="19" t="str">
        <f aca="false">IF($A258="","",거래처목록!$B255)</f>
        <v/>
      </c>
      <c r="C258" s="20" t="str">
        <f aca="false">IF($A258="","",COUNTIFS(정기주문설정!$B$3:$B$302,$A258))</f>
        <v/>
      </c>
      <c r="D258" s="20" t="str">
        <f aca="false">IF($A258="","",COUNTIFS(주문내역!$B$3:$B$2002,$A258,주문내역!$A$3:$A$2002,"&gt;="&amp;DATE($B$3,1,1),주문내역!$A$3:$A$2002,"&lt;="&amp;DATE($B$3,12,31)))</f>
        <v/>
      </c>
      <c r="E258" s="20" t="str">
        <f aca="false">IF($A258="","",SUMIFS(주문내역!$G$3:$G$2002,주문내역!$B$3:$B$2002,$A258,주문내역!$A$3:$A$2002,"&gt;="&amp;DATE($B$3,1,1),주문내역!$A$3:$A$2002,"&lt;="&amp;DATE($B$3,12,31)))</f>
        <v/>
      </c>
      <c r="F258" s="12" t="str">
        <f aca="false">IF($A258="","",SUMIFS(주문내역!$I$3:$I$2002,주문내역!$B$3:$B$2002,$A258,주문내역!$A$3:$A$2002,"&gt;="&amp;DATE($B$3,1,1),주문내역!$A$3:$A$2002,"&lt;="&amp;DATE($B$3,12,31)))</f>
        <v/>
      </c>
    </row>
    <row r="259" customFormat="false" ht="15" hidden="false" customHeight="true" outlineLevel="0" collapsed="false">
      <c r="A259" s="19" t="str">
        <f aca="false">IF(거래처목록!$A256="","",거래처목록!$A256)</f>
        <v/>
      </c>
      <c r="B259" s="19" t="str">
        <f aca="false">IF($A259="","",거래처목록!$B256)</f>
        <v/>
      </c>
      <c r="C259" s="20" t="str">
        <f aca="false">IF($A259="","",COUNTIFS(정기주문설정!$B$3:$B$302,$A259))</f>
        <v/>
      </c>
      <c r="D259" s="20" t="str">
        <f aca="false">IF($A259="","",COUNTIFS(주문내역!$B$3:$B$2002,$A259,주문내역!$A$3:$A$2002,"&gt;="&amp;DATE($B$3,1,1),주문내역!$A$3:$A$2002,"&lt;="&amp;DATE($B$3,12,31)))</f>
        <v/>
      </c>
      <c r="E259" s="20" t="str">
        <f aca="false">IF($A259="","",SUMIFS(주문내역!$G$3:$G$2002,주문내역!$B$3:$B$2002,$A259,주문내역!$A$3:$A$2002,"&gt;="&amp;DATE($B$3,1,1),주문내역!$A$3:$A$2002,"&lt;="&amp;DATE($B$3,12,31)))</f>
        <v/>
      </c>
      <c r="F259" s="12" t="str">
        <f aca="false">IF($A259="","",SUMIFS(주문내역!$I$3:$I$2002,주문내역!$B$3:$B$2002,$A259,주문내역!$A$3:$A$2002,"&gt;="&amp;DATE($B$3,1,1),주문내역!$A$3:$A$2002,"&lt;="&amp;DATE($B$3,12,31)))</f>
        <v/>
      </c>
    </row>
    <row r="260" customFormat="false" ht="15" hidden="false" customHeight="true" outlineLevel="0" collapsed="false">
      <c r="A260" s="19" t="str">
        <f aca="false">IF(거래처목록!$A257="","",거래처목록!$A257)</f>
        <v/>
      </c>
      <c r="B260" s="19" t="str">
        <f aca="false">IF($A260="","",거래처목록!$B257)</f>
        <v/>
      </c>
      <c r="C260" s="20" t="str">
        <f aca="false">IF($A260="","",COUNTIFS(정기주문설정!$B$3:$B$302,$A260))</f>
        <v/>
      </c>
      <c r="D260" s="20" t="str">
        <f aca="false">IF($A260="","",COUNTIFS(주문내역!$B$3:$B$2002,$A260,주문내역!$A$3:$A$2002,"&gt;="&amp;DATE($B$3,1,1),주문내역!$A$3:$A$2002,"&lt;="&amp;DATE($B$3,12,31)))</f>
        <v/>
      </c>
      <c r="E260" s="20" t="str">
        <f aca="false">IF($A260="","",SUMIFS(주문내역!$G$3:$G$2002,주문내역!$B$3:$B$2002,$A260,주문내역!$A$3:$A$2002,"&gt;="&amp;DATE($B$3,1,1),주문내역!$A$3:$A$2002,"&lt;="&amp;DATE($B$3,12,31)))</f>
        <v/>
      </c>
      <c r="F260" s="12" t="str">
        <f aca="false">IF($A260="","",SUMIFS(주문내역!$I$3:$I$2002,주문내역!$B$3:$B$2002,$A260,주문내역!$A$3:$A$2002,"&gt;="&amp;DATE($B$3,1,1),주문내역!$A$3:$A$2002,"&lt;="&amp;DATE($B$3,12,31)))</f>
        <v/>
      </c>
    </row>
    <row r="261" customFormat="false" ht="15" hidden="false" customHeight="true" outlineLevel="0" collapsed="false">
      <c r="A261" s="19" t="str">
        <f aca="false">IF(거래처목록!$A258="","",거래처목록!$A258)</f>
        <v/>
      </c>
      <c r="B261" s="19" t="str">
        <f aca="false">IF($A261="","",거래처목록!$B258)</f>
        <v/>
      </c>
      <c r="C261" s="20" t="str">
        <f aca="false">IF($A261="","",COUNTIFS(정기주문설정!$B$3:$B$302,$A261))</f>
        <v/>
      </c>
      <c r="D261" s="20" t="str">
        <f aca="false">IF($A261="","",COUNTIFS(주문내역!$B$3:$B$2002,$A261,주문내역!$A$3:$A$2002,"&gt;="&amp;DATE($B$3,1,1),주문내역!$A$3:$A$2002,"&lt;="&amp;DATE($B$3,12,31)))</f>
        <v/>
      </c>
      <c r="E261" s="20" t="str">
        <f aca="false">IF($A261="","",SUMIFS(주문내역!$G$3:$G$2002,주문내역!$B$3:$B$2002,$A261,주문내역!$A$3:$A$2002,"&gt;="&amp;DATE($B$3,1,1),주문내역!$A$3:$A$2002,"&lt;="&amp;DATE($B$3,12,31)))</f>
        <v/>
      </c>
      <c r="F261" s="12" t="str">
        <f aca="false">IF($A261="","",SUMIFS(주문내역!$I$3:$I$2002,주문내역!$B$3:$B$2002,$A261,주문내역!$A$3:$A$2002,"&gt;="&amp;DATE($B$3,1,1),주문내역!$A$3:$A$2002,"&lt;="&amp;DATE($B$3,12,31)))</f>
        <v/>
      </c>
    </row>
    <row r="262" customFormat="false" ht="15" hidden="false" customHeight="true" outlineLevel="0" collapsed="false">
      <c r="A262" s="19" t="str">
        <f aca="false">IF(거래처목록!$A259="","",거래처목록!$A259)</f>
        <v/>
      </c>
      <c r="B262" s="19" t="str">
        <f aca="false">IF($A262="","",거래처목록!$B259)</f>
        <v/>
      </c>
      <c r="C262" s="20" t="str">
        <f aca="false">IF($A262="","",COUNTIFS(정기주문설정!$B$3:$B$302,$A262))</f>
        <v/>
      </c>
      <c r="D262" s="20" t="str">
        <f aca="false">IF($A262="","",COUNTIFS(주문내역!$B$3:$B$2002,$A262,주문내역!$A$3:$A$2002,"&gt;="&amp;DATE($B$3,1,1),주문내역!$A$3:$A$2002,"&lt;="&amp;DATE($B$3,12,31)))</f>
        <v/>
      </c>
      <c r="E262" s="20" t="str">
        <f aca="false">IF($A262="","",SUMIFS(주문내역!$G$3:$G$2002,주문내역!$B$3:$B$2002,$A262,주문내역!$A$3:$A$2002,"&gt;="&amp;DATE($B$3,1,1),주문내역!$A$3:$A$2002,"&lt;="&amp;DATE($B$3,12,31)))</f>
        <v/>
      </c>
      <c r="F262" s="12" t="str">
        <f aca="false">IF($A262="","",SUMIFS(주문내역!$I$3:$I$2002,주문내역!$B$3:$B$2002,$A262,주문내역!$A$3:$A$2002,"&gt;="&amp;DATE($B$3,1,1),주문내역!$A$3:$A$2002,"&lt;="&amp;DATE($B$3,12,31)))</f>
        <v/>
      </c>
    </row>
    <row r="263" customFormat="false" ht="15" hidden="false" customHeight="true" outlineLevel="0" collapsed="false">
      <c r="A263" s="19" t="str">
        <f aca="false">IF(거래처목록!$A260="","",거래처목록!$A260)</f>
        <v/>
      </c>
      <c r="B263" s="19" t="str">
        <f aca="false">IF($A263="","",거래처목록!$B260)</f>
        <v/>
      </c>
      <c r="C263" s="20" t="str">
        <f aca="false">IF($A263="","",COUNTIFS(정기주문설정!$B$3:$B$302,$A263))</f>
        <v/>
      </c>
      <c r="D263" s="20" t="str">
        <f aca="false">IF($A263="","",COUNTIFS(주문내역!$B$3:$B$2002,$A263,주문내역!$A$3:$A$2002,"&gt;="&amp;DATE($B$3,1,1),주문내역!$A$3:$A$2002,"&lt;="&amp;DATE($B$3,12,31)))</f>
        <v/>
      </c>
      <c r="E263" s="20" t="str">
        <f aca="false">IF($A263="","",SUMIFS(주문내역!$G$3:$G$2002,주문내역!$B$3:$B$2002,$A263,주문내역!$A$3:$A$2002,"&gt;="&amp;DATE($B$3,1,1),주문내역!$A$3:$A$2002,"&lt;="&amp;DATE($B$3,12,31)))</f>
        <v/>
      </c>
      <c r="F263" s="12" t="str">
        <f aca="false">IF($A263="","",SUMIFS(주문내역!$I$3:$I$2002,주문내역!$B$3:$B$2002,$A263,주문내역!$A$3:$A$2002,"&gt;="&amp;DATE($B$3,1,1),주문내역!$A$3:$A$2002,"&lt;="&amp;DATE($B$3,12,31)))</f>
        <v/>
      </c>
    </row>
    <row r="264" customFormat="false" ht="15" hidden="false" customHeight="true" outlineLevel="0" collapsed="false">
      <c r="A264" s="19" t="str">
        <f aca="false">IF(거래처목록!$A261="","",거래처목록!$A261)</f>
        <v/>
      </c>
      <c r="B264" s="19" t="str">
        <f aca="false">IF($A264="","",거래처목록!$B261)</f>
        <v/>
      </c>
      <c r="C264" s="20" t="str">
        <f aca="false">IF($A264="","",COUNTIFS(정기주문설정!$B$3:$B$302,$A264))</f>
        <v/>
      </c>
      <c r="D264" s="20" t="str">
        <f aca="false">IF($A264="","",COUNTIFS(주문내역!$B$3:$B$2002,$A264,주문내역!$A$3:$A$2002,"&gt;="&amp;DATE($B$3,1,1),주문내역!$A$3:$A$2002,"&lt;="&amp;DATE($B$3,12,31)))</f>
        <v/>
      </c>
      <c r="E264" s="20" t="str">
        <f aca="false">IF($A264="","",SUMIFS(주문내역!$G$3:$G$2002,주문내역!$B$3:$B$2002,$A264,주문내역!$A$3:$A$2002,"&gt;="&amp;DATE($B$3,1,1),주문내역!$A$3:$A$2002,"&lt;="&amp;DATE($B$3,12,31)))</f>
        <v/>
      </c>
      <c r="F264" s="12" t="str">
        <f aca="false">IF($A264="","",SUMIFS(주문내역!$I$3:$I$2002,주문내역!$B$3:$B$2002,$A264,주문내역!$A$3:$A$2002,"&gt;="&amp;DATE($B$3,1,1),주문내역!$A$3:$A$2002,"&lt;="&amp;DATE($B$3,12,31)))</f>
        <v/>
      </c>
    </row>
    <row r="265" customFormat="false" ht="15" hidden="false" customHeight="true" outlineLevel="0" collapsed="false">
      <c r="A265" s="19" t="str">
        <f aca="false">IF(거래처목록!$A262="","",거래처목록!$A262)</f>
        <v/>
      </c>
      <c r="B265" s="19" t="str">
        <f aca="false">IF($A265="","",거래처목록!$B262)</f>
        <v/>
      </c>
      <c r="C265" s="20" t="str">
        <f aca="false">IF($A265="","",COUNTIFS(정기주문설정!$B$3:$B$302,$A265))</f>
        <v/>
      </c>
      <c r="D265" s="20" t="str">
        <f aca="false">IF($A265="","",COUNTIFS(주문내역!$B$3:$B$2002,$A265,주문내역!$A$3:$A$2002,"&gt;="&amp;DATE($B$3,1,1),주문내역!$A$3:$A$2002,"&lt;="&amp;DATE($B$3,12,31)))</f>
        <v/>
      </c>
      <c r="E265" s="20" t="str">
        <f aca="false">IF($A265="","",SUMIFS(주문내역!$G$3:$G$2002,주문내역!$B$3:$B$2002,$A265,주문내역!$A$3:$A$2002,"&gt;="&amp;DATE($B$3,1,1),주문내역!$A$3:$A$2002,"&lt;="&amp;DATE($B$3,12,31)))</f>
        <v/>
      </c>
      <c r="F265" s="12" t="str">
        <f aca="false">IF($A265="","",SUMIFS(주문내역!$I$3:$I$2002,주문내역!$B$3:$B$2002,$A265,주문내역!$A$3:$A$2002,"&gt;="&amp;DATE($B$3,1,1),주문내역!$A$3:$A$2002,"&lt;="&amp;DATE($B$3,12,31)))</f>
        <v/>
      </c>
    </row>
    <row r="266" customFormat="false" ht="15" hidden="false" customHeight="true" outlineLevel="0" collapsed="false">
      <c r="A266" s="19" t="str">
        <f aca="false">IF(거래처목록!$A263="","",거래처목록!$A263)</f>
        <v/>
      </c>
      <c r="B266" s="19" t="str">
        <f aca="false">IF($A266="","",거래처목록!$B263)</f>
        <v/>
      </c>
      <c r="C266" s="20" t="str">
        <f aca="false">IF($A266="","",COUNTIFS(정기주문설정!$B$3:$B$302,$A266))</f>
        <v/>
      </c>
      <c r="D266" s="20" t="str">
        <f aca="false">IF($A266="","",COUNTIFS(주문내역!$B$3:$B$2002,$A266,주문내역!$A$3:$A$2002,"&gt;="&amp;DATE($B$3,1,1),주문내역!$A$3:$A$2002,"&lt;="&amp;DATE($B$3,12,31)))</f>
        <v/>
      </c>
      <c r="E266" s="20" t="str">
        <f aca="false">IF($A266="","",SUMIFS(주문내역!$G$3:$G$2002,주문내역!$B$3:$B$2002,$A266,주문내역!$A$3:$A$2002,"&gt;="&amp;DATE($B$3,1,1),주문내역!$A$3:$A$2002,"&lt;="&amp;DATE($B$3,12,31)))</f>
        <v/>
      </c>
      <c r="F266" s="12" t="str">
        <f aca="false">IF($A266="","",SUMIFS(주문내역!$I$3:$I$2002,주문내역!$B$3:$B$2002,$A266,주문내역!$A$3:$A$2002,"&gt;="&amp;DATE($B$3,1,1),주문내역!$A$3:$A$2002,"&lt;="&amp;DATE($B$3,12,31)))</f>
        <v/>
      </c>
    </row>
    <row r="267" customFormat="false" ht="15" hidden="false" customHeight="true" outlineLevel="0" collapsed="false">
      <c r="A267" s="19" t="str">
        <f aca="false">IF(거래처목록!$A264="","",거래처목록!$A264)</f>
        <v/>
      </c>
      <c r="B267" s="19" t="str">
        <f aca="false">IF($A267="","",거래처목록!$B264)</f>
        <v/>
      </c>
      <c r="C267" s="20" t="str">
        <f aca="false">IF($A267="","",COUNTIFS(정기주문설정!$B$3:$B$302,$A267))</f>
        <v/>
      </c>
      <c r="D267" s="20" t="str">
        <f aca="false">IF($A267="","",COUNTIFS(주문내역!$B$3:$B$2002,$A267,주문내역!$A$3:$A$2002,"&gt;="&amp;DATE($B$3,1,1),주문내역!$A$3:$A$2002,"&lt;="&amp;DATE($B$3,12,31)))</f>
        <v/>
      </c>
      <c r="E267" s="20" t="str">
        <f aca="false">IF($A267="","",SUMIFS(주문내역!$G$3:$G$2002,주문내역!$B$3:$B$2002,$A267,주문내역!$A$3:$A$2002,"&gt;="&amp;DATE($B$3,1,1),주문내역!$A$3:$A$2002,"&lt;="&amp;DATE($B$3,12,31)))</f>
        <v/>
      </c>
      <c r="F267" s="12" t="str">
        <f aca="false">IF($A267="","",SUMIFS(주문내역!$I$3:$I$2002,주문내역!$B$3:$B$2002,$A267,주문내역!$A$3:$A$2002,"&gt;="&amp;DATE($B$3,1,1),주문내역!$A$3:$A$2002,"&lt;="&amp;DATE($B$3,12,31)))</f>
        <v/>
      </c>
    </row>
    <row r="268" customFormat="false" ht="15" hidden="false" customHeight="true" outlineLevel="0" collapsed="false">
      <c r="A268" s="19" t="str">
        <f aca="false">IF(거래처목록!$A265="","",거래처목록!$A265)</f>
        <v/>
      </c>
      <c r="B268" s="19" t="str">
        <f aca="false">IF($A268="","",거래처목록!$B265)</f>
        <v/>
      </c>
      <c r="C268" s="20" t="str">
        <f aca="false">IF($A268="","",COUNTIFS(정기주문설정!$B$3:$B$302,$A268))</f>
        <v/>
      </c>
      <c r="D268" s="20" t="str">
        <f aca="false">IF($A268="","",COUNTIFS(주문내역!$B$3:$B$2002,$A268,주문내역!$A$3:$A$2002,"&gt;="&amp;DATE($B$3,1,1),주문내역!$A$3:$A$2002,"&lt;="&amp;DATE($B$3,12,31)))</f>
        <v/>
      </c>
      <c r="E268" s="20" t="str">
        <f aca="false">IF($A268="","",SUMIFS(주문내역!$G$3:$G$2002,주문내역!$B$3:$B$2002,$A268,주문내역!$A$3:$A$2002,"&gt;="&amp;DATE($B$3,1,1),주문내역!$A$3:$A$2002,"&lt;="&amp;DATE($B$3,12,31)))</f>
        <v/>
      </c>
      <c r="F268" s="12" t="str">
        <f aca="false">IF($A268="","",SUMIFS(주문내역!$I$3:$I$2002,주문내역!$B$3:$B$2002,$A268,주문내역!$A$3:$A$2002,"&gt;="&amp;DATE($B$3,1,1),주문내역!$A$3:$A$2002,"&lt;="&amp;DATE($B$3,12,31)))</f>
        <v/>
      </c>
    </row>
    <row r="269" customFormat="false" ht="15" hidden="false" customHeight="true" outlineLevel="0" collapsed="false">
      <c r="A269" s="19" t="str">
        <f aca="false">IF(거래처목록!$A266="","",거래처목록!$A266)</f>
        <v/>
      </c>
      <c r="B269" s="19" t="str">
        <f aca="false">IF($A269="","",거래처목록!$B266)</f>
        <v/>
      </c>
      <c r="C269" s="20" t="str">
        <f aca="false">IF($A269="","",COUNTIFS(정기주문설정!$B$3:$B$302,$A269))</f>
        <v/>
      </c>
      <c r="D269" s="20" t="str">
        <f aca="false">IF($A269="","",COUNTIFS(주문내역!$B$3:$B$2002,$A269,주문내역!$A$3:$A$2002,"&gt;="&amp;DATE($B$3,1,1),주문내역!$A$3:$A$2002,"&lt;="&amp;DATE($B$3,12,31)))</f>
        <v/>
      </c>
      <c r="E269" s="20" t="str">
        <f aca="false">IF($A269="","",SUMIFS(주문내역!$G$3:$G$2002,주문내역!$B$3:$B$2002,$A269,주문내역!$A$3:$A$2002,"&gt;="&amp;DATE($B$3,1,1),주문내역!$A$3:$A$2002,"&lt;="&amp;DATE($B$3,12,31)))</f>
        <v/>
      </c>
      <c r="F269" s="12" t="str">
        <f aca="false">IF($A269="","",SUMIFS(주문내역!$I$3:$I$2002,주문내역!$B$3:$B$2002,$A269,주문내역!$A$3:$A$2002,"&gt;="&amp;DATE($B$3,1,1),주문내역!$A$3:$A$2002,"&lt;="&amp;DATE($B$3,12,31)))</f>
        <v/>
      </c>
    </row>
    <row r="270" customFormat="false" ht="15" hidden="false" customHeight="true" outlineLevel="0" collapsed="false">
      <c r="A270" s="19" t="str">
        <f aca="false">IF(거래처목록!$A267="","",거래처목록!$A267)</f>
        <v/>
      </c>
      <c r="B270" s="19" t="str">
        <f aca="false">IF($A270="","",거래처목록!$B267)</f>
        <v/>
      </c>
      <c r="C270" s="20" t="str">
        <f aca="false">IF($A270="","",COUNTIFS(정기주문설정!$B$3:$B$302,$A270))</f>
        <v/>
      </c>
      <c r="D270" s="20" t="str">
        <f aca="false">IF($A270="","",COUNTIFS(주문내역!$B$3:$B$2002,$A270,주문내역!$A$3:$A$2002,"&gt;="&amp;DATE($B$3,1,1),주문내역!$A$3:$A$2002,"&lt;="&amp;DATE($B$3,12,31)))</f>
        <v/>
      </c>
      <c r="E270" s="20" t="str">
        <f aca="false">IF($A270="","",SUMIFS(주문내역!$G$3:$G$2002,주문내역!$B$3:$B$2002,$A270,주문내역!$A$3:$A$2002,"&gt;="&amp;DATE($B$3,1,1),주문내역!$A$3:$A$2002,"&lt;="&amp;DATE($B$3,12,31)))</f>
        <v/>
      </c>
      <c r="F270" s="12" t="str">
        <f aca="false">IF($A270="","",SUMIFS(주문내역!$I$3:$I$2002,주문내역!$B$3:$B$2002,$A270,주문내역!$A$3:$A$2002,"&gt;="&amp;DATE($B$3,1,1),주문내역!$A$3:$A$2002,"&lt;="&amp;DATE($B$3,12,31)))</f>
        <v/>
      </c>
    </row>
    <row r="271" customFormat="false" ht="15" hidden="false" customHeight="true" outlineLevel="0" collapsed="false">
      <c r="A271" s="19" t="str">
        <f aca="false">IF(거래처목록!$A268="","",거래처목록!$A268)</f>
        <v/>
      </c>
      <c r="B271" s="19" t="str">
        <f aca="false">IF($A271="","",거래처목록!$B268)</f>
        <v/>
      </c>
      <c r="C271" s="20" t="str">
        <f aca="false">IF($A271="","",COUNTIFS(정기주문설정!$B$3:$B$302,$A271))</f>
        <v/>
      </c>
      <c r="D271" s="20" t="str">
        <f aca="false">IF($A271="","",COUNTIFS(주문내역!$B$3:$B$2002,$A271,주문내역!$A$3:$A$2002,"&gt;="&amp;DATE($B$3,1,1),주문내역!$A$3:$A$2002,"&lt;="&amp;DATE($B$3,12,31)))</f>
        <v/>
      </c>
      <c r="E271" s="20" t="str">
        <f aca="false">IF($A271="","",SUMIFS(주문내역!$G$3:$G$2002,주문내역!$B$3:$B$2002,$A271,주문내역!$A$3:$A$2002,"&gt;="&amp;DATE($B$3,1,1),주문내역!$A$3:$A$2002,"&lt;="&amp;DATE($B$3,12,31)))</f>
        <v/>
      </c>
      <c r="F271" s="12" t="str">
        <f aca="false">IF($A271="","",SUMIFS(주문내역!$I$3:$I$2002,주문내역!$B$3:$B$2002,$A271,주문내역!$A$3:$A$2002,"&gt;="&amp;DATE($B$3,1,1),주문내역!$A$3:$A$2002,"&lt;="&amp;DATE($B$3,12,31)))</f>
        <v/>
      </c>
    </row>
    <row r="272" customFormat="false" ht="15" hidden="false" customHeight="true" outlineLevel="0" collapsed="false">
      <c r="A272" s="19" t="str">
        <f aca="false">IF(거래처목록!$A269="","",거래처목록!$A269)</f>
        <v/>
      </c>
      <c r="B272" s="19" t="str">
        <f aca="false">IF($A272="","",거래처목록!$B269)</f>
        <v/>
      </c>
      <c r="C272" s="20" t="str">
        <f aca="false">IF($A272="","",COUNTIFS(정기주문설정!$B$3:$B$302,$A272))</f>
        <v/>
      </c>
      <c r="D272" s="20" t="str">
        <f aca="false">IF($A272="","",COUNTIFS(주문내역!$B$3:$B$2002,$A272,주문내역!$A$3:$A$2002,"&gt;="&amp;DATE($B$3,1,1),주문내역!$A$3:$A$2002,"&lt;="&amp;DATE($B$3,12,31)))</f>
        <v/>
      </c>
      <c r="E272" s="20" t="str">
        <f aca="false">IF($A272="","",SUMIFS(주문내역!$G$3:$G$2002,주문내역!$B$3:$B$2002,$A272,주문내역!$A$3:$A$2002,"&gt;="&amp;DATE($B$3,1,1),주문내역!$A$3:$A$2002,"&lt;="&amp;DATE($B$3,12,31)))</f>
        <v/>
      </c>
      <c r="F272" s="12" t="str">
        <f aca="false">IF($A272="","",SUMIFS(주문내역!$I$3:$I$2002,주문내역!$B$3:$B$2002,$A272,주문내역!$A$3:$A$2002,"&gt;="&amp;DATE($B$3,1,1),주문내역!$A$3:$A$2002,"&lt;="&amp;DATE($B$3,12,31)))</f>
        <v/>
      </c>
    </row>
    <row r="273" customFormat="false" ht="15" hidden="false" customHeight="true" outlineLevel="0" collapsed="false">
      <c r="A273" s="19" t="str">
        <f aca="false">IF(거래처목록!$A270="","",거래처목록!$A270)</f>
        <v/>
      </c>
      <c r="B273" s="19" t="str">
        <f aca="false">IF($A273="","",거래처목록!$B270)</f>
        <v/>
      </c>
      <c r="C273" s="20" t="str">
        <f aca="false">IF($A273="","",COUNTIFS(정기주문설정!$B$3:$B$302,$A273))</f>
        <v/>
      </c>
      <c r="D273" s="20" t="str">
        <f aca="false">IF($A273="","",COUNTIFS(주문내역!$B$3:$B$2002,$A273,주문내역!$A$3:$A$2002,"&gt;="&amp;DATE($B$3,1,1),주문내역!$A$3:$A$2002,"&lt;="&amp;DATE($B$3,12,31)))</f>
        <v/>
      </c>
      <c r="E273" s="20" t="str">
        <f aca="false">IF($A273="","",SUMIFS(주문내역!$G$3:$G$2002,주문내역!$B$3:$B$2002,$A273,주문내역!$A$3:$A$2002,"&gt;="&amp;DATE($B$3,1,1),주문내역!$A$3:$A$2002,"&lt;="&amp;DATE($B$3,12,31)))</f>
        <v/>
      </c>
      <c r="F273" s="12" t="str">
        <f aca="false">IF($A273="","",SUMIFS(주문내역!$I$3:$I$2002,주문내역!$B$3:$B$2002,$A273,주문내역!$A$3:$A$2002,"&gt;="&amp;DATE($B$3,1,1),주문내역!$A$3:$A$2002,"&lt;="&amp;DATE($B$3,12,31)))</f>
        <v/>
      </c>
    </row>
    <row r="274" customFormat="false" ht="15" hidden="false" customHeight="true" outlineLevel="0" collapsed="false">
      <c r="A274" s="19" t="str">
        <f aca="false">IF(거래처목록!$A271="","",거래처목록!$A271)</f>
        <v/>
      </c>
      <c r="B274" s="19" t="str">
        <f aca="false">IF($A274="","",거래처목록!$B271)</f>
        <v/>
      </c>
      <c r="C274" s="20" t="str">
        <f aca="false">IF($A274="","",COUNTIFS(정기주문설정!$B$3:$B$302,$A274))</f>
        <v/>
      </c>
      <c r="D274" s="20" t="str">
        <f aca="false">IF($A274="","",COUNTIFS(주문내역!$B$3:$B$2002,$A274,주문내역!$A$3:$A$2002,"&gt;="&amp;DATE($B$3,1,1),주문내역!$A$3:$A$2002,"&lt;="&amp;DATE($B$3,12,31)))</f>
        <v/>
      </c>
      <c r="E274" s="20" t="str">
        <f aca="false">IF($A274="","",SUMIFS(주문내역!$G$3:$G$2002,주문내역!$B$3:$B$2002,$A274,주문내역!$A$3:$A$2002,"&gt;="&amp;DATE($B$3,1,1),주문내역!$A$3:$A$2002,"&lt;="&amp;DATE($B$3,12,31)))</f>
        <v/>
      </c>
      <c r="F274" s="12" t="str">
        <f aca="false">IF($A274="","",SUMIFS(주문내역!$I$3:$I$2002,주문내역!$B$3:$B$2002,$A274,주문내역!$A$3:$A$2002,"&gt;="&amp;DATE($B$3,1,1),주문내역!$A$3:$A$2002,"&lt;="&amp;DATE($B$3,12,31)))</f>
        <v/>
      </c>
    </row>
    <row r="275" customFormat="false" ht="15" hidden="false" customHeight="true" outlineLevel="0" collapsed="false">
      <c r="A275" s="19" t="str">
        <f aca="false">IF(거래처목록!$A272="","",거래처목록!$A272)</f>
        <v/>
      </c>
      <c r="B275" s="19" t="str">
        <f aca="false">IF($A275="","",거래처목록!$B272)</f>
        <v/>
      </c>
      <c r="C275" s="20" t="str">
        <f aca="false">IF($A275="","",COUNTIFS(정기주문설정!$B$3:$B$302,$A275))</f>
        <v/>
      </c>
      <c r="D275" s="20" t="str">
        <f aca="false">IF($A275="","",COUNTIFS(주문내역!$B$3:$B$2002,$A275,주문내역!$A$3:$A$2002,"&gt;="&amp;DATE($B$3,1,1),주문내역!$A$3:$A$2002,"&lt;="&amp;DATE($B$3,12,31)))</f>
        <v/>
      </c>
      <c r="E275" s="20" t="str">
        <f aca="false">IF($A275="","",SUMIFS(주문내역!$G$3:$G$2002,주문내역!$B$3:$B$2002,$A275,주문내역!$A$3:$A$2002,"&gt;="&amp;DATE($B$3,1,1),주문내역!$A$3:$A$2002,"&lt;="&amp;DATE($B$3,12,31)))</f>
        <v/>
      </c>
      <c r="F275" s="12" t="str">
        <f aca="false">IF($A275="","",SUMIFS(주문내역!$I$3:$I$2002,주문내역!$B$3:$B$2002,$A275,주문내역!$A$3:$A$2002,"&gt;="&amp;DATE($B$3,1,1),주문내역!$A$3:$A$2002,"&lt;="&amp;DATE($B$3,12,31)))</f>
        <v/>
      </c>
    </row>
    <row r="276" customFormat="false" ht="15" hidden="false" customHeight="true" outlineLevel="0" collapsed="false">
      <c r="A276" s="19" t="str">
        <f aca="false">IF(거래처목록!$A273="","",거래처목록!$A273)</f>
        <v/>
      </c>
      <c r="B276" s="19" t="str">
        <f aca="false">IF($A276="","",거래처목록!$B273)</f>
        <v/>
      </c>
      <c r="C276" s="20" t="str">
        <f aca="false">IF($A276="","",COUNTIFS(정기주문설정!$B$3:$B$302,$A276))</f>
        <v/>
      </c>
      <c r="D276" s="20" t="str">
        <f aca="false">IF($A276="","",COUNTIFS(주문내역!$B$3:$B$2002,$A276,주문내역!$A$3:$A$2002,"&gt;="&amp;DATE($B$3,1,1),주문내역!$A$3:$A$2002,"&lt;="&amp;DATE($B$3,12,31)))</f>
        <v/>
      </c>
      <c r="E276" s="20" t="str">
        <f aca="false">IF($A276="","",SUMIFS(주문내역!$G$3:$G$2002,주문내역!$B$3:$B$2002,$A276,주문내역!$A$3:$A$2002,"&gt;="&amp;DATE($B$3,1,1),주문내역!$A$3:$A$2002,"&lt;="&amp;DATE($B$3,12,31)))</f>
        <v/>
      </c>
      <c r="F276" s="12" t="str">
        <f aca="false">IF($A276="","",SUMIFS(주문내역!$I$3:$I$2002,주문내역!$B$3:$B$2002,$A276,주문내역!$A$3:$A$2002,"&gt;="&amp;DATE($B$3,1,1),주문내역!$A$3:$A$2002,"&lt;="&amp;DATE($B$3,12,31)))</f>
        <v/>
      </c>
    </row>
    <row r="277" customFormat="false" ht="15" hidden="false" customHeight="true" outlineLevel="0" collapsed="false">
      <c r="A277" s="19" t="str">
        <f aca="false">IF(거래처목록!$A274="","",거래처목록!$A274)</f>
        <v/>
      </c>
      <c r="B277" s="19" t="str">
        <f aca="false">IF($A277="","",거래처목록!$B274)</f>
        <v/>
      </c>
      <c r="C277" s="20" t="str">
        <f aca="false">IF($A277="","",COUNTIFS(정기주문설정!$B$3:$B$302,$A277))</f>
        <v/>
      </c>
      <c r="D277" s="20" t="str">
        <f aca="false">IF($A277="","",COUNTIFS(주문내역!$B$3:$B$2002,$A277,주문내역!$A$3:$A$2002,"&gt;="&amp;DATE($B$3,1,1),주문내역!$A$3:$A$2002,"&lt;="&amp;DATE($B$3,12,31)))</f>
        <v/>
      </c>
      <c r="E277" s="20" t="str">
        <f aca="false">IF($A277="","",SUMIFS(주문내역!$G$3:$G$2002,주문내역!$B$3:$B$2002,$A277,주문내역!$A$3:$A$2002,"&gt;="&amp;DATE($B$3,1,1),주문내역!$A$3:$A$2002,"&lt;="&amp;DATE($B$3,12,31)))</f>
        <v/>
      </c>
      <c r="F277" s="12" t="str">
        <f aca="false">IF($A277="","",SUMIFS(주문내역!$I$3:$I$2002,주문내역!$B$3:$B$2002,$A277,주문내역!$A$3:$A$2002,"&gt;="&amp;DATE($B$3,1,1),주문내역!$A$3:$A$2002,"&lt;="&amp;DATE($B$3,12,31)))</f>
        <v/>
      </c>
    </row>
    <row r="278" customFormat="false" ht="15" hidden="false" customHeight="true" outlineLevel="0" collapsed="false">
      <c r="A278" s="19" t="str">
        <f aca="false">IF(거래처목록!$A275="","",거래처목록!$A275)</f>
        <v/>
      </c>
      <c r="B278" s="19" t="str">
        <f aca="false">IF($A278="","",거래처목록!$B275)</f>
        <v/>
      </c>
      <c r="C278" s="20" t="str">
        <f aca="false">IF($A278="","",COUNTIFS(정기주문설정!$B$3:$B$302,$A278))</f>
        <v/>
      </c>
      <c r="D278" s="20" t="str">
        <f aca="false">IF($A278="","",COUNTIFS(주문내역!$B$3:$B$2002,$A278,주문내역!$A$3:$A$2002,"&gt;="&amp;DATE($B$3,1,1),주문내역!$A$3:$A$2002,"&lt;="&amp;DATE($B$3,12,31)))</f>
        <v/>
      </c>
      <c r="E278" s="20" t="str">
        <f aca="false">IF($A278="","",SUMIFS(주문내역!$G$3:$G$2002,주문내역!$B$3:$B$2002,$A278,주문내역!$A$3:$A$2002,"&gt;="&amp;DATE($B$3,1,1),주문내역!$A$3:$A$2002,"&lt;="&amp;DATE($B$3,12,31)))</f>
        <v/>
      </c>
      <c r="F278" s="12" t="str">
        <f aca="false">IF($A278="","",SUMIFS(주문내역!$I$3:$I$2002,주문내역!$B$3:$B$2002,$A278,주문내역!$A$3:$A$2002,"&gt;="&amp;DATE($B$3,1,1),주문내역!$A$3:$A$2002,"&lt;="&amp;DATE($B$3,12,31)))</f>
        <v/>
      </c>
    </row>
    <row r="279" customFormat="false" ht="15" hidden="false" customHeight="true" outlineLevel="0" collapsed="false">
      <c r="A279" s="19" t="str">
        <f aca="false">IF(거래처목록!$A276="","",거래처목록!$A276)</f>
        <v/>
      </c>
      <c r="B279" s="19" t="str">
        <f aca="false">IF($A279="","",거래처목록!$B276)</f>
        <v/>
      </c>
      <c r="C279" s="20" t="str">
        <f aca="false">IF($A279="","",COUNTIFS(정기주문설정!$B$3:$B$302,$A279))</f>
        <v/>
      </c>
      <c r="D279" s="20" t="str">
        <f aca="false">IF($A279="","",COUNTIFS(주문내역!$B$3:$B$2002,$A279,주문내역!$A$3:$A$2002,"&gt;="&amp;DATE($B$3,1,1),주문내역!$A$3:$A$2002,"&lt;="&amp;DATE($B$3,12,31)))</f>
        <v/>
      </c>
      <c r="E279" s="20" t="str">
        <f aca="false">IF($A279="","",SUMIFS(주문내역!$G$3:$G$2002,주문내역!$B$3:$B$2002,$A279,주문내역!$A$3:$A$2002,"&gt;="&amp;DATE($B$3,1,1),주문내역!$A$3:$A$2002,"&lt;="&amp;DATE($B$3,12,31)))</f>
        <v/>
      </c>
      <c r="F279" s="12" t="str">
        <f aca="false">IF($A279="","",SUMIFS(주문내역!$I$3:$I$2002,주문내역!$B$3:$B$2002,$A279,주문내역!$A$3:$A$2002,"&gt;="&amp;DATE($B$3,1,1),주문내역!$A$3:$A$2002,"&lt;="&amp;DATE($B$3,12,31)))</f>
        <v/>
      </c>
    </row>
    <row r="280" customFormat="false" ht="15" hidden="false" customHeight="true" outlineLevel="0" collapsed="false">
      <c r="A280" s="19" t="str">
        <f aca="false">IF(거래처목록!$A277="","",거래처목록!$A277)</f>
        <v/>
      </c>
      <c r="B280" s="19" t="str">
        <f aca="false">IF($A280="","",거래처목록!$B277)</f>
        <v/>
      </c>
      <c r="C280" s="20" t="str">
        <f aca="false">IF($A280="","",COUNTIFS(정기주문설정!$B$3:$B$302,$A280))</f>
        <v/>
      </c>
      <c r="D280" s="20" t="str">
        <f aca="false">IF($A280="","",COUNTIFS(주문내역!$B$3:$B$2002,$A280,주문내역!$A$3:$A$2002,"&gt;="&amp;DATE($B$3,1,1),주문내역!$A$3:$A$2002,"&lt;="&amp;DATE($B$3,12,31)))</f>
        <v/>
      </c>
      <c r="E280" s="20" t="str">
        <f aca="false">IF($A280="","",SUMIFS(주문내역!$G$3:$G$2002,주문내역!$B$3:$B$2002,$A280,주문내역!$A$3:$A$2002,"&gt;="&amp;DATE($B$3,1,1),주문내역!$A$3:$A$2002,"&lt;="&amp;DATE($B$3,12,31)))</f>
        <v/>
      </c>
      <c r="F280" s="12" t="str">
        <f aca="false">IF($A280="","",SUMIFS(주문내역!$I$3:$I$2002,주문내역!$B$3:$B$2002,$A280,주문내역!$A$3:$A$2002,"&gt;="&amp;DATE($B$3,1,1),주문내역!$A$3:$A$2002,"&lt;="&amp;DATE($B$3,12,31)))</f>
        <v/>
      </c>
    </row>
    <row r="281" customFormat="false" ht="15" hidden="false" customHeight="true" outlineLevel="0" collapsed="false">
      <c r="A281" s="19" t="str">
        <f aca="false">IF(거래처목록!$A278="","",거래처목록!$A278)</f>
        <v/>
      </c>
      <c r="B281" s="19" t="str">
        <f aca="false">IF($A281="","",거래처목록!$B278)</f>
        <v/>
      </c>
      <c r="C281" s="20" t="str">
        <f aca="false">IF($A281="","",COUNTIFS(정기주문설정!$B$3:$B$302,$A281))</f>
        <v/>
      </c>
      <c r="D281" s="20" t="str">
        <f aca="false">IF($A281="","",COUNTIFS(주문내역!$B$3:$B$2002,$A281,주문내역!$A$3:$A$2002,"&gt;="&amp;DATE($B$3,1,1),주문내역!$A$3:$A$2002,"&lt;="&amp;DATE($B$3,12,31)))</f>
        <v/>
      </c>
      <c r="E281" s="20" t="str">
        <f aca="false">IF($A281="","",SUMIFS(주문내역!$G$3:$G$2002,주문내역!$B$3:$B$2002,$A281,주문내역!$A$3:$A$2002,"&gt;="&amp;DATE($B$3,1,1),주문내역!$A$3:$A$2002,"&lt;="&amp;DATE($B$3,12,31)))</f>
        <v/>
      </c>
      <c r="F281" s="12" t="str">
        <f aca="false">IF($A281="","",SUMIFS(주문내역!$I$3:$I$2002,주문내역!$B$3:$B$2002,$A281,주문내역!$A$3:$A$2002,"&gt;="&amp;DATE($B$3,1,1),주문내역!$A$3:$A$2002,"&lt;="&amp;DATE($B$3,12,31)))</f>
        <v/>
      </c>
    </row>
    <row r="282" customFormat="false" ht="15" hidden="false" customHeight="true" outlineLevel="0" collapsed="false">
      <c r="A282" s="19" t="str">
        <f aca="false">IF(거래처목록!$A279="","",거래처목록!$A279)</f>
        <v/>
      </c>
      <c r="B282" s="19" t="str">
        <f aca="false">IF($A282="","",거래처목록!$B279)</f>
        <v/>
      </c>
      <c r="C282" s="20" t="str">
        <f aca="false">IF($A282="","",COUNTIFS(정기주문설정!$B$3:$B$302,$A282))</f>
        <v/>
      </c>
      <c r="D282" s="20" t="str">
        <f aca="false">IF($A282="","",COUNTIFS(주문내역!$B$3:$B$2002,$A282,주문내역!$A$3:$A$2002,"&gt;="&amp;DATE($B$3,1,1),주문내역!$A$3:$A$2002,"&lt;="&amp;DATE($B$3,12,31)))</f>
        <v/>
      </c>
      <c r="E282" s="20" t="str">
        <f aca="false">IF($A282="","",SUMIFS(주문내역!$G$3:$G$2002,주문내역!$B$3:$B$2002,$A282,주문내역!$A$3:$A$2002,"&gt;="&amp;DATE($B$3,1,1),주문내역!$A$3:$A$2002,"&lt;="&amp;DATE($B$3,12,31)))</f>
        <v/>
      </c>
      <c r="F282" s="12" t="str">
        <f aca="false">IF($A282="","",SUMIFS(주문내역!$I$3:$I$2002,주문내역!$B$3:$B$2002,$A282,주문내역!$A$3:$A$2002,"&gt;="&amp;DATE($B$3,1,1),주문내역!$A$3:$A$2002,"&lt;="&amp;DATE($B$3,12,31)))</f>
        <v/>
      </c>
    </row>
    <row r="283" customFormat="false" ht="15" hidden="false" customHeight="true" outlineLevel="0" collapsed="false">
      <c r="A283" s="19" t="str">
        <f aca="false">IF(거래처목록!$A280="","",거래처목록!$A280)</f>
        <v/>
      </c>
      <c r="B283" s="19" t="str">
        <f aca="false">IF($A283="","",거래처목록!$B280)</f>
        <v/>
      </c>
      <c r="C283" s="20" t="str">
        <f aca="false">IF($A283="","",COUNTIFS(정기주문설정!$B$3:$B$302,$A283))</f>
        <v/>
      </c>
      <c r="D283" s="20" t="str">
        <f aca="false">IF($A283="","",COUNTIFS(주문내역!$B$3:$B$2002,$A283,주문내역!$A$3:$A$2002,"&gt;="&amp;DATE($B$3,1,1),주문내역!$A$3:$A$2002,"&lt;="&amp;DATE($B$3,12,31)))</f>
        <v/>
      </c>
      <c r="E283" s="20" t="str">
        <f aca="false">IF($A283="","",SUMIFS(주문내역!$G$3:$G$2002,주문내역!$B$3:$B$2002,$A283,주문내역!$A$3:$A$2002,"&gt;="&amp;DATE($B$3,1,1),주문내역!$A$3:$A$2002,"&lt;="&amp;DATE($B$3,12,31)))</f>
        <v/>
      </c>
      <c r="F283" s="12" t="str">
        <f aca="false">IF($A283="","",SUMIFS(주문내역!$I$3:$I$2002,주문내역!$B$3:$B$2002,$A283,주문내역!$A$3:$A$2002,"&gt;="&amp;DATE($B$3,1,1),주문내역!$A$3:$A$2002,"&lt;="&amp;DATE($B$3,12,31)))</f>
        <v/>
      </c>
    </row>
    <row r="284" customFormat="false" ht="15" hidden="false" customHeight="true" outlineLevel="0" collapsed="false">
      <c r="A284" s="19" t="str">
        <f aca="false">IF(거래처목록!$A281="","",거래처목록!$A281)</f>
        <v/>
      </c>
      <c r="B284" s="19" t="str">
        <f aca="false">IF($A284="","",거래처목록!$B281)</f>
        <v/>
      </c>
      <c r="C284" s="20" t="str">
        <f aca="false">IF($A284="","",COUNTIFS(정기주문설정!$B$3:$B$302,$A284))</f>
        <v/>
      </c>
      <c r="D284" s="20" t="str">
        <f aca="false">IF($A284="","",COUNTIFS(주문내역!$B$3:$B$2002,$A284,주문내역!$A$3:$A$2002,"&gt;="&amp;DATE($B$3,1,1),주문내역!$A$3:$A$2002,"&lt;="&amp;DATE($B$3,12,31)))</f>
        <v/>
      </c>
      <c r="E284" s="20" t="str">
        <f aca="false">IF($A284="","",SUMIFS(주문내역!$G$3:$G$2002,주문내역!$B$3:$B$2002,$A284,주문내역!$A$3:$A$2002,"&gt;="&amp;DATE($B$3,1,1),주문내역!$A$3:$A$2002,"&lt;="&amp;DATE($B$3,12,31)))</f>
        <v/>
      </c>
      <c r="F284" s="12" t="str">
        <f aca="false">IF($A284="","",SUMIFS(주문내역!$I$3:$I$2002,주문내역!$B$3:$B$2002,$A284,주문내역!$A$3:$A$2002,"&gt;="&amp;DATE($B$3,1,1),주문내역!$A$3:$A$2002,"&lt;="&amp;DATE($B$3,12,31)))</f>
        <v/>
      </c>
    </row>
    <row r="285" customFormat="false" ht="15" hidden="false" customHeight="true" outlineLevel="0" collapsed="false">
      <c r="A285" s="19" t="str">
        <f aca="false">IF(거래처목록!$A282="","",거래처목록!$A282)</f>
        <v/>
      </c>
      <c r="B285" s="19" t="str">
        <f aca="false">IF($A285="","",거래처목록!$B282)</f>
        <v/>
      </c>
      <c r="C285" s="20" t="str">
        <f aca="false">IF($A285="","",COUNTIFS(정기주문설정!$B$3:$B$302,$A285))</f>
        <v/>
      </c>
      <c r="D285" s="20" t="str">
        <f aca="false">IF($A285="","",COUNTIFS(주문내역!$B$3:$B$2002,$A285,주문내역!$A$3:$A$2002,"&gt;="&amp;DATE($B$3,1,1),주문내역!$A$3:$A$2002,"&lt;="&amp;DATE($B$3,12,31)))</f>
        <v/>
      </c>
      <c r="E285" s="20" t="str">
        <f aca="false">IF($A285="","",SUMIFS(주문내역!$G$3:$G$2002,주문내역!$B$3:$B$2002,$A285,주문내역!$A$3:$A$2002,"&gt;="&amp;DATE($B$3,1,1),주문내역!$A$3:$A$2002,"&lt;="&amp;DATE($B$3,12,31)))</f>
        <v/>
      </c>
      <c r="F285" s="12" t="str">
        <f aca="false">IF($A285="","",SUMIFS(주문내역!$I$3:$I$2002,주문내역!$B$3:$B$2002,$A285,주문내역!$A$3:$A$2002,"&gt;="&amp;DATE($B$3,1,1),주문내역!$A$3:$A$2002,"&lt;="&amp;DATE($B$3,12,31)))</f>
        <v/>
      </c>
    </row>
    <row r="286" customFormat="false" ht="15" hidden="false" customHeight="true" outlineLevel="0" collapsed="false">
      <c r="A286" s="19" t="str">
        <f aca="false">IF(거래처목록!$A283="","",거래처목록!$A283)</f>
        <v/>
      </c>
      <c r="B286" s="19" t="str">
        <f aca="false">IF($A286="","",거래처목록!$B283)</f>
        <v/>
      </c>
      <c r="C286" s="20" t="str">
        <f aca="false">IF($A286="","",COUNTIFS(정기주문설정!$B$3:$B$302,$A286))</f>
        <v/>
      </c>
      <c r="D286" s="20" t="str">
        <f aca="false">IF($A286="","",COUNTIFS(주문내역!$B$3:$B$2002,$A286,주문내역!$A$3:$A$2002,"&gt;="&amp;DATE($B$3,1,1),주문내역!$A$3:$A$2002,"&lt;="&amp;DATE($B$3,12,31)))</f>
        <v/>
      </c>
      <c r="E286" s="20" t="str">
        <f aca="false">IF($A286="","",SUMIFS(주문내역!$G$3:$G$2002,주문내역!$B$3:$B$2002,$A286,주문내역!$A$3:$A$2002,"&gt;="&amp;DATE($B$3,1,1),주문내역!$A$3:$A$2002,"&lt;="&amp;DATE($B$3,12,31)))</f>
        <v/>
      </c>
      <c r="F286" s="12" t="str">
        <f aca="false">IF($A286="","",SUMIFS(주문내역!$I$3:$I$2002,주문내역!$B$3:$B$2002,$A286,주문내역!$A$3:$A$2002,"&gt;="&amp;DATE($B$3,1,1),주문내역!$A$3:$A$2002,"&lt;="&amp;DATE($B$3,12,31)))</f>
        <v/>
      </c>
    </row>
    <row r="287" customFormat="false" ht="15" hidden="false" customHeight="true" outlineLevel="0" collapsed="false">
      <c r="A287" s="19" t="str">
        <f aca="false">IF(거래처목록!$A284="","",거래처목록!$A284)</f>
        <v/>
      </c>
      <c r="B287" s="19" t="str">
        <f aca="false">IF($A287="","",거래처목록!$B284)</f>
        <v/>
      </c>
      <c r="C287" s="20" t="str">
        <f aca="false">IF($A287="","",COUNTIFS(정기주문설정!$B$3:$B$302,$A287))</f>
        <v/>
      </c>
      <c r="D287" s="20" t="str">
        <f aca="false">IF($A287="","",COUNTIFS(주문내역!$B$3:$B$2002,$A287,주문내역!$A$3:$A$2002,"&gt;="&amp;DATE($B$3,1,1),주문내역!$A$3:$A$2002,"&lt;="&amp;DATE($B$3,12,31)))</f>
        <v/>
      </c>
      <c r="E287" s="20" t="str">
        <f aca="false">IF($A287="","",SUMIFS(주문내역!$G$3:$G$2002,주문내역!$B$3:$B$2002,$A287,주문내역!$A$3:$A$2002,"&gt;="&amp;DATE($B$3,1,1),주문내역!$A$3:$A$2002,"&lt;="&amp;DATE($B$3,12,31)))</f>
        <v/>
      </c>
      <c r="F287" s="12" t="str">
        <f aca="false">IF($A287="","",SUMIFS(주문내역!$I$3:$I$2002,주문내역!$B$3:$B$2002,$A287,주문내역!$A$3:$A$2002,"&gt;="&amp;DATE($B$3,1,1),주문내역!$A$3:$A$2002,"&lt;="&amp;DATE($B$3,12,31)))</f>
        <v/>
      </c>
    </row>
    <row r="288" customFormat="false" ht="15" hidden="false" customHeight="true" outlineLevel="0" collapsed="false">
      <c r="A288" s="19" t="str">
        <f aca="false">IF(거래처목록!$A285="","",거래처목록!$A285)</f>
        <v/>
      </c>
      <c r="B288" s="19" t="str">
        <f aca="false">IF($A288="","",거래처목록!$B285)</f>
        <v/>
      </c>
      <c r="C288" s="20" t="str">
        <f aca="false">IF($A288="","",COUNTIFS(정기주문설정!$B$3:$B$302,$A288))</f>
        <v/>
      </c>
      <c r="D288" s="20" t="str">
        <f aca="false">IF($A288="","",COUNTIFS(주문내역!$B$3:$B$2002,$A288,주문내역!$A$3:$A$2002,"&gt;="&amp;DATE($B$3,1,1),주문내역!$A$3:$A$2002,"&lt;="&amp;DATE($B$3,12,31)))</f>
        <v/>
      </c>
      <c r="E288" s="20" t="str">
        <f aca="false">IF($A288="","",SUMIFS(주문내역!$G$3:$G$2002,주문내역!$B$3:$B$2002,$A288,주문내역!$A$3:$A$2002,"&gt;="&amp;DATE($B$3,1,1),주문내역!$A$3:$A$2002,"&lt;="&amp;DATE($B$3,12,31)))</f>
        <v/>
      </c>
      <c r="F288" s="12" t="str">
        <f aca="false">IF($A288="","",SUMIFS(주문내역!$I$3:$I$2002,주문내역!$B$3:$B$2002,$A288,주문내역!$A$3:$A$2002,"&gt;="&amp;DATE($B$3,1,1),주문내역!$A$3:$A$2002,"&lt;="&amp;DATE($B$3,12,31)))</f>
        <v/>
      </c>
    </row>
    <row r="289" customFormat="false" ht="15" hidden="false" customHeight="true" outlineLevel="0" collapsed="false">
      <c r="A289" s="19" t="str">
        <f aca="false">IF(거래처목록!$A286="","",거래처목록!$A286)</f>
        <v/>
      </c>
      <c r="B289" s="19" t="str">
        <f aca="false">IF($A289="","",거래처목록!$B286)</f>
        <v/>
      </c>
      <c r="C289" s="20" t="str">
        <f aca="false">IF($A289="","",COUNTIFS(정기주문설정!$B$3:$B$302,$A289))</f>
        <v/>
      </c>
      <c r="D289" s="20" t="str">
        <f aca="false">IF($A289="","",COUNTIFS(주문내역!$B$3:$B$2002,$A289,주문내역!$A$3:$A$2002,"&gt;="&amp;DATE($B$3,1,1),주문내역!$A$3:$A$2002,"&lt;="&amp;DATE($B$3,12,31)))</f>
        <v/>
      </c>
      <c r="E289" s="20" t="str">
        <f aca="false">IF($A289="","",SUMIFS(주문내역!$G$3:$G$2002,주문내역!$B$3:$B$2002,$A289,주문내역!$A$3:$A$2002,"&gt;="&amp;DATE($B$3,1,1),주문내역!$A$3:$A$2002,"&lt;="&amp;DATE($B$3,12,31)))</f>
        <v/>
      </c>
      <c r="F289" s="12" t="str">
        <f aca="false">IF($A289="","",SUMIFS(주문내역!$I$3:$I$2002,주문내역!$B$3:$B$2002,$A289,주문내역!$A$3:$A$2002,"&gt;="&amp;DATE($B$3,1,1),주문내역!$A$3:$A$2002,"&lt;="&amp;DATE($B$3,12,31)))</f>
        <v/>
      </c>
    </row>
    <row r="290" customFormat="false" ht="15" hidden="false" customHeight="true" outlineLevel="0" collapsed="false">
      <c r="A290" s="19" t="str">
        <f aca="false">IF(거래처목록!$A287="","",거래처목록!$A287)</f>
        <v/>
      </c>
      <c r="B290" s="19" t="str">
        <f aca="false">IF($A290="","",거래처목록!$B287)</f>
        <v/>
      </c>
      <c r="C290" s="20" t="str">
        <f aca="false">IF($A290="","",COUNTIFS(정기주문설정!$B$3:$B$302,$A290))</f>
        <v/>
      </c>
      <c r="D290" s="20" t="str">
        <f aca="false">IF($A290="","",COUNTIFS(주문내역!$B$3:$B$2002,$A290,주문내역!$A$3:$A$2002,"&gt;="&amp;DATE($B$3,1,1),주문내역!$A$3:$A$2002,"&lt;="&amp;DATE($B$3,12,31)))</f>
        <v/>
      </c>
      <c r="E290" s="20" t="str">
        <f aca="false">IF($A290="","",SUMIFS(주문내역!$G$3:$G$2002,주문내역!$B$3:$B$2002,$A290,주문내역!$A$3:$A$2002,"&gt;="&amp;DATE($B$3,1,1),주문내역!$A$3:$A$2002,"&lt;="&amp;DATE($B$3,12,31)))</f>
        <v/>
      </c>
      <c r="F290" s="12" t="str">
        <f aca="false">IF($A290="","",SUMIFS(주문내역!$I$3:$I$2002,주문내역!$B$3:$B$2002,$A290,주문내역!$A$3:$A$2002,"&gt;="&amp;DATE($B$3,1,1),주문내역!$A$3:$A$2002,"&lt;="&amp;DATE($B$3,12,31)))</f>
        <v/>
      </c>
    </row>
    <row r="291" customFormat="false" ht="15" hidden="false" customHeight="true" outlineLevel="0" collapsed="false">
      <c r="A291" s="19" t="str">
        <f aca="false">IF(거래처목록!$A288="","",거래처목록!$A288)</f>
        <v/>
      </c>
      <c r="B291" s="19" t="str">
        <f aca="false">IF($A291="","",거래처목록!$B288)</f>
        <v/>
      </c>
      <c r="C291" s="20" t="str">
        <f aca="false">IF($A291="","",COUNTIFS(정기주문설정!$B$3:$B$302,$A291))</f>
        <v/>
      </c>
      <c r="D291" s="20" t="str">
        <f aca="false">IF($A291="","",COUNTIFS(주문내역!$B$3:$B$2002,$A291,주문내역!$A$3:$A$2002,"&gt;="&amp;DATE($B$3,1,1),주문내역!$A$3:$A$2002,"&lt;="&amp;DATE($B$3,12,31)))</f>
        <v/>
      </c>
      <c r="E291" s="20" t="str">
        <f aca="false">IF($A291="","",SUMIFS(주문내역!$G$3:$G$2002,주문내역!$B$3:$B$2002,$A291,주문내역!$A$3:$A$2002,"&gt;="&amp;DATE($B$3,1,1),주문내역!$A$3:$A$2002,"&lt;="&amp;DATE($B$3,12,31)))</f>
        <v/>
      </c>
      <c r="F291" s="12" t="str">
        <f aca="false">IF($A291="","",SUMIFS(주문내역!$I$3:$I$2002,주문내역!$B$3:$B$2002,$A291,주문내역!$A$3:$A$2002,"&gt;="&amp;DATE($B$3,1,1),주문내역!$A$3:$A$2002,"&lt;="&amp;DATE($B$3,12,31)))</f>
        <v/>
      </c>
    </row>
    <row r="292" customFormat="false" ht="15" hidden="false" customHeight="true" outlineLevel="0" collapsed="false">
      <c r="A292" s="19" t="str">
        <f aca="false">IF(거래처목록!$A289="","",거래처목록!$A289)</f>
        <v/>
      </c>
      <c r="B292" s="19" t="str">
        <f aca="false">IF($A292="","",거래처목록!$B289)</f>
        <v/>
      </c>
      <c r="C292" s="20" t="str">
        <f aca="false">IF($A292="","",COUNTIFS(정기주문설정!$B$3:$B$302,$A292))</f>
        <v/>
      </c>
      <c r="D292" s="20" t="str">
        <f aca="false">IF($A292="","",COUNTIFS(주문내역!$B$3:$B$2002,$A292,주문내역!$A$3:$A$2002,"&gt;="&amp;DATE($B$3,1,1),주문내역!$A$3:$A$2002,"&lt;="&amp;DATE($B$3,12,31)))</f>
        <v/>
      </c>
      <c r="E292" s="20" t="str">
        <f aca="false">IF($A292="","",SUMIFS(주문내역!$G$3:$G$2002,주문내역!$B$3:$B$2002,$A292,주문내역!$A$3:$A$2002,"&gt;="&amp;DATE($B$3,1,1),주문내역!$A$3:$A$2002,"&lt;="&amp;DATE($B$3,12,31)))</f>
        <v/>
      </c>
      <c r="F292" s="12" t="str">
        <f aca="false">IF($A292="","",SUMIFS(주문내역!$I$3:$I$2002,주문내역!$B$3:$B$2002,$A292,주문내역!$A$3:$A$2002,"&gt;="&amp;DATE($B$3,1,1),주문내역!$A$3:$A$2002,"&lt;="&amp;DATE($B$3,12,31)))</f>
        <v/>
      </c>
    </row>
    <row r="293" customFormat="false" ht="15" hidden="false" customHeight="true" outlineLevel="0" collapsed="false">
      <c r="A293" s="19" t="str">
        <f aca="false">IF(거래처목록!$A290="","",거래처목록!$A290)</f>
        <v/>
      </c>
      <c r="B293" s="19" t="str">
        <f aca="false">IF($A293="","",거래처목록!$B290)</f>
        <v/>
      </c>
      <c r="C293" s="20" t="str">
        <f aca="false">IF($A293="","",COUNTIFS(정기주문설정!$B$3:$B$302,$A293))</f>
        <v/>
      </c>
      <c r="D293" s="20" t="str">
        <f aca="false">IF($A293="","",COUNTIFS(주문내역!$B$3:$B$2002,$A293,주문내역!$A$3:$A$2002,"&gt;="&amp;DATE($B$3,1,1),주문내역!$A$3:$A$2002,"&lt;="&amp;DATE($B$3,12,31)))</f>
        <v/>
      </c>
      <c r="E293" s="20" t="str">
        <f aca="false">IF($A293="","",SUMIFS(주문내역!$G$3:$G$2002,주문내역!$B$3:$B$2002,$A293,주문내역!$A$3:$A$2002,"&gt;="&amp;DATE($B$3,1,1),주문내역!$A$3:$A$2002,"&lt;="&amp;DATE($B$3,12,31)))</f>
        <v/>
      </c>
      <c r="F293" s="12" t="str">
        <f aca="false">IF($A293="","",SUMIFS(주문내역!$I$3:$I$2002,주문내역!$B$3:$B$2002,$A293,주문내역!$A$3:$A$2002,"&gt;="&amp;DATE($B$3,1,1),주문내역!$A$3:$A$2002,"&lt;="&amp;DATE($B$3,12,31)))</f>
        <v/>
      </c>
    </row>
    <row r="294" customFormat="false" ht="15" hidden="false" customHeight="true" outlineLevel="0" collapsed="false">
      <c r="A294" s="19" t="str">
        <f aca="false">IF(거래처목록!$A291="","",거래처목록!$A291)</f>
        <v/>
      </c>
      <c r="B294" s="19" t="str">
        <f aca="false">IF($A294="","",거래처목록!$B291)</f>
        <v/>
      </c>
      <c r="C294" s="20" t="str">
        <f aca="false">IF($A294="","",COUNTIFS(정기주문설정!$B$3:$B$302,$A294))</f>
        <v/>
      </c>
      <c r="D294" s="20" t="str">
        <f aca="false">IF($A294="","",COUNTIFS(주문내역!$B$3:$B$2002,$A294,주문내역!$A$3:$A$2002,"&gt;="&amp;DATE($B$3,1,1),주문내역!$A$3:$A$2002,"&lt;="&amp;DATE($B$3,12,31)))</f>
        <v/>
      </c>
      <c r="E294" s="20" t="str">
        <f aca="false">IF($A294="","",SUMIFS(주문내역!$G$3:$G$2002,주문내역!$B$3:$B$2002,$A294,주문내역!$A$3:$A$2002,"&gt;="&amp;DATE($B$3,1,1),주문내역!$A$3:$A$2002,"&lt;="&amp;DATE($B$3,12,31)))</f>
        <v/>
      </c>
      <c r="F294" s="12" t="str">
        <f aca="false">IF($A294="","",SUMIFS(주문내역!$I$3:$I$2002,주문내역!$B$3:$B$2002,$A294,주문내역!$A$3:$A$2002,"&gt;="&amp;DATE($B$3,1,1),주문내역!$A$3:$A$2002,"&lt;="&amp;DATE($B$3,12,31)))</f>
        <v/>
      </c>
    </row>
    <row r="295" customFormat="false" ht="15" hidden="false" customHeight="true" outlineLevel="0" collapsed="false">
      <c r="A295" s="19" t="str">
        <f aca="false">IF(거래처목록!$A292="","",거래처목록!$A292)</f>
        <v/>
      </c>
      <c r="B295" s="19" t="str">
        <f aca="false">IF($A295="","",거래처목록!$B292)</f>
        <v/>
      </c>
      <c r="C295" s="20" t="str">
        <f aca="false">IF($A295="","",COUNTIFS(정기주문설정!$B$3:$B$302,$A295))</f>
        <v/>
      </c>
      <c r="D295" s="20" t="str">
        <f aca="false">IF($A295="","",COUNTIFS(주문내역!$B$3:$B$2002,$A295,주문내역!$A$3:$A$2002,"&gt;="&amp;DATE($B$3,1,1),주문내역!$A$3:$A$2002,"&lt;="&amp;DATE($B$3,12,31)))</f>
        <v/>
      </c>
      <c r="E295" s="20" t="str">
        <f aca="false">IF($A295="","",SUMIFS(주문내역!$G$3:$G$2002,주문내역!$B$3:$B$2002,$A295,주문내역!$A$3:$A$2002,"&gt;="&amp;DATE($B$3,1,1),주문내역!$A$3:$A$2002,"&lt;="&amp;DATE($B$3,12,31)))</f>
        <v/>
      </c>
      <c r="F295" s="12" t="str">
        <f aca="false">IF($A295="","",SUMIFS(주문내역!$I$3:$I$2002,주문내역!$B$3:$B$2002,$A295,주문내역!$A$3:$A$2002,"&gt;="&amp;DATE($B$3,1,1),주문내역!$A$3:$A$2002,"&lt;="&amp;DATE($B$3,12,31)))</f>
        <v/>
      </c>
    </row>
    <row r="296" customFormat="false" ht="15" hidden="false" customHeight="true" outlineLevel="0" collapsed="false">
      <c r="A296" s="19" t="str">
        <f aca="false">IF(거래처목록!$A293="","",거래처목록!$A293)</f>
        <v/>
      </c>
      <c r="B296" s="19" t="str">
        <f aca="false">IF($A296="","",거래처목록!$B293)</f>
        <v/>
      </c>
      <c r="C296" s="20" t="str">
        <f aca="false">IF($A296="","",COUNTIFS(정기주문설정!$B$3:$B$302,$A296))</f>
        <v/>
      </c>
      <c r="D296" s="20" t="str">
        <f aca="false">IF($A296="","",COUNTIFS(주문내역!$B$3:$B$2002,$A296,주문내역!$A$3:$A$2002,"&gt;="&amp;DATE($B$3,1,1),주문내역!$A$3:$A$2002,"&lt;="&amp;DATE($B$3,12,31)))</f>
        <v/>
      </c>
      <c r="E296" s="20" t="str">
        <f aca="false">IF($A296="","",SUMIFS(주문내역!$G$3:$G$2002,주문내역!$B$3:$B$2002,$A296,주문내역!$A$3:$A$2002,"&gt;="&amp;DATE($B$3,1,1),주문내역!$A$3:$A$2002,"&lt;="&amp;DATE($B$3,12,31)))</f>
        <v/>
      </c>
      <c r="F296" s="12" t="str">
        <f aca="false">IF($A296="","",SUMIFS(주문내역!$I$3:$I$2002,주문내역!$B$3:$B$2002,$A296,주문내역!$A$3:$A$2002,"&gt;="&amp;DATE($B$3,1,1),주문내역!$A$3:$A$2002,"&lt;="&amp;DATE($B$3,12,31)))</f>
        <v/>
      </c>
    </row>
    <row r="297" customFormat="false" ht="15" hidden="false" customHeight="true" outlineLevel="0" collapsed="false">
      <c r="A297" s="19" t="str">
        <f aca="false">IF(거래처목록!$A294="","",거래처목록!$A294)</f>
        <v/>
      </c>
      <c r="B297" s="19" t="str">
        <f aca="false">IF($A297="","",거래처목록!$B294)</f>
        <v/>
      </c>
      <c r="C297" s="20" t="str">
        <f aca="false">IF($A297="","",COUNTIFS(정기주문설정!$B$3:$B$302,$A297))</f>
        <v/>
      </c>
      <c r="D297" s="20" t="str">
        <f aca="false">IF($A297="","",COUNTIFS(주문내역!$B$3:$B$2002,$A297,주문내역!$A$3:$A$2002,"&gt;="&amp;DATE($B$3,1,1),주문내역!$A$3:$A$2002,"&lt;="&amp;DATE($B$3,12,31)))</f>
        <v/>
      </c>
      <c r="E297" s="20" t="str">
        <f aca="false">IF($A297="","",SUMIFS(주문내역!$G$3:$G$2002,주문내역!$B$3:$B$2002,$A297,주문내역!$A$3:$A$2002,"&gt;="&amp;DATE($B$3,1,1),주문내역!$A$3:$A$2002,"&lt;="&amp;DATE($B$3,12,31)))</f>
        <v/>
      </c>
      <c r="F297" s="12" t="str">
        <f aca="false">IF($A297="","",SUMIFS(주문내역!$I$3:$I$2002,주문내역!$B$3:$B$2002,$A297,주문내역!$A$3:$A$2002,"&gt;="&amp;DATE($B$3,1,1),주문내역!$A$3:$A$2002,"&lt;="&amp;DATE($B$3,12,31)))</f>
        <v/>
      </c>
    </row>
    <row r="298" customFormat="false" ht="15" hidden="false" customHeight="true" outlineLevel="0" collapsed="false">
      <c r="A298" s="19" t="str">
        <f aca="false">IF(거래처목록!$A295="","",거래처목록!$A295)</f>
        <v/>
      </c>
      <c r="B298" s="19" t="str">
        <f aca="false">IF($A298="","",거래처목록!$B295)</f>
        <v/>
      </c>
      <c r="C298" s="20" t="str">
        <f aca="false">IF($A298="","",COUNTIFS(정기주문설정!$B$3:$B$302,$A298))</f>
        <v/>
      </c>
      <c r="D298" s="20" t="str">
        <f aca="false">IF($A298="","",COUNTIFS(주문내역!$B$3:$B$2002,$A298,주문내역!$A$3:$A$2002,"&gt;="&amp;DATE($B$3,1,1),주문내역!$A$3:$A$2002,"&lt;="&amp;DATE($B$3,12,31)))</f>
        <v/>
      </c>
      <c r="E298" s="20" t="str">
        <f aca="false">IF($A298="","",SUMIFS(주문내역!$G$3:$G$2002,주문내역!$B$3:$B$2002,$A298,주문내역!$A$3:$A$2002,"&gt;="&amp;DATE($B$3,1,1),주문내역!$A$3:$A$2002,"&lt;="&amp;DATE($B$3,12,31)))</f>
        <v/>
      </c>
      <c r="F298" s="12" t="str">
        <f aca="false">IF($A298="","",SUMIFS(주문내역!$I$3:$I$2002,주문내역!$B$3:$B$2002,$A298,주문내역!$A$3:$A$2002,"&gt;="&amp;DATE($B$3,1,1),주문내역!$A$3:$A$2002,"&lt;="&amp;DATE($B$3,12,31)))</f>
        <v/>
      </c>
    </row>
    <row r="299" customFormat="false" ht="15" hidden="false" customHeight="true" outlineLevel="0" collapsed="false">
      <c r="A299" s="19" t="str">
        <f aca="false">IF(거래처목록!$A296="","",거래처목록!$A296)</f>
        <v/>
      </c>
      <c r="B299" s="19" t="str">
        <f aca="false">IF($A299="","",거래처목록!$B296)</f>
        <v/>
      </c>
      <c r="C299" s="20" t="str">
        <f aca="false">IF($A299="","",COUNTIFS(정기주문설정!$B$3:$B$302,$A299))</f>
        <v/>
      </c>
      <c r="D299" s="20" t="str">
        <f aca="false">IF($A299="","",COUNTIFS(주문내역!$B$3:$B$2002,$A299,주문내역!$A$3:$A$2002,"&gt;="&amp;DATE($B$3,1,1),주문내역!$A$3:$A$2002,"&lt;="&amp;DATE($B$3,12,31)))</f>
        <v/>
      </c>
      <c r="E299" s="20" t="str">
        <f aca="false">IF($A299="","",SUMIFS(주문내역!$G$3:$G$2002,주문내역!$B$3:$B$2002,$A299,주문내역!$A$3:$A$2002,"&gt;="&amp;DATE($B$3,1,1),주문내역!$A$3:$A$2002,"&lt;="&amp;DATE($B$3,12,31)))</f>
        <v/>
      </c>
      <c r="F299" s="12" t="str">
        <f aca="false">IF($A299="","",SUMIFS(주문내역!$I$3:$I$2002,주문내역!$B$3:$B$2002,$A299,주문내역!$A$3:$A$2002,"&gt;="&amp;DATE($B$3,1,1),주문내역!$A$3:$A$2002,"&lt;="&amp;DATE($B$3,12,31)))</f>
        <v/>
      </c>
    </row>
    <row r="300" customFormat="false" ht="15" hidden="false" customHeight="true" outlineLevel="0" collapsed="false">
      <c r="A300" s="19" t="str">
        <f aca="false">IF(거래처목록!$A297="","",거래처목록!$A297)</f>
        <v/>
      </c>
      <c r="B300" s="19" t="str">
        <f aca="false">IF($A300="","",거래처목록!$B297)</f>
        <v/>
      </c>
      <c r="C300" s="20" t="str">
        <f aca="false">IF($A300="","",COUNTIFS(정기주문설정!$B$3:$B$302,$A300))</f>
        <v/>
      </c>
      <c r="D300" s="20" t="str">
        <f aca="false">IF($A300="","",COUNTIFS(주문내역!$B$3:$B$2002,$A300,주문내역!$A$3:$A$2002,"&gt;="&amp;DATE($B$3,1,1),주문내역!$A$3:$A$2002,"&lt;="&amp;DATE($B$3,12,31)))</f>
        <v/>
      </c>
      <c r="E300" s="20" t="str">
        <f aca="false">IF($A300="","",SUMIFS(주문내역!$G$3:$G$2002,주문내역!$B$3:$B$2002,$A300,주문내역!$A$3:$A$2002,"&gt;="&amp;DATE($B$3,1,1),주문내역!$A$3:$A$2002,"&lt;="&amp;DATE($B$3,12,31)))</f>
        <v/>
      </c>
      <c r="F300" s="12" t="str">
        <f aca="false">IF($A300="","",SUMIFS(주문내역!$I$3:$I$2002,주문내역!$B$3:$B$2002,$A300,주문내역!$A$3:$A$2002,"&gt;="&amp;DATE($B$3,1,1),주문내역!$A$3:$A$2002,"&lt;="&amp;DATE($B$3,12,31)))</f>
        <v/>
      </c>
    </row>
    <row r="301" customFormat="false" ht="15" hidden="false" customHeight="true" outlineLevel="0" collapsed="false">
      <c r="A301" s="19" t="str">
        <f aca="false">IF(거래처목록!$A298="","",거래처목록!$A298)</f>
        <v/>
      </c>
      <c r="B301" s="19" t="str">
        <f aca="false">IF($A301="","",거래처목록!$B298)</f>
        <v/>
      </c>
      <c r="C301" s="20" t="str">
        <f aca="false">IF($A301="","",COUNTIFS(정기주문설정!$B$3:$B$302,$A301))</f>
        <v/>
      </c>
      <c r="D301" s="20" t="str">
        <f aca="false">IF($A301="","",COUNTIFS(주문내역!$B$3:$B$2002,$A301,주문내역!$A$3:$A$2002,"&gt;="&amp;DATE($B$3,1,1),주문내역!$A$3:$A$2002,"&lt;="&amp;DATE($B$3,12,31)))</f>
        <v/>
      </c>
      <c r="E301" s="20" t="str">
        <f aca="false">IF($A301="","",SUMIFS(주문내역!$G$3:$G$2002,주문내역!$B$3:$B$2002,$A301,주문내역!$A$3:$A$2002,"&gt;="&amp;DATE($B$3,1,1),주문내역!$A$3:$A$2002,"&lt;="&amp;DATE($B$3,12,31)))</f>
        <v/>
      </c>
      <c r="F301" s="12" t="str">
        <f aca="false">IF($A301="","",SUMIFS(주문내역!$I$3:$I$2002,주문내역!$B$3:$B$2002,$A301,주문내역!$A$3:$A$2002,"&gt;="&amp;DATE($B$3,1,1),주문내역!$A$3:$A$2002,"&lt;="&amp;DATE($B$3,12,31)))</f>
        <v/>
      </c>
    </row>
    <row r="302" customFormat="false" ht="15" hidden="false" customHeight="true" outlineLevel="0" collapsed="false">
      <c r="A302" s="19" t="str">
        <f aca="false">IF(거래처목록!$A299="","",거래처목록!$A299)</f>
        <v/>
      </c>
      <c r="B302" s="19" t="str">
        <f aca="false">IF($A302="","",거래처목록!$B299)</f>
        <v/>
      </c>
      <c r="C302" s="20" t="str">
        <f aca="false">IF($A302="","",COUNTIFS(정기주문설정!$B$3:$B$302,$A302))</f>
        <v/>
      </c>
      <c r="D302" s="20" t="str">
        <f aca="false">IF($A302="","",COUNTIFS(주문내역!$B$3:$B$2002,$A302,주문내역!$A$3:$A$2002,"&gt;="&amp;DATE($B$3,1,1),주문내역!$A$3:$A$2002,"&lt;="&amp;DATE($B$3,12,31)))</f>
        <v/>
      </c>
      <c r="E302" s="20" t="str">
        <f aca="false">IF($A302="","",SUMIFS(주문내역!$G$3:$G$2002,주문내역!$B$3:$B$2002,$A302,주문내역!$A$3:$A$2002,"&gt;="&amp;DATE($B$3,1,1),주문내역!$A$3:$A$2002,"&lt;="&amp;DATE($B$3,12,31)))</f>
        <v/>
      </c>
      <c r="F302" s="12" t="str">
        <f aca="false">IF($A302="","",SUMIFS(주문내역!$I$3:$I$2002,주문내역!$B$3:$B$2002,$A302,주문내역!$A$3:$A$2002,"&gt;="&amp;DATE($B$3,1,1),주문내역!$A$3:$A$2002,"&lt;="&amp;DATE($B$3,12,31)))</f>
        <v/>
      </c>
    </row>
    <row r="303" customFormat="false" ht="15" hidden="false" customHeight="true" outlineLevel="0" collapsed="false">
      <c r="A303" s="19" t="str">
        <f aca="false">IF(거래처목록!$A300="","",거래처목록!$A300)</f>
        <v/>
      </c>
      <c r="B303" s="19" t="str">
        <f aca="false">IF($A303="","",거래처목록!$B300)</f>
        <v/>
      </c>
      <c r="C303" s="20" t="str">
        <f aca="false">IF($A303="","",COUNTIFS(정기주문설정!$B$3:$B$302,$A303))</f>
        <v/>
      </c>
      <c r="D303" s="20" t="str">
        <f aca="false">IF($A303="","",COUNTIFS(주문내역!$B$3:$B$2002,$A303,주문내역!$A$3:$A$2002,"&gt;="&amp;DATE($B$3,1,1),주문내역!$A$3:$A$2002,"&lt;="&amp;DATE($B$3,12,31)))</f>
        <v/>
      </c>
      <c r="E303" s="20" t="str">
        <f aca="false">IF($A303="","",SUMIFS(주문내역!$G$3:$G$2002,주문내역!$B$3:$B$2002,$A303,주문내역!$A$3:$A$2002,"&gt;="&amp;DATE($B$3,1,1),주문내역!$A$3:$A$2002,"&lt;="&amp;DATE($B$3,12,31)))</f>
        <v/>
      </c>
      <c r="F303" s="12" t="str">
        <f aca="false">IF($A303="","",SUMIFS(주문내역!$I$3:$I$2002,주문내역!$B$3:$B$2002,$A303,주문내역!$A$3:$A$2002,"&gt;="&amp;DATE($B$3,1,1),주문내역!$A$3:$A$2002,"&lt;="&amp;DATE($B$3,12,31)))</f>
        <v/>
      </c>
    </row>
    <row r="304" customFormat="false" ht="15" hidden="false" customHeight="true" outlineLevel="0" collapsed="false">
      <c r="A304" s="19" t="str">
        <f aca="false">IF(거래처목록!$A301="","",거래처목록!$A301)</f>
        <v/>
      </c>
      <c r="B304" s="19" t="str">
        <f aca="false">IF($A304="","",거래처목록!$B301)</f>
        <v/>
      </c>
      <c r="C304" s="20" t="str">
        <f aca="false">IF($A304="","",COUNTIFS(정기주문설정!$B$3:$B$302,$A304))</f>
        <v/>
      </c>
      <c r="D304" s="20" t="str">
        <f aca="false">IF($A304="","",COUNTIFS(주문내역!$B$3:$B$2002,$A304,주문내역!$A$3:$A$2002,"&gt;="&amp;DATE($B$3,1,1),주문내역!$A$3:$A$2002,"&lt;="&amp;DATE($B$3,12,31)))</f>
        <v/>
      </c>
      <c r="E304" s="20" t="str">
        <f aca="false">IF($A304="","",SUMIFS(주문내역!$G$3:$G$2002,주문내역!$B$3:$B$2002,$A304,주문내역!$A$3:$A$2002,"&gt;="&amp;DATE($B$3,1,1),주문내역!$A$3:$A$2002,"&lt;="&amp;DATE($B$3,12,31)))</f>
        <v/>
      </c>
      <c r="F304" s="12" t="str">
        <f aca="false">IF($A304="","",SUMIFS(주문내역!$I$3:$I$2002,주문내역!$B$3:$B$2002,$A304,주문내역!$A$3:$A$2002,"&gt;="&amp;DATE($B$3,1,1),주문내역!$A$3:$A$2002,"&lt;="&amp;DATE($B$3,12,31)))</f>
        <v/>
      </c>
    </row>
    <row r="305" customFormat="false" ht="15" hidden="false" customHeight="true" outlineLevel="0" collapsed="false">
      <c r="A305" s="19" t="str">
        <f aca="false">IF(거래처목록!$A302="","",거래처목록!$A302)</f>
        <v/>
      </c>
      <c r="B305" s="19" t="str">
        <f aca="false">IF($A305="","",거래처목록!$B302)</f>
        <v/>
      </c>
      <c r="C305" s="20" t="str">
        <f aca="false">IF($A305="","",COUNTIFS(정기주문설정!$B$3:$B$302,$A305))</f>
        <v/>
      </c>
      <c r="D305" s="20" t="str">
        <f aca="false">IF($A305="","",COUNTIFS(주문내역!$B$3:$B$2002,$A305,주문내역!$A$3:$A$2002,"&gt;="&amp;DATE($B$3,1,1),주문내역!$A$3:$A$2002,"&lt;="&amp;DATE($B$3,12,31)))</f>
        <v/>
      </c>
      <c r="E305" s="20" t="str">
        <f aca="false">IF($A305="","",SUMIFS(주문내역!$G$3:$G$2002,주문내역!$B$3:$B$2002,$A305,주문내역!$A$3:$A$2002,"&gt;="&amp;DATE($B$3,1,1),주문내역!$A$3:$A$2002,"&lt;="&amp;DATE($B$3,12,31)))</f>
        <v/>
      </c>
      <c r="F305" s="12" t="str">
        <f aca="false">IF($A305="","",SUMIFS(주문내역!$I$3:$I$2002,주문내역!$B$3:$B$2002,$A305,주문내역!$A$3:$A$2002,"&gt;="&amp;DATE($B$3,1,1),주문내역!$A$3:$A$2002,"&lt;="&amp;DATE($B$3,12,31)))</f>
        <v/>
      </c>
    </row>
    <row r="307" customFormat="false" ht="15" hidden="false" customHeight="true" outlineLevel="0" collapsed="false">
      <c r="B307" s="22" t="s">
        <v>94</v>
      </c>
      <c r="C307" s="23" t="n">
        <f aca="false">SUM(C6:C305)</f>
        <v>4</v>
      </c>
      <c r="D307" s="23" t="n">
        <f aca="false">SUM(D6:D305)</f>
        <v>6</v>
      </c>
      <c r="E307" s="23" t="n">
        <f aca="false">SUM(E6:E305)</f>
        <v>13</v>
      </c>
      <c r="F307" s="23" t="n">
        <f aca="false">SUM(F6:F305)</f>
        <v>222000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3"/>
    <col collapsed="false" customWidth="true" hidden="false" outlineLevel="0" max="4" min="4" style="1" width="17"/>
    <col collapsed="false" customWidth="true" hidden="false" outlineLevel="0" max="5" min="5" style="1" width="13"/>
  </cols>
  <sheetData>
    <row r="1" customFormat="false" ht="25.5" hidden="false" customHeight="true" outlineLevel="0" collapsed="false">
      <c r="A1" s="2" t="s">
        <v>107</v>
      </c>
      <c r="B1" s="2"/>
      <c r="C1" s="2"/>
      <c r="D1" s="2"/>
      <c r="E1" s="2"/>
    </row>
    <row r="3" customFormat="false" ht="15" hidden="false" customHeight="true" outlineLevel="0" collapsed="false">
      <c r="A3" s="3" t="s">
        <v>102</v>
      </c>
      <c r="B3" s="25" t="n">
        <v>2026</v>
      </c>
    </row>
    <row r="5" customFormat="false" ht="15" hidden="false" customHeight="true" outlineLevel="0" collapsed="false">
      <c r="A5" s="6" t="s">
        <v>75</v>
      </c>
      <c r="B5" s="6" t="s">
        <v>104</v>
      </c>
      <c r="C5" s="6" t="s">
        <v>105</v>
      </c>
      <c r="D5" s="6" t="s">
        <v>106</v>
      </c>
      <c r="E5" s="6" t="s">
        <v>108</v>
      </c>
    </row>
    <row r="6" customFormat="false" ht="15" hidden="false" customHeight="true" outlineLevel="0" collapsed="false">
      <c r="A6" s="26" t="n">
        <v>1</v>
      </c>
      <c r="B6" s="20" t="n">
        <f aca="false">COUNTIFS(주문내역!$A$3:$A$2002,"&gt;="&amp;DATE($B$3,1,1),주문내역!$A$3:$A$2002,"&lt;="&amp;EOMONTH(DATE($B$3,1,1),0))</f>
        <v>0</v>
      </c>
      <c r="C6" s="20" t="n">
        <f aca="false">SUMIFS(주문내역!$G$3:$G$2002,주문내역!$A$3:$A$2002,"&gt;="&amp;DATE($B$3,1,1),주문내역!$A$3:$A$2002,"&lt;="&amp;EOMONTH(DATE($B$3,1,1),0))</f>
        <v>0</v>
      </c>
      <c r="D6" s="20" t="n">
        <f aca="false">SUMIFS(주문내역!$I$3:$I$2002,주문내역!$A$3:$A$2002,"&gt;="&amp;DATE($B$3,1,1),주문내역!$A$3:$A$2002,"&lt;="&amp;EOMONTH(DATE($B$3,1,1),0))</f>
        <v>0</v>
      </c>
      <c r="E6" s="20" t="n">
        <f aca="false">SUMPRODUCT((거래처목록!$A$3:$A$302&lt;&gt;"")*(COUNTIFS(주문내역!$B$3:$B$2002,거래처목록!$A$3:$A$302,주문내역!$A$3:$A$2002,"&gt;="&amp;DATE($B$3,1,1),주문내역!$A$3:$A$2002,"&lt;="&amp;EOMONTH(DATE($B$3,1,1),0))&gt;0))</f>
        <v>0</v>
      </c>
    </row>
    <row r="7" customFormat="false" ht="15" hidden="false" customHeight="true" outlineLevel="0" collapsed="false">
      <c r="A7" s="26" t="n">
        <v>2</v>
      </c>
      <c r="B7" s="20" t="n">
        <f aca="false">COUNTIFS(주문내역!$A$3:$A$2002,"&gt;="&amp;DATE($B$3,2,1),주문내역!$A$3:$A$2002,"&lt;="&amp;EOMONTH(DATE($B$3,2,1),0))</f>
        <v>0</v>
      </c>
      <c r="C7" s="20" t="n">
        <f aca="false">SUMIFS(주문내역!$G$3:$G$2002,주문내역!$A$3:$A$2002,"&gt;="&amp;DATE($B$3,2,1),주문내역!$A$3:$A$2002,"&lt;="&amp;EOMONTH(DATE($B$3,2,1),0))</f>
        <v>0</v>
      </c>
      <c r="D7" s="20" t="n">
        <f aca="false">SUMIFS(주문내역!$I$3:$I$2002,주문내역!$A$3:$A$2002,"&gt;="&amp;DATE($B$3,2,1),주문내역!$A$3:$A$2002,"&lt;="&amp;EOMONTH(DATE($B$3,2,1),0))</f>
        <v>0</v>
      </c>
      <c r="E7" s="20" t="n">
        <f aca="false">SUMPRODUCT((거래처목록!$A$3:$A$302&lt;&gt;"")*(COUNTIFS(주문내역!$B$3:$B$2002,거래처목록!$A$3:$A$302,주문내역!$A$3:$A$2002,"&gt;="&amp;DATE($B$3,2,1),주문내역!$A$3:$A$2002,"&lt;="&amp;EOMONTH(DATE($B$3,2,1),0))&gt;0))</f>
        <v>0</v>
      </c>
    </row>
    <row r="8" customFormat="false" ht="15" hidden="false" customHeight="true" outlineLevel="0" collapsed="false">
      <c r="A8" s="26" t="n">
        <v>3</v>
      </c>
      <c r="B8" s="20" t="n">
        <f aca="false">COUNTIFS(주문내역!$A$3:$A$2002,"&gt;="&amp;DATE($B$3,3,1),주문내역!$A$3:$A$2002,"&lt;="&amp;EOMONTH(DATE($B$3,3,1),0))</f>
        <v>0</v>
      </c>
      <c r="C8" s="20" t="n">
        <f aca="false">SUMIFS(주문내역!$G$3:$G$2002,주문내역!$A$3:$A$2002,"&gt;="&amp;DATE($B$3,3,1),주문내역!$A$3:$A$2002,"&lt;="&amp;EOMONTH(DATE($B$3,3,1),0))</f>
        <v>0</v>
      </c>
      <c r="D8" s="20" t="n">
        <f aca="false">SUMIFS(주문내역!$I$3:$I$2002,주문내역!$A$3:$A$2002,"&gt;="&amp;DATE($B$3,3,1),주문내역!$A$3:$A$2002,"&lt;="&amp;EOMONTH(DATE($B$3,3,1),0))</f>
        <v>0</v>
      </c>
      <c r="E8" s="20" t="n">
        <f aca="false">SUMPRODUCT((거래처목록!$A$3:$A$302&lt;&gt;"")*(COUNTIFS(주문내역!$B$3:$B$2002,거래처목록!$A$3:$A$302,주문내역!$A$3:$A$2002,"&gt;="&amp;DATE($B$3,3,1),주문내역!$A$3:$A$2002,"&lt;="&amp;EOMONTH(DATE($B$3,3,1),0))&gt;0))</f>
        <v>0</v>
      </c>
    </row>
    <row r="9" customFormat="false" ht="15" hidden="false" customHeight="true" outlineLevel="0" collapsed="false">
      <c r="A9" s="26" t="n">
        <v>4</v>
      </c>
      <c r="B9" s="20" t="n">
        <f aca="false">COUNTIFS(주문내역!$A$3:$A$2002,"&gt;="&amp;DATE($B$3,4,1),주문내역!$A$3:$A$2002,"&lt;="&amp;EOMONTH(DATE($B$3,4,1),0))</f>
        <v>0</v>
      </c>
      <c r="C9" s="20" t="n">
        <f aca="false">SUMIFS(주문내역!$G$3:$G$2002,주문내역!$A$3:$A$2002,"&gt;="&amp;DATE($B$3,4,1),주문내역!$A$3:$A$2002,"&lt;="&amp;EOMONTH(DATE($B$3,4,1),0))</f>
        <v>0</v>
      </c>
      <c r="D9" s="20" t="n">
        <f aca="false">SUMIFS(주문내역!$I$3:$I$2002,주문내역!$A$3:$A$2002,"&gt;="&amp;DATE($B$3,4,1),주문내역!$A$3:$A$2002,"&lt;="&amp;EOMONTH(DATE($B$3,4,1),0))</f>
        <v>0</v>
      </c>
      <c r="E9" s="20" t="n">
        <f aca="false">SUMPRODUCT((거래처목록!$A$3:$A$302&lt;&gt;"")*(COUNTIFS(주문내역!$B$3:$B$2002,거래처목록!$A$3:$A$302,주문내역!$A$3:$A$2002,"&gt;="&amp;DATE($B$3,4,1),주문내역!$A$3:$A$2002,"&lt;="&amp;EOMONTH(DATE($B$3,4,1),0))&gt;0))</f>
        <v>0</v>
      </c>
    </row>
    <row r="10" customFormat="false" ht="15" hidden="false" customHeight="true" outlineLevel="0" collapsed="false">
      <c r="A10" s="26" t="n">
        <v>5</v>
      </c>
      <c r="B10" s="20" t="n">
        <f aca="false">COUNTIFS(주문내역!$A$3:$A$2002,"&gt;="&amp;DATE($B$3,5,1),주문내역!$A$3:$A$2002,"&lt;="&amp;EOMONTH(DATE($B$3,5,1),0))</f>
        <v>0</v>
      </c>
      <c r="C10" s="20" t="n">
        <f aca="false">SUMIFS(주문내역!$G$3:$G$2002,주문내역!$A$3:$A$2002,"&gt;="&amp;DATE($B$3,5,1),주문내역!$A$3:$A$2002,"&lt;="&amp;EOMONTH(DATE($B$3,5,1),0))</f>
        <v>0</v>
      </c>
      <c r="D10" s="20" t="n">
        <f aca="false">SUMIFS(주문내역!$I$3:$I$2002,주문내역!$A$3:$A$2002,"&gt;="&amp;DATE($B$3,5,1),주문내역!$A$3:$A$2002,"&lt;="&amp;EOMONTH(DATE($B$3,5,1),0))</f>
        <v>0</v>
      </c>
      <c r="E10" s="20" t="n">
        <f aca="false">SUMPRODUCT((거래처목록!$A$3:$A$302&lt;&gt;"")*(COUNTIFS(주문내역!$B$3:$B$2002,거래처목록!$A$3:$A$302,주문내역!$A$3:$A$2002,"&gt;="&amp;DATE($B$3,5,1),주문내역!$A$3:$A$2002,"&lt;="&amp;EOMONTH(DATE($B$3,5,1),0))&gt;0))</f>
        <v>0</v>
      </c>
    </row>
    <row r="11" customFormat="false" ht="15" hidden="false" customHeight="true" outlineLevel="0" collapsed="false">
      <c r="A11" s="26" t="n">
        <v>6</v>
      </c>
      <c r="B11" s="20" t="n">
        <f aca="false">COUNTIFS(주문내역!$A$3:$A$2002,"&gt;="&amp;DATE($B$3,6,1),주문내역!$A$3:$A$2002,"&lt;="&amp;EOMONTH(DATE($B$3,6,1),0))</f>
        <v>0</v>
      </c>
      <c r="C11" s="20" t="n">
        <f aca="false">SUMIFS(주문내역!$G$3:$G$2002,주문내역!$A$3:$A$2002,"&gt;="&amp;DATE($B$3,6,1),주문내역!$A$3:$A$2002,"&lt;="&amp;EOMONTH(DATE($B$3,6,1),0))</f>
        <v>0</v>
      </c>
      <c r="D11" s="20" t="n">
        <f aca="false">SUMIFS(주문내역!$I$3:$I$2002,주문내역!$A$3:$A$2002,"&gt;="&amp;DATE($B$3,6,1),주문내역!$A$3:$A$2002,"&lt;="&amp;EOMONTH(DATE($B$3,6,1),0))</f>
        <v>0</v>
      </c>
      <c r="E11" s="20" t="n">
        <f aca="false">SUMPRODUCT((거래처목록!$A$3:$A$302&lt;&gt;"")*(COUNTIFS(주문내역!$B$3:$B$2002,거래처목록!$A$3:$A$302,주문내역!$A$3:$A$2002,"&gt;="&amp;DATE($B$3,6,1),주문내역!$A$3:$A$2002,"&lt;="&amp;EOMONTH(DATE($B$3,6,1),0))&gt;0))</f>
        <v>0</v>
      </c>
    </row>
    <row r="12" customFormat="false" ht="15" hidden="false" customHeight="true" outlineLevel="0" collapsed="false">
      <c r="A12" s="26" t="n">
        <v>7</v>
      </c>
      <c r="B12" s="20" t="n">
        <f aca="false">COUNTIFS(주문내역!$A$3:$A$2002,"&gt;="&amp;DATE($B$3,7,1),주문내역!$A$3:$A$2002,"&lt;="&amp;EOMONTH(DATE($B$3,7,1),0))</f>
        <v>0</v>
      </c>
      <c r="C12" s="20" t="n">
        <f aca="false">SUMIFS(주문내역!$G$3:$G$2002,주문내역!$A$3:$A$2002,"&gt;="&amp;DATE($B$3,7,1),주문내역!$A$3:$A$2002,"&lt;="&amp;EOMONTH(DATE($B$3,7,1),0))</f>
        <v>0</v>
      </c>
      <c r="D12" s="20" t="n">
        <f aca="false">SUMIFS(주문내역!$I$3:$I$2002,주문내역!$A$3:$A$2002,"&gt;="&amp;DATE($B$3,7,1),주문내역!$A$3:$A$2002,"&lt;="&amp;EOMONTH(DATE($B$3,7,1),0))</f>
        <v>0</v>
      </c>
      <c r="E12" s="20" t="n">
        <f aca="false">SUMPRODUCT((거래처목록!$A$3:$A$302&lt;&gt;"")*(COUNTIFS(주문내역!$B$3:$B$2002,거래처목록!$A$3:$A$302,주문내역!$A$3:$A$2002,"&gt;="&amp;DATE($B$3,7,1),주문내역!$A$3:$A$2002,"&lt;="&amp;EOMONTH(DATE($B$3,7,1),0))&gt;0))</f>
        <v>0</v>
      </c>
    </row>
    <row r="13" customFormat="false" ht="15" hidden="false" customHeight="true" outlineLevel="0" collapsed="false">
      <c r="A13" s="26" t="n">
        <v>8</v>
      </c>
      <c r="B13" s="20" t="n">
        <f aca="false">COUNTIFS(주문내역!$A$3:$A$2002,"&gt;="&amp;DATE($B$3,8,1),주문내역!$A$3:$A$2002,"&lt;="&amp;EOMONTH(DATE($B$3,8,1),0))</f>
        <v>0</v>
      </c>
      <c r="C13" s="20" t="n">
        <f aca="false">SUMIFS(주문내역!$G$3:$G$2002,주문내역!$A$3:$A$2002,"&gt;="&amp;DATE($B$3,8,1),주문내역!$A$3:$A$2002,"&lt;="&amp;EOMONTH(DATE($B$3,8,1),0))</f>
        <v>0</v>
      </c>
      <c r="D13" s="20" t="n">
        <f aca="false">SUMIFS(주문내역!$I$3:$I$2002,주문내역!$A$3:$A$2002,"&gt;="&amp;DATE($B$3,8,1),주문내역!$A$3:$A$2002,"&lt;="&amp;EOMONTH(DATE($B$3,8,1),0))</f>
        <v>0</v>
      </c>
      <c r="E13" s="20" t="n">
        <f aca="false">SUMPRODUCT((거래처목록!$A$3:$A$302&lt;&gt;"")*(COUNTIFS(주문내역!$B$3:$B$2002,거래처목록!$A$3:$A$302,주문내역!$A$3:$A$2002,"&gt;="&amp;DATE($B$3,8,1),주문내역!$A$3:$A$2002,"&lt;="&amp;EOMONTH(DATE($B$3,8,1),0))&gt;0))</f>
        <v>0</v>
      </c>
    </row>
    <row r="14" customFormat="false" ht="15" hidden="false" customHeight="true" outlineLevel="0" collapsed="false">
      <c r="A14" s="26" t="n">
        <v>9</v>
      </c>
      <c r="B14" s="20" t="n">
        <f aca="false">COUNTIFS(주문내역!$A$3:$A$2002,"&gt;="&amp;DATE($B$3,9,1),주문내역!$A$3:$A$2002,"&lt;="&amp;EOMONTH(DATE($B$3,9,1),0))</f>
        <v>6</v>
      </c>
      <c r="C14" s="20" t="n">
        <f aca="false">SUMIFS(주문내역!$G$3:$G$2002,주문내역!$A$3:$A$2002,"&gt;="&amp;DATE($B$3,9,1),주문내역!$A$3:$A$2002,"&lt;="&amp;EOMONTH(DATE($B$3,9,1),0))</f>
        <v>13</v>
      </c>
      <c r="D14" s="20" t="n">
        <f aca="false">SUMIFS(주문내역!$I$3:$I$2002,주문내역!$A$3:$A$2002,"&gt;="&amp;DATE($B$3,9,1),주문내역!$A$3:$A$2002,"&lt;="&amp;EOMONTH(DATE($B$3,9,1),0))</f>
        <v>222000</v>
      </c>
      <c r="E14" s="20" t="n">
        <f aca="false">SUMPRODUCT((거래처목록!$A$3:$A$302&lt;&gt;"")*(COUNTIFS(주문내역!$B$3:$B$2002,거래처목록!$A$3:$A$302,주문내역!$A$3:$A$2002,"&gt;="&amp;DATE($B$3,9,1),주문내역!$A$3:$A$2002,"&lt;="&amp;EOMONTH(DATE($B$3,9,1),0))&gt;0))</f>
        <v>3</v>
      </c>
    </row>
    <row r="15" customFormat="false" ht="15" hidden="false" customHeight="true" outlineLevel="0" collapsed="false">
      <c r="A15" s="26" t="n">
        <v>10</v>
      </c>
      <c r="B15" s="20" t="n">
        <f aca="false">COUNTIFS(주문내역!$A$3:$A$2002,"&gt;="&amp;DATE($B$3,10,1),주문내역!$A$3:$A$2002,"&lt;="&amp;EOMONTH(DATE($B$3,10,1),0))</f>
        <v>0</v>
      </c>
      <c r="C15" s="20" t="n">
        <f aca="false">SUMIFS(주문내역!$G$3:$G$2002,주문내역!$A$3:$A$2002,"&gt;="&amp;DATE($B$3,10,1),주문내역!$A$3:$A$2002,"&lt;="&amp;EOMONTH(DATE($B$3,10,1),0))</f>
        <v>0</v>
      </c>
      <c r="D15" s="20" t="n">
        <f aca="false">SUMIFS(주문내역!$I$3:$I$2002,주문내역!$A$3:$A$2002,"&gt;="&amp;DATE($B$3,10,1),주문내역!$A$3:$A$2002,"&lt;="&amp;EOMONTH(DATE($B$3,10,1),0))</f>
        <v>0</v>
      </c>
      <c r="E15" s="20" t="n">
        <f aca="false">SUMPRODUCT((거래처목록!$A$3:$A$302&lt;&gt;"")*(COUNTIFS(주문내역!$B$3:$B$2002,거래처목록!$A$3:$A$302,주문내역!$A$3:$A$2002,"&gt;="&amp;DATE($B$3,10,1),주문내역!$A$3:$A$2002,"&lt;="&amp;EOMONTH(DATE($B$3,10,1),0))&gt;0))</f>
        <v>0</v>
      </c>
    </row>
    <row r="16" customFormat="false" ht="15" hidden="false" customHeight="true" outlineLevel="0" collapsed="false">
      <c r="A16" s="26" t="n">
        <v>11</v>
      </c>
      <c r="B16" s="20" t="n">
        <f aca="false">COUNTIFS(주문내역!$A$3:$A$2002,"&gt;="&amp;DATE($B$3,11,1),주문내역!$A$3:$A$2002,"&lt;="&amp;EOMONTH(DATE($B$3,11,1),0))</f>
        <v>0</v>
      </c>
      <c r="C16" s="20" t="n">
        <f aca="false">SUMIFS(주문내역!$G$3:$G$2002,주문내역!$A$3:$A$2002,"&gt;="&amp;DATE($B$3,11,1),주문내역!$A$3:$A$2002,"&lt;="&amp;EOMONTH(DATE($B$3,11,1),0))</f>
        <v>0</v>
      </c>
      <c r="D16" s="20" t="n">
        <f aca="false">SUMIFS(주문내역!$I$3:$I$2002,주문내역!$A$3:$A$2002,"&gt;="&amp;DATE($B$3,11,1),주문내역!$A$3:$A$2002,"&lt;="&amp;EOMONTH(DATE($B$3,11,1),0))</f>
        <v>0</v>
      </c>
      <c r="E16" s="20" t="n">
        <f aca="false">SUMPRODUCT((거래처목록!$A$3:$A$302&lt;&gt;"")*(COUNTIFS(주문내역!$B$3:$B$2002,거래처목록!$A$3:$A$302,주문내역!$A$3:$A$2002,"&gt;="&amp;DATE($B$3,11,1),주문내역!$A$3:$A$2002,"&lt;="&amp;EOMONTH(DATE($B$3,11,1),0))&gt;0))</f>
        <v>0</v>
      </c>
    </row>
    <row r="17" customFormat="false" ht="15" hidden="false" customHeight="true" outlineLevel="0" collapsed="false">
      <c r="A17" s="26" t="n">
        <v>12</v>
      </c>
      <c r="B17" s="20" t="n">
        <f aca="false">COUNTIFS(주문내역!$A$3:$A$2002,"&gt;="&amp;DATE($B$3,12,1),주문내역!$A$3:$A$2002,"&lt;="&amp;EOMONTH(DATE($B$3,12,1),0))</f>
        <v>0</v>
      </c>
      <c r="C17" s="20" t="n">
        <f aca="false">SUMIFS(주문내역!$G$3:$G$2002,주문내역!$A$3:$A$2002,"&gt;="&amp;DATE($B$3,12,1),주문내역!$A$3:$A$2002,"&lt;="&amp;EOMONTH(DATE($B$3,12,1),0))</f>
        <v>0</v>
      </c>
      <c r="D17" s="20" t="n">
        <f aca="false">SUMIFS(주문내역!$I$3:$I$2002,주문내역!$A$3:$A$2002,"&gt;="&amp;DATE($B$3,12,1),주문내역!$A$3:$A$2002,"&lt;="&amp;EOMONTH(DATE($B$3,12,1),0))</f>
        <v>0</v>
      </c>
      <c r="E17" s="20" t="n">
        <f aca="false">SUMPRODUCT((거래처목록!$A$3:$A$302&lt;&gt;"")*(COUNTIFS(주문내역!$B$3:$B$2002,거래처목록!$A$3:$A$302,주문내역!$A$3:$A$2002,"&gt;="&amp;DATE($B$3,12,1),주문내역!$A$3:$A$2002,"&lt;="&amp;EOMONTH(DATE($B$3,12,1),0))&gt;0))</f>
        <v>0</v>
      </c>
    </row>
    <row r="18" customFormat="false" ht="15" hidden="false" customHeight="true" outlineLevel="0" collapsed="false">
      <c r="A18" s="27" t="s">
        <v>94</v>
      </c>
      <c r="B18" s="28" t="n">
        <f aca="false">SUM(B6:B17)</f>
        <v>6</v>
      </c>
      <c r="C18" s="28" t="n">
        <f aca="false">SUM(C6:C17)</f>
        <v>13</v>
      </c>
      <c r="D18" s="28" t="n">
        <f aca="false">SUM(D6:D17)</f>
        <v>222000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2026-09-14T08:39:04Z</dcterms:created>
  <dc:creator>openpyxl</dc:creator>
  <dc:description/>
  <dc:language>en-US</dc:language>
  <cp:lastModifiedBy/>
  <dcterms:modified xsi:type="dcterms:W3CDTF">2026-09-14T08:58:17Z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